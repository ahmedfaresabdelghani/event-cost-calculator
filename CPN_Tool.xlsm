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25AGhany1\Desktop\"/>
    </mc:Choice>
  </mc:AlternateContent>
  <xr:revisionPtr revIDLastSave="0" documentId="8_{5326609B-55E9-4CDC-9AB5-77024D7576F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PN Automation" sheetId="3" r:id="rId1"/>
    <sheet name="Paste Here" sheetId="4" r:id="rId2"/>
  </sheets>
  <definedNames>
    <definedName name="_xlnm._FilterDatabase" localSheetId="1" hidden="1">'Paste Here'!$A$1:$H$37</definedName>
    <definedName name="_xleta.ROUNDDOWN" hidden="1" xlm="1">#NAME?</definedName>
    <definedName name="_xleta.T" hidden="1" xlm="1">#NAME?</definedName>
    <definedName name="_xlpm.lr" hidden="1" xlm="1">#NAME?</definedName>
    <definedName name="_xlpm.statuses" hidden="1" xlm="1">#NAME?</definedName>
    <definedName name="_xlnm.Extract" localSheetId="1">'Paste Here'!$AO$3:$AO$194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6" i="4" l="1" a="1"/>
  <c r="AE36" i="4" s="1"/>
  <c r="AE37" i="4" a="1"/>
  <c r="AE37" i="4" s="1"/>
  <c r="AE38" i="4" a="1"/>
  <c r="AE38" i="4" s="1"/>
  <c r="AE39" i="4" a="1"/>
  <c r="AE39" i="4" s="1"/>
  <c r="AE40" i="4" a="1"/>
  <c r="AE40" i="4" s="1"/>
  <c r="AE41" i="4" a="1"/>
  <c r="AE41" i="4" s="1"/>
  <c r="AE42" i="4" a="1"/>
  <c r="AE42" i="4" s="1"/>
  <c r="AE43" i="4" a="1"/>
  <c r="AE43" i="4" s="1"/>
  <c r="AE44" i="4" a="1"/>
  <c r="AE44" i="4" s="1"/>
  <c r="AE45" i="4" a="1"/>
  <c r="AE45" i="4" s="1"/>
  <c r="AE46" i="4" a="1"/>
  <c r="AE46" i="4" s="1"/>
  <c r="AE47" i="4" a="1"/>
  <c r="AE47" i="4" s="1"/>
  <c r="AE48" i="4" a="1"/>
  <c r="AE48" i="4" s="1"/>
  <c r="AE49" i="4" a="1"/>
  <c r="AE49" i="4" s="1"/>
  <c r="AE50" i="4" a="1"/>
  <c r="AE50" i="4" s="1"/>
  <c r="AE51" i="4" a="1"/>
  <c r="AE51" i="4" s="1"/>
  <c r="AE52" i="4" a="1"/>
  <c r="AE52" i="4" s="1"/>
  <c r="AE53" i="4" a="1"/>
  <c r="AE53" i="4" s="1"/>
  <c r="AE54" i="4" a="1"/>
  <c r="AE54" i="4" s="1"/>
  <c r="AE55" i="4" a="1"/>
  <c r="AE55" i="4" s="1"/>
  <c r="AE56" i="4" a="1"/>
  <c r="AE56" i="4" s="1"/>
  <c r="AE57" i="4" a="1"/>
  <c r="AE57" i="4" s="1"/>
  <c r="AE58" i="4" a="1"/>
  <c r="AE58" i="4" s="1"/>
  <c r="AE59" i="4" a="1"/>
  <c r="AE59" i="4" s="1"/>
  <c r="AE60" i="4" a="1"/>
  <c r="AE60" i="4" s="1"/>
  <c r="AE61" i="4" a="1"/>
  <c r="AE61" i="4" s="1"/>
  <c r="AE62" i="4" a="1"/>
  <c r="AE62" i="4" s="1"/>
  <c r="AE63" i="4" a="1"/>
  <c r="AE63" i="4" s="1"/>
  <c r="AE64" i="4" a="1"/>
  <c r="AE64" i="4" s="1"/>
  <c r="AE65" i="4" a="1"/>
  <c r="AE65" i="4" s="1"/>
  <c r="AE66" i="4" a="1"/>
  <c r="AE66" i="4" s="1"/>
  <c r="AE67" i="4" a="1"/>
  <c r="AE67" i="4" s="1"/>
  <c r="AE68" i="4" a="1"/>
  <c r="AE68" i="4" s="1"/>
  <c r="AE69" i="4" a="1"/>
  <c r="AE69" i="4" s="1"/>
  <c r="AE70" i="4" a="1"/>
  <c r="AE70" i="4" s="1"/>
  <c r="AE71" i="4" a="1"/>
  <c r="AE71" i="4" s="1"/>
  <c r="AE72" i="4" a="1"/>
  <c r="AE72" i="4" s="1"/>
  <c r="AE73" i="4" a="1"/>
  <c r="AE73" i="4" s="1"/>
  <c r="AE74" i="4" a="1"/>
  <c r="AE74" i="4" s="1"/>
  <c r="AE75" i="4" a="1"/>
  <c r="AE75" i="4" s="1"/>
  <c r="AE76" i="4" a="1"/>
  <c r="AE76" i="4" s="1"/>
  <c r="AE77" i="4" a="1"/>
  <c r="AE77" i="4" s="1"/>
  <c r="AE78" i="4" a="1"/>
  <c r="AE78" i="4" s="1"/>
  <c r="AE79" i="4" a="1"/>
  <c r="AE79" i="4" s="1"/>
  <c r="AE80" i="4" a="1"/>
  <c r="AE80" i="4" s="1"/>
  <c r="AE81" i="4" a="1"/>
  <c r="AE81" i="4" s="1"/>
  <c r="AE82" i="4" a="1"/>
  <c r="AE82" i="4" s="1"/>
  <c r="AE83" i="4" a="1"/>
  <c r="AE83" i="4" s="1"/>
  <c r="AE84" i="4" a="1"/>
  <c r="AE84" i="4" s="1"/>
  <c r="AE85" i="4" a="1"/>
  <c r="AE85" i="4" s="1"/>
  <c r="AE86" i="4" a="1"/>
  <c r="AE86" i="4" s="1"/>
  <c r="AE87" i="4" a="1"/>
  <c r="AE87" i="4" s="1"/>
  <c r="AE88" i="4" a="1"/>
  <c r="AE88" i="4" s="1"/>
  <c r="AE89" i="4" a="1"/>
  <c r="AE89" i="4" s="1"/>
  <c r="AE90" i="4" a="1"/>
  <c r="AE90" i="4" s="1"/>
  <c r="AE91" i="4" a="1"/>
  <c r="AE91" i="4" s="1"/>
  <c r="AE92" i="4" a="1"/>
  <c r="AE92" i="4" s="1"/>
  <c r="AE93" i="4" a="1"/>
  <c r="AE93" i="4" s="1"/>
  <c r="AE94" i="4" a="1"/>
  <c r="AE94" i="4" s="1"/>
  <c r="AE95" i="4" a="1"/>
  <c r="AE95" i="4" s="1"/>
  <c r="AE96" i="4" a="1"/>
  <c r="AE96" i="4" s="1"/>
  <c r="AE97" i="4" a="1"/>
  <c r="AE97" i="4" s="1"/>
  <c r="AE98" i="4" a="1"/>
  <c r="AE98" i="4" s="1"/>
  <c r="AE99" i="4" a="1"/>
  <c r="AE99" i="4" s="1"/>
  <c r="AE100" i="4" a="1"/>
  <c r="AE100" i="4" s="1"/>
  <c r="AE101" i="4" a="1"/>
  <c r="AE101" i="4" s="1"/>
  <c r="AE102" i="4" a="1"/>
  <c r="AE102" i="4" s="1"/>
  <c r="AE103" i="4" a="1"/>
  <c r="AE103" i="4" s="1"/>
  <c r="AE104" i="4" a="1"/>
  <c r="AE104" i="4" s="1"/>
  <c r="AE105" i="4" a="1"/>
  <c r="AE105" i="4" s="1"/>
  <c r="AE106" i="4" a="1"/>
  <c r="AE106" i="4" s="1"/>
  <c r="AE107" i="4" a="1"/>
  <c r="AE107" i="4" s="1"/>
  <c r="AE108" i="4" a="1"/>
  <c r="AE108" i="4" s="1"/>
  <c r="AE109" i="4" a="1"/>
  <c r="AE109" i="4" s="1"/>
  <c r="AE110" i="4" a="1"/>
  <c r="AE110" i="4" s="1"/>
  <c r="AE111" i="4" a="1"/>
  <c r="AE111" i="4" s="1"/>
  <c r="AE112" i="4" a="1"/>
  <c r="AE112" i="4" s="1"/>
  <c r="AE113" i="4" a="1"/>
  <c r="AE113" i="4" s="1"/>
  <c r="AE114" i="4" a="1"/>
  <c r="AE114" i="4" s="1"/>
  <c r="AE115" i="4" a="1"/>
  <c r="AE115" i="4" s="1"/>
  <c r="AE116" i="4" a="1"/>
  <c r="AE116" i="4" s="1"/>
  <c r="AE117" i="4" a="1"/>
  <c r="AE117" i="4" s="1"/>
  <c r="AE118" i="4" a="1"/>
  <c r="AE118" i="4" s="1"/>
  <c r="AE119" i="4" a="1"/>
  <c r="AE119" i="4" s="1"/>
  <c r="AE120" i="4" a="1"/>
  <c r="AE120" i="4" s="1"/>
  <c r="AE121" i="4" a="1"/>
  <c r="AE121" i="4" s="1"/>
  <c r="AE122" i="4" a="1"/>
  <c r="AE122" i="4" s="1"/>
  <c r="AE123" i="4" a="1"/>
  <c r="AE123" i="4" s="1"/>
  <c r="AE124" i="4" a="1"/>
  <c r="AE124" i="4" s="1"/>
  <c r="AE125" i="4" a="1"/>
  <c r="AE125" i="4" s="1"/>
  <c r="AE126" i="4" a="1"/>
  <c r="AE126" i="4" s="1"/>
  <c r="AE127" i="4" a="1"/>
  <c r="AE127" i="4" s="1"/>
  <c r="AE128" i="4" a="1"/>
  <c r="AE128" i="4" s="1"/>
  <c r="AE129" i="4" a="1"/>
  <c r="AE129" i="4" s="1"/>
  <c r="AE130" i="4" a="1"/>
  <c r="AE130" i="4" s="1"/>
  <c r="AE131" i="4" a="1"/>
  <c r="AE131" i="4" s="1"/>
  <c r="AE132" i="4" a="1"/>
  <c r="AE132" i="4" s="1"/>
  <c r="AE133" i="4" a="1"/>
  <c r="AE133" i="4" s="1"/>
  <c r="AE134" i="4" a="1"/>
  <c r="AE134" i="4" s="1"/>
  <c r="AE135" i="4" a="1"/>
  <c r="AE135" i="4" s="1"/>
  <c r="AE136" i="4" a="1"/>
  <c r="AE136" i="4" s="1"/>
  <c r="AE137" i="4" a="1"/>
  <c r="AE137" i="4" s="1"/>
  <c r="AE138" i="4" a="1"/>
  <c r="AE138" i="4" s="1"/>
  <c r="AE139" i="4" a="1"/>
  <c r="AE139" i="4" s="1"/>
  <c r="AE140" i="4" a="1"/>
  <c r="AE140" i="4" s="1"/>
  <c r="AE141" i="4" a="1"/>
  <c r="AE141" i="4" s="1"/>
  <c r="AE142" i="4" a="1"/>
  <c r="AE142" i="4" s="1"/>
  <c r="AE143" i="4" a="1"/>
  <c r="AE143" i="4" s="1"/>
  <c r="AE144" i="4" a="1"/>
  <c r="AE144" i="4" s="1"/>
  <c r="AE145" i="4" a="1"/>
  <c r="AE145" i="4" s="1"/>
  <c r="AE146" i="4" a="1"/>
  <c r="AE146" i="4" s="1"/>
  <c r="AE147" i="4" a="1"/>
  <c r="AE147" i="4" s="1"/>
  <c r="AE148" i="4" a="1"/>
  <c r="AE148" i="4" s="1"/>
  <c r="AE149" i="4" a="1"/>
  <c r="AE149" i="4" s="1"/>
  <c r="AE150" i="4" a="1"/>
  <c r="AE150" i="4" s="1"/>
  <c r="AE151" i="4" a="1"/>
  <c r="AE151" i="4" s="1"/>
  <c r="AE152" i="4" a="1"/>
  <c r="AE152" i="4" s="1"/>
  <c r="AE153" i="4" a="1"/>
  <c r="AE153" i="4" s="1"/>
  <c r="AE154" i="4" a="1"/>
  <c r="AE154" i="4" s="1"/>
  <c r="AE155" i="4" a="1"/>
  <c r="AE155" i="4" s="1"/>
  <c r="AE156" i="4" a="1"/>
  <c r="AE156" i="4" s="1"/>
  <c r="AE157" i="4" a="1"/>
  <c r="AE157" i="4" s="1"/>
  <c r="AE158" i="4" a="1"/>
  <c r="AE158" i="4" s="1"/>
  <c r="AE159" i="4" a="1"/>
  <c r="AE159" i="4" s="1"/>
  <c r="AE160" i="4" a="1"/>
  <c r="AE160" i="4" s="1"/>
  <c r="AE161" i="4" a="1"/>
  <c r="AE161" i="4" s="1"/>
  <c r="AE162" i="4" a="1"/>
  <c r="AE162" i="4" s="1"/>
  <c r="AE163" i="4" a="1"/>
  <c r="AE163" i="4" s="1"/>
  <c r="AE164" i="4" a="1"/>
  <c r="AE164" i="4" s="1"/>
  <c r="AE165" i="4" a="1"/>
  <c r="AE165" i="4" s="1"/>
  <c r="AE166" i="4" a="1"/>
  <c r="AE166" i="4" s="1"/>
  <c r="AE167" i="4" a="1"/>
  <c r="AE167" i="4" s="1"/>
  <c r="AE168" i="4" a="1"/>
  <c r="AE168" i="4" s="1"/>
  <c r="AE169" i="4" a="1"/>
  <c r="AE169" i="4" s="1"/>
  <c r="AE170" i="4" a="1"/>
  <c r="AE170" i="4" s="1"/>
  <c r="AE171" i="4" a="1"/>
  <c r="AE171" i="4" s="1"/>
  <c r="AE172" i="4" a="1"/>
  <c r="AE172" i="4" s="1"/>
  <c r="AE173" i="4" a="1"/>
  <c r="AE173" i="4" s="1"/>
  <c r="AE174" i="4" a="1"/>
  <c r="AE174" i="4" s="1"/>
  <c r="AE175" i="4" a="1"/>
  <c r="AE175" i="4" s="1"/>
  <c r="AE176" i="4" a="1"/>
  <c r="AE176" i="4" s="1"/>
  <c r="AE177" i="4" a="1"/>
  <c r="AE177" i="4" s="1"/>
  <c r="AE178" i="4" a="1"/>
  <c r="AE178" i="4" s="1"/>
  <c r="AE179" i="4" a="1"/>
  <c r="AE179" i="4" s="1"/>
  <c r="AE180" i="4" a="1"/>
  <c r="AE180" i="4" s="1"/>
  <c r="AE181" i="4" a="1"/>
  <c r="AE181" i="4" s="1"/>
  <c r="AE182" i="4" a="1"/>
  <c r="AE182" i="4" s="1"/>
  <c r="AE183" i="4" a="1"/>
  <c r="AE183" i="4" s="1"/>
  <c r="AE184" i="4" a="1"/>
  <c r="AE184" i="4" s="1"/>
  <c r="AE185" i="4" a="1"/>
  <c r="AE185" i="4" s="1"/>
  <c r="AE186" i="4" a="1"/>
  <c r="AE186" i="4" s="1"/>
  <c r="AE187" i="4" a="1"/>
  <c r="AE187" i="4" s="1"/>
  <c r="AE188" i="4" a="1"/>
  <c r="AE188" i="4" s="1"/>
  <c r="AE189" i="4" a="1"/>
  <c r="AE189" i="4" s="1"/>
  <c r="AE190" i="4" a="1"/>
  <c r="AE190" i="4" s="1"/>
  <c r="AE191" i="4" a="1"/>
  <c r="AE191" i="4" s="1"/>
  <c r="AE192" i="4" a="1"/>
  <c r="AE192" i="4" s="1"/>
  <c r="AE193" i="4" a="1"/>
  <c r="AE193" i="4" s="1"/>
  <c r="AE194" i="4" a="1"/>
  <c r="AE194" i="4" s="1"/>
  <c r="AE195" i="4" a="1"/>
  <c r="AE195" i="4" s="1"/>
  <c r="AE196" i="4" a="1"/>
  <c r="AE196" i="4" s="1"/>
  <c r="AE197" i="4" a="1"/>
  <c r="AE197" i="4" s="1"/>
  <c r="AE198" i="4" a="1"/>
  <c r="AE198" i="4" s="1"/>
  <c r="AE199" i="4" a="1"/>
  <c r="AE199" i="4" s="1"/>
  <c r="AE200" i="4" a="1"/>
  <c r="AE200" i="4" s="1"/>
  <c r="AE201" i="4" a="1"/>
  <c r="AE201" i="4" s="1"/>
  <c r="AE202" i="4" a="1"/>
  <c r="AE202" i="4" s="1"/>
  <c r="AE203" i="4" a="1"/>
  <c r="AE203" i="4" s="1"/>
  <c r="AE204" i="4" a="1"/>
  <c r="AE204" i="4" s="1"/>
  <c r="AE205" i="4" a="1"/>
  <c r="AE205" i="4" s="1"/>
  <c r="AE206" i="4" a="1"/>
  <c r="AE206" i="4" s="1"/>
  <c r="AE207" i="4" a="1"/>
  <c r="AE207" i="4" s="1"/>
  <c r="AE208" i="4" a="1"/>
  <c r="AE208" i="4" s="1"/>
  <c r="AE209" i="4" a="1"/>
  <c r="AE209" i="4" s="1"/>
  <c r="AE210" i="4" a="1"/>
  <c r="AE210" i="4" s="1"/>
  <c r="AE211" i="4" a="1"/>
  <c r="AE211" i="4" s="1"/>
  <c r="AE212" i="4" a="1"/>
  <c r="AE212" i="4" s="1"/>
  <c r="AE213" i="4" a="1"/>
  <c r="AE213" i="4" s="1"/>
  <c r="AE214" i="4" a="1"/>
  <c r="AE214" i="4" s="1"/>
  <c r="AE215" i="4" a="1"/>
  <c r="AE215" i="4" s="1"/>
  <c r="AE216" i="4" a="1"/>
  <c r="AE216" i="4" s="1"/>
  <c r="AE217" i="4" a="1"/>
  <c r="AE217" i="4" s="1"/>
  <c r="AE218" i="4" a="1"/>
  <c r="AE218" i="4" s="1"/>
  <c r="AE219" i="4" a="1"/>
  <c r="AE219" i="4" s="1"/>
  <c r="AE220" i="4" a="1"/>
  <c r="AE220" i="4" s="1"/>
  <c r="AE221" i="4" a="1"/>
  <c r="AE221" i="4" s="1"/>
  <c r="AE222" i="4" a="1"/>
  <c r="AE222" i="4" s="1"/>
  <c r="AE223" i="4" a="1"/>
  <c r="AE223" i="4" s="1"/>
  <c r="AE224" i="4" a="1"/>
  <c r="AE224" i="4" s="1"/>
  <c r="AE225" i="4" a="1"/>
  <c r="AE225" i="4" s="1"/>
  <c r="AE226" i="4" a="1"/>
  <c r="AE226" i="4" s="1"/>
  <c r="AE227" i="4" a="1"/>
  <c r="AE227" i="4" s="1"/>
  <c r="AE228" i="4" a="1"/>
  <c r="AE228" i="4" s="1"/>
  <c r="AE229" i="4" a="1"/>
  <c r="AE229" i="4" s="1"/>
  <c r="AE230" i="4" a="1"/>
  <c r="AE230" i="4" s="1"/>
  <c r="AE231" i="4" a="1"/>
  <c r="AE231" i="4" s="1"/>
  <c r="AE232" i="4" a="1"/>
  <c r="AE232" i="4" s="1"/>
  <c r="AE233" i="4" a="1"/>
  <c r="AE233" i="4" s="1"/>
  <c r="AE234" i="4" a="1"/>
  <c r="AE234" i="4" s="1"/>
  <c r="AE235" i="4" a="1"/>
  <c r="AE235" i="4" s="1"/>
  <c r="AE236" i="4" a="1"/>
  <c r="AE236" i="4" s="1"/>
  <c r="AE237" i="4" a="1"/>
  <c r="AE237" i="4" s="1"/>
  <c r="AE238" i="4" a="1"/>
  <c r="AE238" i="4" s="1"/>
  <c r="AE239" i="4" a="1"/>
  <c r="AE239" i="4" s="1"/>
  <c r="AE240" i="4" a="1"/>
  <c r="AE240" i="4" s="1"/>
  <c r="AE241" i="4" a="1"/>
  <c r="AE241" i="4" s="1"/>
  <c r="AE242" i="4" a="1"/>
  <c r="AE242" i="4" s="1"/>
  <c r="AE243" i="4" a="1"/>
  <c r="AE243" i="4" s="1"/>
  <c r="AE244" i="4" a="1"/>
  <c r="AE244" i="4" s="1"/>
  <c r="AE245" i="4" a="1"/>
  <c r="AE245" i="4" s="1"/>
  <c r="AE246" i="4" a="1"/>
  <c r="AE246" i="4" s="1"/>
  <c r="AE247" i="4" a="1"/>
  <c r="AE247" i="4" s="1"/>
  <c r="AE248" i="4" a="1"/>
  <c r="AE248" i="4" s="1"/>
  <c r="AE249" i="4" a="1"/>
  <c r="AE249" i="4" s="1"/>
  <c r="AE250" i="4" a="1"/>
  <c r="AE250" i="4" s="1"/>
  <c r="AE251" i="4" a="1"/>
  <c r="AE251" i="4" s="1"/>
  <c r="AE252" i="4" a="1"/>
  <c r="AE252" i="4" s="1"/>
  <c r="AE253" i="4" a="1"/>
  <c r="AE253" i="4" s="1"/>
  <c r="AE254" i="4" a="1"/>
  <c r="AE254" i="4" s="1"/>
  <c r="AE255" i="4" a="1"/>
  <c r="AE255" i="4" s="1"/>
  <c r="AE256" i="4" a="1"/>
  <c r="AE256" i="4" s="1"/>
  <c r="AE257" i="4" a="1"/>
  <c r="AE257" i="4" s="1"/>
  <c r="AE258" i="4" a="1"/>
  <c r="AE258" i="4" s="1"/>
  <c r="AE259" i="4" a="1"/>
  <c r="AE259" i="4" s="1"/>
  <c r="AE260" i="4" a="1"/>
  <c r="AE260" i="4" s="1"/>
  <c r="AE261" i="4" a="1"/>
  <c r="AE261" i="4" s="1"/>
  <c r="AE262" i="4" a="1"/>
  <c r="AE262" i="4" s="1"/>
  <c r="AE263" i="4" a="1"/>
  <c r="AE263" i="4" s="1"/>
  <c r="AE264" i="4" a="1"/>
  <c r="AE264" i="4" s="1"/>
  <c r="AE265" i="4" a="1"/>
  <c r="AE265" i="4" s="1"/>
  <c r="AE266" i="4" a="1"/>
  <c r="AE266" i="4" s="1"/>
  <c r="AE267" i="4" a="1"/>
  <c r="AE267" i="4" s="1"/>
  <c r="AE268" i="4" a="1"/>
  <c r="AE268" i="4" s="1"/>
  <c r="AE269" i="4" a="1"/>
  <c r="AE269" i="4" s="1"/>
  <c r="AE270" i="4" a="1"/>
  <c r="AE270" i="4" s="1"/>
  <c r="AE271" i="4" a="1"/>
  <c r="AE271" i="4" s="1"/>
  <c r="AE272" i="4" a="1"/>
  <c r="AE272" i="4" s="1"/>
  <c r="AE273" i="4" a="1"/>
  <c r="AE273" i="4" s="1"/>
  <c r="AE274" i="4" a="1"/>
  <c r="AE274" i="4" s="1"/>
  <c r="AE275" i="4" a="1"/>
  <c r="AE275" i="4" s="1"/>
  <c r="AE276" i="4" a="1"/>
  <c r="AE276" i="4" s="1"/>
  <c r="AE277" i="4" a="1"/>
  <c r="AE277" i="4" s="1"/>
  <c r="AE278" i="4" a="1"/>
  <c r="AE278" i="4" s="1"/>
  <c r="AE279" i="4" a="1"/>
  <c r="AE279" i="4" s="1"/>
  <c r="AE280" i="4" a="1"/>
  <c r="AE280" i="4" s="1"/>
  <c r="AE281" i="4" a="1"/>
  <c r="AE281" i="4" s="1"/>
  <c r="AE282" i="4" a="1"/>
  <c r="AE282" i="4" s="1"/>
  <c r="AE283" i="4" a="1"/>
  <c r="AE283" i="4" s="1"/>
  <c r="AE284" i="4" a="1"/>
  <c r="AE284" i="4" s="1"/>
  <c r="AE285" i="4" a="1"/>
  <c r="AE285" i="4" s="1"/>
  <c r="AE286" i="4" a="1"/>
  <c r="AE286" i="4" s="1"/>
  <c r="AE287" i="4" a="1"/>
  <c r="AE287" i="4" s="1"/>
  <c r="AE288" i="4" a="1"/>
  <c r="AE288" i="4" s="1"/>
  <c r="AE289" i="4" a="1"/>
  <c r="AE289" i="4" s="1"/>
  <c r="AE290" i="4" a="1"/>
  <c r="AE290" i="4" s="1"/>
  <c r="AE291" i="4" a="1"/>
  <c r="AE291" i="4" s="1"/>
  <c r="AE292" i="4" a="1"/>
  <c r="AE292" i="4" s="1"/>
  <c r="AE293" i="4" a="1"/>
  <c r="AE293" i="4" s="1"/>
  <c r="AE294" i="4" a="1"/>
  <c r="AE294" i="4" s="1"/>
  <c r="AE295" i="4" a="1"/>
  <c r="AE295" i="4" s="1"/>
  <c r="AE296" i="4" a="1"/>
  <c r="AE296" i="4" s="1"/>
  <c r="AE297" i="4" a="1"/>
  <c r="AE297" i="4" s="1"/>
  <c r="AE298" i="4" a="1"/>
  <c r="AE298" i="4" s="1"/>
  <c r="AE299" i="4" a="1"/>
  <c r="AE299" i="4" s="1"/>
  <c r="AE300" i="4" a="1"/>
  <c r="AE300" i="4" s="1"/>
  <c r="AE301" i="4" a="1"/>
  <c r="AE301" i="4" s="1"/>
  <c r="AE302" i="4" a="1"/>
  <c r="AE302" i="4" s="1"/>
  <c r="AE303" i="4" a="1"/>
  <c r="AE303" i="4" s="1"/>
  <c r="AE304" i="4" a="1"/>
  <c r="AE304" i="4" s="1"/>
  <c r="AE305" i="4" a="1"/>
  <c r="AE305" i="4" s="1"/>
  <c r="AE306" i="4" a="1"/>
  <c r="AE306" i="4" s="1"/>
  <c r="AE307" i="4" a="1"/>
  <c r="AE307" i="4" s="1"/>
  <c r="AE308" i="4" a="1"/>
  <c r="AE308" i="4" s="1"/>
  <c r="AE309" i="4" a="1"/>
  <c r="AE309" i="4" s="1"/>
  <c r="AE310" i="4" a="1"/>
  <c r="AE310" i="4" s="1"/>
  <c r="AE311" i="4" a="1"/>
  <c r="AE311" i="4" s="1"/>
  <c r="AE312" i="4" a="1"/>
  <c r="AE312" i="4" s="1"/>
  <c r="AE313" i="4" a="1"/>
  <c r="AE313" i="4" s="1"/>
  <c r="AE314" i="4" a="1"/>
  <c r="AE314" i="4" s="1"/>
  <c r="AE315" i="4" a="1"/>
  <c r="AE315" i="4" s="1"/>
  <c r="AE316" i="4" a="1"/>
  <c r="AE316" i="4" s="1"/>
  <c r="AE317" i="4" a="1"/>
  <c r="AE317" i="4" s="1"/>
  <c r="AE318" i="4" a="1"/>
  <c r="AE318" i="4" s="1"/>
  <c r="AE319" i="4" a="1"/>
  <c r="AE319" i="4" s="1"/>
  <c r="AE320" i="4" a="1"/>
  <c r="AE320" i="4" s="1"/>
  <c r="AE321" i="4" a="1"/>
  <c r="AE321" i="4" s="1"/>
  <c r="AE322" i="4" a="1"/>
  <c r="AE322" i="4" s="1"/>
  <c r="AE323" i="4" a="1"/>
  <c r="AE323" i="4" s="1"/>
  <c r="AE324" i="4" a="1"/>
  <c r="AE324" i="4" s="1"/>
  <c r="AE325" i="4" a="1"/>
  <c r="AE325" i="4" s="1"/>
  <c r="AE326" i="4" a="1"/>
  <c r="AE326" i="4" s="1"/>
  <c r="AE327" i="4" a="1"/>
  <c r="AE327" i="4" s="1"/>
  <c r="AE328" i="4" a="1"/>
  <c r="AE328" i="4" s="1"/>
  <c r="AE329" i="4" a="1"/>
  <c r="AE329" i="4" s="1"/>
  <c r="AE330" i="4" a="1"/>
  <c r="AE330" i="4" s="1"/>
  <c r="AE331" i="4" a="1"/>
  <c r="AE331" i="4" s="1"/>
  <c r="AE332" i="4" a="1"/>
  <c r="AE332" i="4" s="1"/>
  <c r="AE333" i="4" a="1"/>
  <c r="AE333" i="4" s="1"/>
  <c r="AE334" i="4" a="1"/>
  <c r="AE334" i="4" s="1"/>
  <c r="AE335" i="4" a="1"/>
  <c r="AE335" i="4" s="1"/>
  <c r="AE336" i="4" a="1"/>
  <c r="AE336" i="4" s="1"/>
  <c r="AE337" i="4" a="1"/>
  <c r="AE337" i="4" s="1"/>
  <c r="AE338" i="4" a="1"/>
  <c r="AE338" i="4" s="1"/>
  <c r="AE339" i="4" a="1"/>
  <c r="AE339" i="4" s="1"/>
  <c r="AE340" i="4" a="1"/>
  <c r="AE340" i="4" s="1"/>
  <c r="AE341" i="4" a="1"/>
  <c r="AE341" i="4" s="1"/>
  <c r="AE342" i="4" a="1"/>
  <c r="AE342" i="4" s="1"/>
  <c r="AE343" i="4" a="1"/>
  <c r="AE343" i="4" s="1"/>
  <c r="AE344" i="4" a="1"/>
  <c r="AE344" i="4" s="1"/>
  <c r="AE345" i="4" a="1"/>
  <c r="AE345" i="4" s="1"/>
  <c r="AE346" i="4" a="1"/>
  <c r="AE346" i="4" s="1"/>
  <c r="AE347" i="4" a="1"/>
  <c r="AE347" i="4" s="1"/>
  <c r="AE348" i="4" a="1"/>
  <c r="AE348" i="4" s="1"/>
  <c r="AE349" i="4" a="1"/>
  <c r="AE349" i="4" s="1"/>
  <c r="AE350" i="4" a="1"/>
  <c r="AE350" i="4" s="1"/>
  <c r="AE351" i="4" a="1"/>
  <c r="AE351" i="4" s="1"/>
  <c r="AE352" i="4" a="1"/>
  <c r="AE352" i="4" s="1"/>
  <c r="AE353" i="4" a="1"/>
  <c r="AE353" i="4" s="1"/>
  <c r="AE354" i="4" a="1"/>
  <c r="AE354" i="4" s="1"/>
  <c r="AE355" i="4" a="1"/>
  <c r="AE355" i="4" s="1"/>
  <c r="AE356" i="4" a="1"/>
  <c r="AE356" i="4" s="1"/>
  <c r="AE357" i="4" a="1"/>
  <c r="AE357" i="4" s="1"/>
  <c r="AE358" i="4" a="1"/>
  <c r="AE358" i="4" s="1"/>
  <c r="AE359" i="4" a="1"/>
  <c r="AE359" i="4" s="1"/>
  <c r="AE360" i="4" a="1"/>
  <c r="AE360" i="4" s="1"/>
  <c r="AE361" i="4" a="1"/>
  <c r="AE361" i="4" s="1"/>
  <c r="AE362" i="4" a="1"/>
  <c r="AE362" i="4" s="1"/>
  <c r="AE363" i="4" a="1"/>
  <c r="AE363" i="4" s="1"/>
  <c r="AE364" i="4" a="1"/>
  <c r="AE364" i="4" s="1"/>
  <c r="AE365" i="4" a="1"/>
  <c r="AE365" i="4" s="1"/>
  <c r="AE366" i="4" a="1"/>
  <c r="AE366" i="4" s="1"/>
  <c r="AE367" i="4" a="1"/>
  <c r="AE367" i="4" s="1"/>
  <c r="AE368" i="4" a="1"/>
  <c r="AE368" i="4" s="1"/>
  <c r="AE369" i="4" a="1"/>
  <c r="AE369" i="4" s="1"/>
  <c r="AE370" i="4" a="1"/>
  <c r="AE370" i="4" s="1"/>
  <c r="AE371" i="4" a="1"/>
  <c r="AE371" i="4" s="1"/>
  <c r="AE372" i="4" a="1"/>
  <c r="AE372" i="4" s="1"/>
  <c r="AE373" i="4" a="1"/>
  <c r="AE373" i="4" s="1"/>
  <c r="AE374" i="4" a="1"/>
  <c r="AE374" i="4" s="1"/>
  <c r="AE375" i="4" a="1"/>
  <c r="AE375" i="4" s="1"/>
  <c r="AE376" i="4" a="1"/>
  <c r="AE376" i="4" s="1"/>
  <c r="AE377" i="4" a="1"/>
  <c r="AE377" i="4" s="1"/>
  <c r="AE378" i="4" a="1"/>
  <c r="AE378" i="4" s="1"/>
  <c r="AE379" i="4" a="1"/>
  <c r="AE379" i="4" s="1"/>
  <c r="AE380" i="4" a="1"/>
  <c r="AE380" i="4" s="1"/>
  <c r="AE381" i="4" a="1"/>
  <c r="AE381" i="4" s="1"/>
  <c r="AE382" i="4" a="1"/>
  <c r="AE382" i="4" s="1"/>
  <c r="AE383" i="4" a="1"/>
  <c r="AE383" i="4" s="1"/>
  <c r="AE384" i="4" a="1"/>
  <c r="AE384" i="4" s="1"/>
  <c r="AE385" i="4" a="1"/>
  <c r="AE385" i="4" s="1"/>
  <c r="AE386" i="4" a="1"/>
  <c r="AE386" i="4" s="1"/>
  <c r="AE387" i="4" a="1"/>
  <c r="AE387" i="4" s="1"/>
  <c r="AE388" i="4" a="1"/>
  <c r="AE388" i="4" s="1"/>
  <c r="AE389" i="4" a="1"/>
  <c r="AE389" i="4" s="1"/>
  <c r="AE390" i="4" a="1"/>
  <c r="AE390" i="4" s="1"/>
  <c r="AE391" i="4" a="1"/>
  <c r="AE391" i="4" s="1"/>
  <c r="AE392" i="4" a="1"/>
  <c r="AE392" i="4" s="1"/>
  <c r="AE393" i="4" a="1"/>
  <c r="AE393" i="4" s="1"/>
  <c r="AE394" i="4" a="1"/>
  <c r="AE394" i="4" s="1"/>
  <c r="AE395" i="4" a="1"/>
  <c r="AE395" i="4" s="1"/>
  <c r="AE396" i="4" a="1"/>
  <c r="AE396" i="4" s="1"/>
  <c r="AE397" i="4" a="1"/>
  <c r="AE397" i="4" s="1"/>
  <c r="AE398" i="4" a="1"/>
  <c r="AE398" i="4" s="1"/>
  <c r="AE399" i="4" a="1"/>
  <c r="AE399" i="4" s="1"/>
  <c r="AE400" i="4" a="1"/>
  <c r="AE400" i="4" s="1"/>
  <c r="AE401" i="4" a="1"/>
  <c r="AE401" i="4" s="1"/>
  <c r="AE402" i="4" a="1"/>
  <c r="AE402" i="4" s="1"/>
  <c r="AE403" i="4" a="1"/>
  <c r="AE403" i="4" s="1"/>
  <c r="AE404" i="4" a="1"/>
  <c r="AE404" i="4" s="1"/>
  <c r="AE405" i="4" a="1"/>
  <c r="AE405" i="4" s="1"/>
  <c r="AE406" i="4" a="1"/>
  <c r="AE406" i="4" s="1"/>
  <c r="AE407" i="4" a="1"/>
  <c r="AE407" i="4" s="1"/>
  <c r="AE408" i="4" a="1"/>
  <c r="AE408" i="4" s="1"/>
  <c r="AE409" i="4" a="1"/>
  <c r="AE409" i="4" s="1"/>
  <c r="AE410" i="4" a="1"/>
  <c r="AE410" i="4" s="1"/>
  <c r="AE411" i="4" a="1"/>
  <c r="AE411" i="4" s="1"/>
  <c r="AE412" i="4" a="1"/>
  <c r="AE412" i="4" s="1"/>
  <c r="AE413" i="4" a="1"/>
  <c r="AE413" i="4" s="1"/>
  <c r="AE414" i="4" a="1"/>
  <c r="AE414" i="4" s="1"/>
  <c r="AE415" i="4" a="1"/>
  <c r="AE415" i="4" s="1"/>
  <c r="AE416" i="4" a="1"/>
  <c r="AE416" i="4" s="1"/>
  <c r="AE417" i="4" a="1"/>
  <c r="AE417" i="4" s="1"/>
  <c r="AE418" i="4" a="1"/>
  <c r="AE418" i="4" s="1"/>
  <c r="AE419" i="4" a="1"/>
  <c r="AE419" i="4" s="1"/>
  <c r="AE420" i="4" a="1"/>
  <c r="AE420" i="4" s="1"/>
  <c r="AE421" i="4" a="1"/>
  <c r="AE421" i="4" s="1"/>
  <c r="AE422" i="4" a="1"/>
  <c r="AE422" i="4" s="1"/>
  <c r="AE423" i="4" a="1"/>
  <c r="AE423" i="4" s="1"/>
  <c r="AE424" i="4" a="1"/>
  <c r="AE424" i="4" s="1"/>
  <c r="AE425" i="4" a="1"/>
  <c r="AE425" i="4" s="1"/>
  <c r="AE426" i="4" a="1"/>
  <c r="AE426" i="4" s="1"/>
  <c r="AE427" i="4" a="1"/>
  <c r="AE427" i="4" s="1"/>
  <c r="AE428" i="4" a="1"/>
  <c r="AE428" i="4" s="1"/>
  <c r="AE429" i="4" a="1"/>
  <c r="AE429" i="4" s="1"/>
  <c r="AE430" i="4" a="1"/>
  <c r="AE430" i="4" s="1"/>
  <c r="AE431" i="4" a="1"/>
  <c r="AE431" i="4" s="1"/>
  <c r="AE432" i="4" a="1"/>
  <c r="AE432" i="4" s="1"/>
  <c r="AE433" i="4" a="1"/>
  <c r="AE433" i="4" s="1"/>
  <c r="AE434" i="4" a="1"/>
  <c r="AE434" i="4" s="1"/>
  <c r="AE435" i="4" a="1"/>
  <c r="AE435" i="4" s="1"/>
  <c r="AE436" i="4" a="1"/>
  <c r="AE436" i="4" s="1"/>
  <c r="AE437" i="4" a="1"/>
  <c r="AE437" i="4" s="1"/>
  <c r="AE438" i="4" a="1"/>
  <c r="AE438" i="4" s="1"/>
  <c r="AE439" i="4" a="1"/>
  <c r="AE439" i="4" s="1"/>
  <c r="AE440" i="4" a="1"/>
  <c r="AE440" i="4" s="1"/>
  <c r="AE441" i="4" a="1"/>
  <c r="AE441" i="4" s="1"/>
  <c r="AE442" i="4" a="1"/>
  <c r="AE442" i="4" s="1"/>
  <c r="AE443" i="4" a="1"/>
  <c r="AE443" i="4" s="1"/>
  <c r="AE444" i="4" a="1"/>
  <c r="AE444" i="4" s="1"/>
  <c r="AE445" i="4" a="1"/>
  <c r="AE445" i="4" s="1"/>
  <c r="AE446" i="4" a="1"/>
  <c r="AE446" i="4" s="1"/>
  <c r="AE447" i="4" a="1"/>
  <c r="AE447" i="4" s="1"/>
  <c r="AE448" i="4" a="1"/>
  <c r="AE448" i="4" s="1"/>
  <c r="AE449" i="4" a="1"/>
  <c r="AE449" i="4" s="1"/>
  <c r="AE450" i="4" a="1"/>
  <c r="AE450" i="4" s="1"/>
  <c r="AE451" i="4" a="1"/>
  <c r="AE451" i="4" s="1"/>
  <c r="AE452" i="4" a="1"/>
  <c r="AE452" i="4" s="1"/>
  <c r="AE453" i="4" a="1"/>
  <c r="AE453" i="4" s="1"/>
  <c r="AE454" i="4" a="1"/>
  <c r="AE454" i="4" s="1"/>
  <c r="AE455" i="4" a="1"/>
  <c r="AE455" i="4" s="1"/>
  <c r="AE456" i="4" a="1"/>
  <c r="AE456" i="4" s="1"/>
  <c r="AE457" i="4" a="1"/>
  <c r="AE457" i="4" s="1"/>
  <c r="AE458" i="4" a="1"/>
  <c r="AE458" i="4" s="1"/>
  <c r="AE459" i="4" a="1"/>
  <c r="AE459" i="4" s="1"/>
  <c r="AE460" i="4" a="1"/>
  <c r="AE460" i="4" s="1"/>
  <c r="AE461" i="4" a="1"/>
  <c r="AE461" i="4" s="1"/>
  <c r="AE462" i="4" a="1"/>
  <c r="AE462" i="4" s="1"/>
  <c r="AE463" i="4" a="1"/>
  <c r="AE463" i="4" s="1"/>
  <c r="AE464" i="4" a="1"/>
  <c r="AE464" i="4" s="1"/>
  <c r="AE465" i="4" a="1"/>
  <c r="AE465" i="4" s="1"/>
  <c r="AE466" i="4" a="1"/>
  <c r="AE466" i="4" s="1"/>
  <c r="AE467" i="4" a="1"/>
  <c r="AE467" i="4" s="1"/>
  <c r="AE468" i="4" a="1"/>
  <c r="AE468" i="4" s="1"/>
  <c r="AE469" i="4" a="1"/>
  <c r="AE469" i="4" s="1"/>
  <c r="AE470" i="4" a="1"/>
  <c r="AE470" i="4" s="1"/>
  <c r="AE471" i="4" a="1"/>
  <c r="AE471" i="4" s="1"/>
  <c r="AE472" i="4" a="1"/>
  <c r="AE472" i="4" s="1"/>
  <c r="AE473" i="4" a="1"/>
  <c r="AE473" i="4" s="1"/>
  <c r="AE474" i="4" a="1"/>
  <c r="AE474" i="4" s="1"/>
  <c r="AE475" i="4" a="1"/>
  <c r="AE475" i="4" s="1"/>
  <c r="AE476" i="4" a="1"/>
  <c r="AE476" i="4" s="1"/>
  <c r="AE477" i="4" a="1"/>
  <c r="AE477" i="4" s="1"/>
  <c r="AE478" i="4" a="1"/>
  <c r="AE478" i="4" s="1"/>
  <c r="AE479" i="4" a="1"/>
  <c r="AE479" i="4" s="1"/>
  <c r="AE480" i="4" a="1"/>
  <c r="AE480" i="4" s="1"/>
  <c r="AE481" i="4" a="1"/>
  <c r="AE481" i="4" s="1"/>
  <c r="AE482" i="4" a="1"/>
  <c r="AE482" i="4" s="1"/>
  <c r="AE483" i="4" a="1"/>
  <c r="AE483" i="4" s="1"/>
  <c r="AE484" i="4" a="1"/>
  <c r="AE484" i="4" s="1"/>
  <c r="AE485" i="4" a="1"/>
  <c r="AE485" i="4" s="1"/>
  <c r="AE486" i="4" a="1"/>
  <c r="AE486" i="4" s="1"/>
  <c r="AE487" i="4" a="1"/>
  <c r="AE487" i="4" s="1"/>
  <c r="AE488" i="4" a="1"/>
  <c r="AE488" i="4" s="1"/>
  <c r="AE489" i="4" a="1"/>
  <c r="AE489" i="4" s="1"/>
  <c r="AE490" i="4" a="1"/>
  <c r="AE490" i="4" s="1"/>
  <c r="AE491" i="4" a="1"/>
  <c r="AE491" i="4" s="1"/>
  <c r="AE492" i="4" a="1"/>
  <c r="AE492" i="4" s="1"/>
  <c r="AE493" i="4" a="1"/>
  <c r="AE493" i="4" s="1"/>
  <c r="AE494" i="4" a="1"/>
  <c r="AE494" i="4" s="1"/>
  <c r="AE495" i="4" a="1"/>
  <c r="AE495" i="4" s="1"/>
  <c r="AE496" i="4" a="1"/>
  <c r="AE496" i="4" s="1"/>
  <c r="AE497" i="4" a="1"/>
  <c r="AE497" i="4" s="1"/>
  <c r="AE498" i="4" a="1"/>
  <c r="AE498" i="4" s="1"/>
  <c r="AE499" i="4" a="1"/>
  <c r="AE499" i="4" s="1"/>
  <c r="AE500" i="4" a="1"/>
  <c r="AE500" i="4" s="1"/>
  <c r="AE501" i="4" a="1"/>
  <c r="AE501" i="4" s="1"/>
  <c r="AE502" i="4" a="1"/>
  <c r="AE502" i="4" s="1"/>
  <c r="AE503" i="4" a="1"/>
  <c r="AE503" i="4" s="1"/>
  <c r="AE504" i="4" a="1"/>
  <c r="AE504" i="4" s="1"/>
  <c r="AE505" i="4" a="1"/>
  <c r="AE505" i="4" s="1"/>
  <c r="AE506" i="4" a="1"/>
  <c r="AE506" i="4" s="1"/>
  <c r="AE507" i="4" a="1"/>
  <c r="AE507" i="4" s="1"/>
  <c r="AE508" i="4" a="1"/>
  <c r="AE508" i="4" s="1"/>
  <c r="AE509" i="4" a="1"/>
  <c r="AE509" i="4" s="1"/>
  <c r="AE510" i="4" a="1"/>
  <c r="AE510" i="4" s="1"/>
  <c r="AE511" i="4" a="1"/>
  <c r="AE511" i="4" s="1"/>
  <c r="AE512" i="4" a="1"/>
  <c r="AE512" i="4" s="1"/>
  <c r="AE513" i="4" a="1"/>
  <c r="AE513" i="4" s="1"/>
  <c r="AE514" i="4" a="1"/>
  <c r="AE514" i="4" s="1"/>
  <c r="AE515" i="4" a="1"/>
  <c r="AE515" i="4" s="1"/>
  <c r="AE516" i="4" a="1"/>
  <c r="AE516" i="4" s="1"/>
  <c r="AE517" i="4" a="1"/>
  <c r="AE517" i="4" s="1"/>
  <c r="AE518" i="4" a="1"/>
  <c r="AE518" i="4" s="1"/>
  <c r="AE519" i="4" a="1"/>
  <c r="AE519" i="4" s="1"/>
  <c r="AE520" i="4" a="1"/>
  <c r="AE520" i="4" s="1"/>
  <c r="AE521" i="4" a="1"/>
  <c r="AE521" i="4" s="1"/>
  <c r="AE522" i="4" a="1"/>
  <c r="AE522" i="4" s="1"/>
  <c r="AE523" i="4" a="1"/>
  <c r="AE523" i="4" s="1"/>
  <c r="AE524" i="4" a="1"/>
  <c r="AE524" i="4" s="1"/>
  <c r="AE525" i="4" a="1"/>
  <c r="AE525" i="4" s="1"/>
  <c r="AE526" i="4" a="1"/>
  <c r="AE526" i="4" s="1"/>
  <c r="AE527" i="4" a="1"/>
  <c r="AE527" i="4" s="1"/>
  <c r="AE528" i="4" a="1"/>
  <c r="AE528" i="4" s="1"/>
  <c r="AE529" i="4" a="1"/>
  <c r="AE529" i="4" s="1"/>
  <c r="AE530" i="4" a="1"/>
  <c r="AE530" i="4" s="1"/>
  <c r="AE531" i="4" a="1"/>
  <c r="AE531" i="4" s="1"/>
  <c r="AE532" i="4" a="1"/>
  <c r="AE532" i="4" s="1"/>
  <c r="AE533" i="4" a="1"/>
  <c r="AE533" i="4" s="1"/>
  <c r="AE534" i="4" a="1"/>
  <c r="AE534" i="4" s="1"/>
  <c r="AE535" i="4" a="1"/>
  <c r="AE535" i="4" s="1"/>
  <c r="AE536" i="4" a="1"/>
  <c r="AE536" i="4" s="1"/>
  <c r="AE537" i="4" a="1"/>
  <c r="AE537" i="4" s="1"/>
  <c r="AE538" i="4" a="1"/>
  <c r="AE538" i="4" s="1"/>
  <c r="AE539" i="4" a="1"/>
  <c r="AE539" i="4" s="1"/>
  <c r="AE540" i="4" a="1"/>
  <c r="AE540" i="4" s="1"/>
  <c r="AE541" i="4" a="1"/>
  <c r="AE541" i="4" s="1"/>
  <c r="AE542" i="4" a="1"/>
  <c r="AE542" i="4" s="1"/>
  <c r="AE543" i="4" a="1"/>
  <c r="AE543" i="4" s="1"/>
  <c r="AE544" i="4" a="1"/>
  <c r="AE544" i="4" s="1"/>
  <c r="AE545" i="4" a="1"/>
  <c r="AE545" i="4" s="1"/>
  <c r="AE546" i="4" a="1"/>
  <c r="AE546" i="4" s="1"/>
  <c r="AE547" i="4" a="1"/>
  <c r="AE547" i="4" s="1"/>
  <c r="AE548" i="4" a="1"/>
  <c r="AE548" i="4" s="1"/>
  <c r="AE549" i="4" a="1"/>
  <c r="AE549" i="4" s="1"/>
  <c r="AE550" i="4" a="1"/>
  <c r="AE550" i="4" s="1"/>
  <c r="AE551" i="4" a="1"/>
  <c r="AE551" i="4" s="1"/>
  <c r="AE552" i="4" a="1"/>
  <c r="AE552" i="4" s="1"/>
  <c r="AE553" i="4" a="1"/>
  <c r="AE553" i="4" s="1"/>
  <c r="AE554" i="4" a="1"/>
  <c r="AE554" i="4" s="1"/>
  <c r="AE555" i="4" a="1"/>
  <c r="AE555" i="4" s="1"/>
  <c r="AE556" i="4" a="1"/>
  <c r="AE556" i="4" s="1"/>
  <c r="AE557" i="4" a="1"/>
  <c r="AE557" i="4" s="1"/>
  <c r="AE558" i="4" a="1"/>
  <c r="AE558" i="4" s="1"/>
  <c r="AE559" i="4" a="1"/>
  <c r="AE559" i="4" s="1"/>
  <c r="AE560" i="4" a="1"/>
  <c r="AE560" i="4" s="1"/>
  <c r="AE561" i="4" a="1"/>
  <c r="AE561" i="4" s="1"/>
  <c r="AE562" i="4" a="1"/>
  <c r="AE562" i="4" s="1"/>
  <c r="AE563" i="4" a="1"/>
  <c r="AE563" i="4" s="1"/>
  <c r="AE564" i="4" a="1"/>
  <c r="AE564" i="4" s="1"/>
  <c r="AE565" i="4" a="1"/>
  <c r="AE565" i="4" s="1"/>
  <c r="AE566" i="4" a="1"/>
  <c r="AE566" i="4" s="1"/>
  <c r="AE567" i="4" a="1"/>
  <c r="AE567" i="4" s="1"/>
  <c r="AE568" i="4" a="1"/>
  <c r="AE568" i="4" s="1"/>
  <c r="AE569" i="4" a="1"/>
  <c r="AE569" i="4" s="1"/>
  <c r="AE570" i="4" a="1"/>
  <c r="AE570" i="4" s="1"/>
  <c r="AE571" i="4" a="1"/>
  <c r="AE571" i="4" s="1"/>
  <c r="AE572" i="4" a="1"/>
  <c r="AE572" i="4" s="1"/>
  <c r="AE573" i="4" a="1"/>
  <c r="AE573" i="4" s="1"/>
  <c r="AE574" i="4" a="1"/>
  <c r="AE574" i="4" s="1"/>
  <c r="AE575" i="4" a="1"/>
  <c r="AE575" i="4" s="1"/>
  <c r="AE576" i="4" a="1"/>
  <c r="AE576" i="4" s="1"/>
  <c r="AE577" i="4" a="1"/>
  <c r="AE577" i="4" s="1"/>
  <c r="AE578" i="4" a="1"/>
  <c r="AE578" i="4" s="1"/>
  <c r="AE579" i="4" a="1"/>
  <c r="AE579" i="4" s="1"/>
  <c r="AE580" i="4" a="1"/>
  <c r="AE580" i="4" s="1"/>
  <c r="AE581" i="4" a="1"/>
  <c r="AE581" i="4" s="1"/>
  <c r="AE582" i="4" a="1"/>
  <c r="AE582" i="4" s="1"/>
  <c r="AE583" i="4" a="1"/>
  <c r="AE583" i="4" s="1"/>
  <c r="AE584" i="4" a="1"/>
  <c r="AE584" i="4" s="1"/>
  <c r="AE585" i="4" a="1"/>
  <c r="AE585" i="4" s="1"/>
  <c r="AE586" i="4" a="1"/>
  <c r="AE586" i="4" s="1"/>
  <c r="AE587" i="4" a="1"/>
  <c r="AE587" i="4" s="1"/>
  <c r="AE588" i="4" a="1"/>
  <c r="AE588" i="4" s="1"/>
  <c r="AE589" i="4" a="1"/>
  <c r="AE589" i="4" s="1"/>
  <c r="AE590" i="4" a="1"/>
  <c r="AE590" i="4" s="1"/>
  <c r="AE591" i="4" a="1"/>
  <c r="AE591" i="4" s="1"/>
  <c r="AE592" i="4" a="1"/>
  <c r="AE592" i="4" s="1"/>
  <c r="AE593" i="4" a="1"/>
  <c r="AE593" i="4" s="1"/>
  <c r="AE594" i="4" a="1"/>
  <c r="AE594" i="4" s="1"/>
  <c r="AE595" i="4" a="1"/>
  <c r="AE595" i="4" s="1"/>
  <c r="AE596" i="4" a="1"/>
  <c r="AE596" i="4" s="1"/>
  <c r="AE597" i="4" a="1"/>
  <c r="AE597" i="4" s="1"/>
  <c r="AE598" i="4" a="1"/>
  <c r="AE598" i="4" s="1"/>
  <c r="AE599" i="4" a="1"/>
  <c r="AE599" i="4" s="1"/>
  <c r="AE600" i="4" a="1"/>
  <c r="AE600" i="4" s="1"/>
  <c r="AE601" i="4" a="1"/>
  <c r="AE601" i="4" s="1"/>
  <c r="AE602" i="4" a="1"/>
  <c r="AE602" i="4" s="1"/>
  <c r="AE603" i="4" a="1"/>
  <c r="AE603" i="4" s="1"/>
  <c r="AE604" i="4" a="1"/>
  <c r="AE604" i="4" s="1"/>
  <c r="AE605" i="4" a="1"/>
  <c r="AE605" i="4" s="1"/>
  <c r="AE606" i="4" a="1"/>
  <c r="AE606" i="4" s="1"/>
  <c r="AE607" i="4" a="1"/>
  <c r="AE607" i="4" s="1"/>
  <c r="AE608" i="4" a="1"/>
  <c r="AE608" i="4" s="1"/>
  <c r="AE609" i="4" a="1"/>
  <c r="AE609" i="4" s="1"/>
  <c r="AE610" i="4" a="1"/>
  <c r="AE610" i="4" s="1"/>
  <c r="AE611" i="4" a="1"/>
  <c r="AE611" i="4" s="1"/>
  <c r="AE612" i="4" a="1"/>
  <c r="AE612" i="4" s="1"/>
  <c r="AE613" i="4" a="1"/>
  <c r="AE613" i="4" s="1"/>
  <c r="AE614" i="4" a="1"/>
  <c r="AE614" i="4" s="1"/>
  <c r="AE615" i="4" a="1"/>
  <c r="AE615" i="4" s="1"/>
  <c r="AE616" i="4" a="1"/>
  <c r="AE616" i="4" s="1"/>
  <c r="AE617" i="4" a="1"/>
  <c r="AE617" i="4" s="1"/>
  <c r="AE618" i="4" a="1"/>
  <c r="AE618" i="4" s="1"/>
  <c r="AE619" i="4" a="1"/>
  <c r="AE619" i="4" s="1"/>
  <c r="AE620" i="4" a="1"/>
  <c r="AE620" i="4" s="1"/>
  <c r="AE621" i="4" a="1"/>
  <c r="AE621" i="4" s="1"/>
  <c r="AE622" i="4" a="1"/>
  <c r="AE622" i="4" s="1"/>
  <c r="AE623" i="4" a="1"/>
  <c r="AE623" i="4" s="1"/>
  <c r="AE624" i="4" a="1"/>
  <c r="AE624" i="4" s="1"/>
  <c r="AE625" i="4" a="1"/>
  <c r="AE625" i="4" s="1"/>
  <c r="AE626" i="4" a="1"/>
  <c r="AE626" i="4" s="1"/>
  <c r="AE627" i="4" a="1"/>
  <c r="AE627" i="4" s="1"/>
  <c r="AE628" i="4" a="1"/>
  <c r="AE628" i="4" s="1"/>
  <c r="AE629" i="4" a="1"/>
  <c r="AE629" i="4" s="1"/>
  <c r="AE630" i="4" a="1"/>
  <c r="AE630" i="4" s="1"/>
  <c r="AE631" i="4" a="1"/>
  <c r="AE631" i="4" s="1"/>
  <c r="AE632" i="4" a="1"/>
  <c r="AE632" i="4" s="1"/>
  <c r="AE633" i="4" a="1"/>
  <c r="AE633" i="4" s="1"/>
  <c r="AE634" i="4" a="1"/>
  <c r="AE634" i="4" s="1"/>
  <c r="AE635" i="4" a="1"/>
  <c r="AE635" i="4" s="1"/>
  <c r="AE636" i="4" a="1"/>
  <c r="AE636" i="4" s="1"/>
  <c r="AE637" i="4" a="1"/>
  <c r="AE637" i="4" s="1"/>
  <c r="AE638" i="4" a="1"/>
  <c r="AE638" i="4" s="1"/>
  <c r="AE639" i="4" a="1"/>
  <c r="AE639" i="4" s="1"/>
  <c r="AE640" i="4" a="1"/>
  <c r="AE640" i="4" s="1"/>
  <c r="AE641" i="4" a="1"/>
  <c r="AE641" i="4" s="1"/>
  <c r="AE642" i="4" a="1"/>
  <c r="AE642" i="4" s="1"/>
  <c r="AE643" i="4" a="1"/>
  <c r="AE643" i="4" s="1"/>
  <c r="AE644" i="4" a="1"/>
  <c r="AE644" i="4" s="1"/>
  <c r="AE645" i="4" a="1"/>
  <c r="AE645" i="4" s="1"/>
  <c r="AE646" i="4" a="1"/>
  <c r="AE646" i="4" s="1"/>
  <c r="AE647" i="4" a="1"/>
  <c r="AE647" i="4" s="1"/>
  <c r="AE648" i="4" a="1"/>
  <c r="AE648" i="4" s="1"/>
  <c r="AE649" i="4" a="1"/>
  <c r="AE649" i="4" s="1"/>
  <c r="AE650" i="4" a="1"/>
  <c r="AE650" i="4" s="1"/>
  <c r="AE651" i="4" a="1"/>
  <c r="AE651" i="4" s="1"/>
  <c r="AE652" i="4" a="1"/>
  <c r="AE652" i="4" s="1"/>
  <c r="AE653" i="4" a="1"/>
  <c r="AE653" i="4" s="1"/>
  <c r="AE654" i="4" a="1"/>
  <c r="AE654" i="4" s="1"/>
  <c r="AE655" i="4" a="1"/>
  <c r="AE655" i="4" s="1"/>
  <c r="AE656" i="4" a="1"/>
  <c r="AE656" i="4" s="1"/>
  <c r="AE657" i="4" a="1"/>
  <c r="AE657" i="4" s="1"/>
  <c r="AE658" i="4" a="1"/>
  <c r="AE658" i="4" s="1"/>
  <c r="AE659" i="4" a="1"/>
  <c r="AE659" i="4" s="1"/>
  <c r="AE660" i="4" a="1"/>
  <c r="AE660" i="4" s="1"/>
  <c r="AE661" i="4" a="1"/>
  <c r="AE661" i="4" s="1"/>
  <c r="AE662" i="4" a="1"/>
  <c r="AE662" i="4" s="1"/>
  <c r="AE663" i="4" a="1"/>
  <c r="AE663" i="4" s="1"/>
  <c r="AE664" i="4" a="1"/>
  <c r="AE664" i="4" s="1"/>
  <c r="AE665" i="4" a="1"/>
  <c r="AE665" i="4" s="1"/>
  <c r="AE666" i="4" a="1"/>
  <c r="AE666" i="4" s="1"/>
  <c r="AE667" i="4" a="1"/>
  <c r="AE667" i="4" s="1"/>
  <c r="AE668" i="4" a="1"/>
  <c r="AE668" i="4" s="1"/>
  <c r="AE669" i="4" a="1"/>
  <c r="AE669" i="4" s="1"/>
  <c r="AE670" i="4" a="1"/>
  <c r="AE670" i="4" s="1"/>
  <c r="AE671" i="4" a="1"/>
  <c r="AE671" i="4" s="1"/>
  <c r="AE672" i="4" a="1"/>
  <c r="AE672" i="4" s="1"/>
  <c r="AE673" i="4" a="1"/>
  <c r="AE673" i="4" s="1"/>
  <c r="AE674" i="4" a="1"/>
  <c r="AE674" i="4" s="1"/>
  <c r="AE675" i="4" a="1"/>
  <c r="AE675" i="4" s="1"/>
  <c r="AE676" i="4" a="1"/>
  <c r="AE676" i="4" s="1"/>
  <c r="AE677" i="4" a="1"/>
  <c r="AE677" i="4" s="1"/>
  <c r="AE678" i="4" a="1"/>
  <c r="AE678" i="4" s="1"/>
  <c r="AE679" i="4" a="1"/>
  <c r="AE679" i="4" s="1"/>
  <c r="AE680" i="4" a="1"/>
  <c r="AE680" i="4" s="1"/>
  <c r="AE681" i="4" a="1"/>
  <c r="AE681" i="4" s="1"/>
  <c r="AE682" i="4" a="1"/>
  <c r="AE682" i="4" s="1"/>
  <c r="AE683" i="4" a="1"/>
  <c r="AE683" i="4" s="1"/>
  <c r="AE684" i="4" a="1"/>
  <c r="AE684" i="4" s="1"/>
  <c r="AE685" i="4" a="1"/>
  <c r="AE685" i="4" s="1"/>
  <c r="AE686" i="4" a="1"/>
  <c r="AE686" i="4" s="1"/>
  <c r="AE687" i="4" a="1"/>
  <c r="AE687" i="4" s="1"/>
  <c r="AE688" i="4" a="1"/>
  <c r="AE688" i="4" s="1"/>
  <c r="AE689" i="4" a="1"/>
  <c r="AE689" i="4" s="1"/>
  <c r="AE690" i="4" a="1"/>
  <c r="AE690" i="4" s="1"/>
  <c r="AE691" i="4" a="1"/>
  <c r="AE691" i="4" s="1"/>
  <c r="AE692" i="4" a="1"/>
  <c r="AE692" i="4" s="1"/>
  <c r="AE693" i="4" a="1"/>
  <c r="AE693" i="4" s="1"/>
  <c r="AE694" i="4" a="1"/>
  <c r="AE694" i="4" s="1"/>
  <c r="AE695" i="4" a="1"/>
  <c r="AE695" i="4" s="1"/>
  <c r="AE696" i="4" a="1"/>
  <c r="AE696" i="4" s="1"/>
  <c r="AE697" i="4" a="1"/>
  <c r="AE697" i="4" s="1"/>
  <c r="AE698" i="4" a="1"/>
  <c r="AE698" i="4" s="1"/>
  <c r="AE699" i="4" a="1"/>
  <c r="AE699" i="4" s="1"/>
  <c r="AE700" i="4" a="1"/>
  <c r="AE700" i="4" s="1"/>
  <c r="AE701" i="4" a="1"/>
  <c r="AE701" i="4" s="1"/>
  <c r="AE702" i="4" a="1"/>
  <c r="AE702" i="4" s="1"/>
  <c r="AE703" i="4" a="1"/>
  <c r="AE703" i="4" s="1"/>
  <c r="AE704" i="4" a="1"/>
  <c r="AE704" i="4" s="1"/>
  <c r="AE705" i="4" a="1"/>
  <c r="AE705" i="4" s="1"/>
  <c r="AE706" i="4" a="1"/>
  <c r="AE706" i="4" s="1"/>
  <c r="AE707" i="4" a="1"/>
  <c r="AE707" i="4" s="1"/>
  <c r="AE708" i="4" a="1"/>
  <c r="AE708" i="4" s="1"/>
  <c r="AE709" i="4" a="1"/>
  <c r="AE709" i="4" s="1"/>
  <c r="AE710" i="4" a="1"/>
  <c r="AE710" i="4" s="1"/>
  <c r="AE711" i="4" a="1"/>
  <c r="AE711" i="4" s="1"/>
  <c r="AE712" i="4" a="1"/>
  <c r="AE712" i="4" s="1"/>
  <c r="AE713" i="4" a="1"/>
  <c r="AE713" i="4" s="1"/>
  <c r="AE714" i="4" a="1"/>
  <c r="AE714" i="4" s="1"/>
  <c r="AE715" i="4" a="1"/>
  <c r="AE715" i="4" s="1"/>
  <c r="AE716" i="4" a="1"/>
  <c r="AE716" i="4" s="1"/>
  <c r="AE717" i="4" a="1"/>
  <c r="AE717" i="4" s="1"/>
  <c r="AE718" i="4" a="1"/>
  <c r="AE718" i="4" s="1"/>
  <c r="AE719" i="4" a="1"/>
  <c r="AE719" i="4" s="1"/>
  <c r="AE720" i="4" a="1"/>
  <c r="AE720" i="4" s="1"/>
  <c r="AE721" i="4" a="1"/>
  <c r="AE721" i="4" s="1"/>
  <c r="AE722" i="4" a="1"/>
  <c r="AE722" i="4" s="1"/>
  <c r="AE723" i="4" a="1"/>
  <c r="AE723" i="4" s="1"/>
  <c r="AE724" i="4" a="1"/>
  <c r="AE724" i="4" s="1"/>
  <c r="AE725" i="4" a="1"/>
  <c r="AE725" i="4" s="1"/>
  <c r="AE726" i="4" a="1"/>
  <c r="AE726" i="4" s="1"/>
  <c r="AE727" i="4" a="1"/>
  <c r="AE727" i="4" s="1"/>
  <c r="AE728" i="4" a="1"/>
  <c r="AE728" i="4" s="1"/>
  <c r="AE729" i="4" a="1"/>
  <c r="AE729" i="4" s="1"/>
  <c r="AE730" i="4" a="1"/>
  <c r="AE730" i="4" s="1"/>
  <c r="AE731" i="4" a="1"/>
  <c r="AE731" i="4" s="1"/>
  <c r="AE732" i="4" a="1"/>
  <c r="AE732" i="4" s="1"/>
  <c r="AE733" i="4" a="1"/>
  <c r="AE733" i="4" s="1"/>
  <c r="AE734" i="4" a="1"/>
  <c r="AE734" i="4" s="1"/>
  <c r="AE735" i="4" a="1"/>
  <c r="AE735" i="4" s="1"/>
  <c r="AE736" i="4" a="1"/>
  <c r="AE736" i="4" s="1"/>
  <c r="AE737" i="4" a="1"/>
  <c r="AE737" i="4" s="1"/>
  <c r="AE738" i="4" a="1"/>
  <c r="AE738" i="4" s="1"/>
  <c r="AE739" i="4" a="1"/>
  <c r="AE739" i="4" s="1"/>
  <c r="AE740" i="4" a="1"/>
  <c r="AE740" i="4" s="1"/>
  <c r="AE741" i="4" a="1"/>
  <c r="AE741" i="4" s="1"/>
  <c r="AE742" i="4" a="1"/>
  <c r="AE742" i="4" s="1"/>
  <c r="AE743" i="4" a="1"/>
  <c r="AE743" i="4" s="1"/>
  <c r="AE744" i="4" a="1"/>
  <c r="AE744" i="4" s="1"/>
  <c r="AE745" i="4" a="1"/>
  <c r="AE745" i="4" s="1"/>
  <c r="AE746" i="4" a="1"/>
  <c r="AE746" i="4" s="1"/>
  <c r="AE747" i="4" a="1"/>
  <c r="AE747" i="4" s="1"/>
  <c r="AE748" i="4" a="1"/>
  <c r="AE748" i="4" s="1"/>
  <c r="AE749" i="4" a="1"/>
  <c r="AE749" i="4" s="1"/>
  <c r="AE750" i="4" a="1"/>
  <c r="AE750" i="4" s="1"/>
  <c r="AE751" i="4" a="1"/>
  <c r="AE751" i="4" s="1"/>
  <c r="AE752" i="4" a="1"/>
  <c r="AE752" i="4" s="1"/>
  <c r="AE753" i="4" a="1"/>
  <c r="AE753" i="4" s="1"/>
  <c r="AE754" i="4" a="1"/>
  <c r="AE754" i="4" s="1"/>
  <c r="AE755" i="4" a="1"/>
  <c r="AE755" i="4" s="1"/>
  <c r="AE756" i="4" a="1"/>
  <c r="AE756" i="4" s="1"/>
  <c r="AE757" i="4" a="1"/>
  <c r="AE757" i="4" s="1"/>
  <c r="AE758" i="4" a="1"/>
  <c r="AE758" i="4" s="1"/>
  <c r="AE759" i="4" a="1"/>
  <c r="AE759" i="4" s="1"/>
  <c r="AE760" i="4" a="1"/>
  <c r="AE760" i="4" s="1"/>
  <c r="AE761" i="4" a="1"/>
  <c r="AE761" i="4" s="1"/>
  <c r="AE762" i="4" a="1"/>
  <c r="AE762" i="4" s="1"/>
  <c r="AE763" i="4" a="1"/>
  <c r="AE763" i="4" s="1"/>
  <c r="AE764" i="4" a="1"/>
  <c r="AE764" i="4" s="1"/>
  <c r="AE765" i="4" a="1"/>
  <c r="AE765" i="4" s="1"/>
  <c r="AE766" i="4" a="1"/>
  <c r="AE766" i="4" s="1"/>
  <c r="AE767" i="4" a="1"/>
  <c r="AE767" i="4" s="1"/>
  <c r="AE768" i="4" a="1"/>
  <c r="AE768" i="4" s="1"/>
  <c r="AE769" i="4" a="1"/>
  <c r="AE769" i="4" s="1"/>
  <c r="AE770" i="4" a="1"/>
  <c r="AE770" i="4" s="1"/>
  <c r="AE771" i="4" a="1"/>
  <c r="AE771" i="4" s="1"/>
  <c r="AE772" i="4" a="1"/>
  <c r="AE772" i="4" s="1"/>
  <c r="AE773" i="4" a="1"/>
  <c r="AE773" i="4" s="1"/>
  <c r="AE774" i="4" a="1"/>
  <c r="AE774" i="4" s="1"/>
  <c r="AE775" i="4" a="1"/>
  <c r="AE775" i="4" s="1"/>
  <c r="AE776" i="4" a="1"/>
  <c r="AE776" i="4" s="1"/>
  <c r="AE777" i="4" a="1"/>
  <c r="AE777" i="4" s="1"/>
  <c r="AE778" i="4" a="1"/>
  <c r="AE778" i="4" s="1"/>
  <c r="AE779" i="4" a="1"/>
  <c r="AE779" i="4" s="1"/>
  <c r="AE780" i="4" a="1"/>
  <c r="AE780" i="4" s="1"/>
  <c r="AE781" i="4" a="1"/>
  <c r="AE781" i="4" s="1"/>
  <c r="AE782" i="4" a="1"/>
  <c r="AE782" i="4" s="1"/>
  <c r="AE783" i="4" a="1"/>
  <c r="AE783" i="4" s="1"/>
  <c r="AE784" i="4" a="1"/>
  <c r="AE784" i="4" s="1"/>
  <c r="AE785" i="4" a="1"/>
  <c r="AE785" i="4" s="1"/>
  <c r="AE786" i="4" a="1"/>
  <c r="AE786" i="4" s="1"/>
  <c r="AE787" i="4" a="1"/>
  <c r="AE787" i="4" s="1"/>
  <c r="AE788" i="4" a="1"/>
  <c r="AE788" i="4" s="1"/>
  <c r="AE789" i="4" a="1"/>
  <c r="AE789" i="4" s="1"/>
  <c r="AE790" i="4" a="1"/>
  <c r="AE790" i="4" s="1"/>
  <c r="AE791" i="4" a="1"/>
  <c r="AE791" i="4" s="1"/>
  <c r="AE792" i="4" a="1"/>
  <c r="AE792" i="4" s="1"/>
  <c r="AE793" i="4" a="1"/>
  <c r="AE793" i="4" s="1"/>
  <c r="AE794" i="4" a="1"/>
  <c r="AE794" i="4" s="1"/>
  <c r="AE795" i="4" a="1"/>
  <c r="AE795" i="4" s="1"/>
  <c r="AE796" i="4" a="1"/>
  <c r="AE796" i="4" s="1"/>
  <c r="AE797" i="4" a="1"/>
  <c r="AE797" i="4" s="1"/>
  <c r="AE798" i="4" a="1"/>
  <c r="AE798" i="4" s="1"/>
  <c r="AE799" i="4" a="1"/>
  <c r="AE799" i="4" s="1"/>
  <c r="AE800" i="4" a="1"/>
  <c r="AE800" i="4" s="1"/>
  <c r="AE801" i="4" a="1"/>
  <c r="AE801" i="4" s="1"/>
  <c r="AE802" i="4" a="1"/>
  <c r="AE802" i="4" s="1"/>
  <c r="AE803" i="4" a="1"/>
  <c r="AE803" i="4" s="1"/>
  <c r="AE804" i="4" a="1"/>
  <c r="AE804" i="4" s="1"/>
  <c r="AE805" i="4" a="1"/>
  <c r="AE805" i="4" s="1"/>
  <c r="AE806" i="4" a="1"/>
  <c r="AE806" i="4" s="1"/>
  <c r="AE807" i="4" a="1"/>
  <c r="AE807" i="4" s="1"/>
  <c r="AE808" i="4" a="1"/>
  <c r="AE808" i="4" s="1"/>
  <c r="AE809" i="4" a="1"/>
  <c r="AE809" i="4" s="1"/>
  <c r="AE810" i="4" a="1"/>
  <c r="AE810" i="4" s="1"/>
  <c r="AE811" i="4" a="1"/>
  <c r="AE811" i="4" s="1"/>
  <c r="AE812" i="4" a="1"/>
  <c r="AE812" i="4" s="1"/>
  <c r="AE813" i="4" a="1"/>
  <c r="AE813" i="4" s="1"/>
  <c r="AE814" i="4" a="1"/>
  <c r="AE814" i="4" s="1"/>
  <c r="AE815" i="4" a="1"/>
  <c r="AE815" i="4" s="1"/>
  <c r="AE816" i="4" a="1"/>
  <c r="AE816" i="4" s="1"/>
  <c r="AE817" i="4" a="1"/>
  <c r="AE817" i="4" s="1"/>
  <c r="AE818" i="4" a="1"/>
  <c r="AE818" i="4" s="1"/>
  <c r="AE819" i="4" a="1"/>
  <c r="AE819" i="4" s="1"/>
  <c r="AE820" i="4" a="1"/>
  <c r="AE820" i="4" s="1"/>
  <c r="AE821" i="4" a="1"/>
  <c r="AE821" i="4" s="1"/>
  <c r="AE822" i="4" a="1"/>
  <c r="AE822" i="4" s="1"/>
  <c r="AE823" i="4" a="1"/>
  <c r="AE823" i="4" s="1"/>
  <c r="AE824" i="4" a="1"/>
  <c r="AE824" i="4" s="1"/>
  <c r="AE825" i="4" a="1"/>
  <c r="AE825" i="4" s="1"/>
  <c r="AE826" i="4" a="1"/>
  <c r="AE826" i="4" s="1"/>
  <c r="AE827" i="4" a="1"/>
  <c r="AE827" i="4" s="1"/>
  <c r="AE828" i="4" a="1"/>
  <c r="AE828" i="4" s="1"/>
  <c r="AE829" i="4" a="1"/>
  <c r="AE829" i="4" s="1"/>
  <c r="AE830" i="4" a="1"/>
  <c r="AE830" i="4" s="1"/>
  <c r="AE831" i="4" a="1"/>
  <c r="AE831" i="4" s="1"/>
  <c r="AE832" i="4" a="1"/>
  <c r="AE832" i="4" s="1"/>
  <c r="AE833" i="4" a="1"/>
  <c r="AE833" i="4" s="1"/>
  <c r="AE834" i="4" a="1"/>
  <c r="AE834" i="4" s="1"/>
  <c r="AE835" i="4" a="1"/>
  <c r="AE835" i="4" s="1"/>
  <c r="AE836" i="4" a="1"/>
  <c r="AE836" i="4" s="1"/>
  <c r="AE837" i="4" a="1"/>
  <c r="AE837" i="4" s="1"/>
  <c r="AE838" i="4" a="1"/>
  <c r="AE838" i="4" s="1"/>
  <c r="AE839" i="4" a="1"/>
  <c r="AE839" i="4" s="1"/>
  <c r="AE840" i="4" a="1"/>
  <c r="AE840" i="4" s="1"/>
  <c r="AE841" i="4" a="1"/>
  <c r="AE841" i="4" s="1"/>
  <c r="AE842" i="4" a="1"/>
  <c r="AE842" i="4" s="1"/>
  <c r="AE843" i="4" a="1"/>
  <c r="AE843" i="4" s="1"/>
  <c r="AE844" i="4" a="1"/>
  <c r="AE844" i="4" s="1"/>
  <c r="AE845" i="4" a="1"/>
  <c r="AE845" i="4" s="1"/>
  <c r="AE846" i="4" a="1"/>
  <c r="AE846" i="4" s="1"/>
  <c r="AE847" i="4" a="1"/>
  <c r="AE847" i="4" s="1"/>
  <c r="AE848" i="4" a="1"/>
  <c r="AE848" i="4" s="1"/>
  <c r="AE849" i="4" a="1"/>
  <c r="AE849" i="4" s="1"/>
  <c r="AE850" i="4" a="1"/>
  <c r="AE850" i="4" s="1"/>
  <c r="AE851" i="4" a="1"/>
  <c r="AE851" i="4" s="1"/>
  <c r="AE852" i="4" a="1"/>
  <c r="AE852" i="4" s="1"/>
  <c r="AE853" i="4" a="1"/>
  <c r="AE853" i="4" s="1"/>
  <c r="AE854" i="4" a="1"/>
  <c r="AE854" i="4" s="1"/>
  <c r="AE855" i="4" a="1"/>
  <c r="AE855" i="4" s="1"/>
  <c r="AE856" i="4" a="1"/>
  <c r="AE856" i="4" s="1"/>
  <c r="AE857" i="4" a="1"/>
  <c r="AE857" i="4" s="1"/>
  <c r="AE858" i="4" a="1"/>
  <c r="AE858" i="4" s="1"/>
  <c r="AE859" i="4" a="1"/>
  <c r="AE859" i="4" s="1"/>
  <c r="AE860" i="4" a="1"/>
  <c r="AE860" i="4" s="1"/>
  <c r="AE861" i="4" a="1"/>
  <c r="AE861" i="4" s="1"/>
  <c r="AE862" i="4" a="1"/>
  <c r="AE862" i="4" s="1"/>
  <c r="AE863" i="4" a="1"/>
  <c r="AE863" i="4" s="1"/>
  <c r="AE864" i="4" a="1"/>
  <c r="AE864" i="4" s="1"/>
  <c r="AE865" i="4" a="1"/>
  <c r="AE865" i="4" s="1"/>
  <c r="AE866" i="4" a="1"/>
  <c r="AE866" i="4" s="1"/>
  <c r="AE867" i="4" a="1"/>
  <c r="AE867" i="4" s="1"/>
  <c r="AE868" i="4" a="1"/>
  <c r="AE868" i="4" s="1"/>
  <c r="AE869" i="4" a="1"/>
  <c r="AE869" i="4" s="1"/>
  <c r="AE870" i="4" a="1"/>
  <c r="AE870" i="4" s="1"/>
  <c r="AE871" i="4" a="1"/>
  <c r="AE871" i="4" s="1"/>
  <c r="AE872" i="4" a="1"/>
  <c r="AE872" i="4" s="1"/>
  <c r="AE873" i="4" a="1"/>
  <c r="AE873" i="4" s="1"/>
  <c r="AE874" i="4" a="1"/>
  <c r="AE874" i="4" s="1"/>
  <c r="AE875" i="4" a="1"/>
  <c r="AE875" i="4" s="1"/>
  <c r="AE876" i="4" a="1"/>
  <c r="AE876" i="4" s="1"/>
  <c r="AE877" i="4" a="1"/>
  <c r="AE877" i="4" s="1"/>
  <c r="AE878" i="4" a="1"/>
  <c r="AE878" i="4" s="1"/>
  <c r="AE879" i="4" a="1"/>
  <c r="AE879" i="4" s="1"/>
  <c r="AE880" i="4" a="1"/>
  <c r="AE880" i="4" s="1"/>
  <c r="AE881" i="4" a="1"/>
  <c r="AE881" i="4" s="1"/>
  <c r="AE882" i="4" a="1"/>
  <c r="AE882" i="4" s="1"/>
  <c r="AE883" i="4" a="1"/>
  <c r="AE883" i="4" s="1"/>
  <c r="AE884" i="4" a="1"/>
  <c r="AE884" i="4" s="1"/>
  <c r="AE885" i="4" a="1"/>
  <c r="AE885" i="4" s="1"/>
  <c r="AE886" i="4" a="1"/>
  <c r="AE886" i="4" s="1"/>
  <c r="AE887" i="4" a="1"/>
  <c r="AE887" i="4" s="1"/>
  <c r="AE888" i="4" a="1"/>
  <c r="AE888" i="4" s="1"/>
  <c r="AE889" i="4" a="1"/>
  <c r="AE889" i="4" s="1"/>
  <c r="AE890" i="4" a="1"/>
  <c r="AE890" i="4" s="1"/>
  <c r="AE891" i="4" a="1"/>
  <c r="AE891" i="4" s="1"/>
  <c r="AE892" i="4" a="1"/>
  <c r="AE892" i="4" s="1"/>
  <c r="AE893" i="4" a="1"/>
  <c r="AE893" i="4" s="1"/>
  <c r="AE894" i="4" a="1"/>
  <c r="AE894" i="4" s="1"/>
  <c r="AE895" i="4" a="1"/>
  <c r="AE895" i="4" s="1"/>
  <c r="AE896" i="4" a="1"/>
  <c r="AE896" i="4" s="1"/>
  <c r="AE897" i="4" a="1"/>
  <c r="AE897" i="4" s="1"/>
  <c r="AE898" i="4" a="1"/>
  <c r="AE898" i="4" s="1"/>
  <c r="AE899" i="4" a="1"/>
  <c r="AE899" i="4" s="1"/>
  <c r="AE900" i="4" a="1"/>
  <c r="AE900" i="4" s="1"/>
  <c r="AE901" i="4" a="1"/>
  <c r="AE901" i="4" s="1"/>
  <c r="AE902" i="4" a="1"/>
  <c r="AE902" i="4" s="1"/>
  <c r="AE903" i="4" a="1"/>
  <c r="AE903" i="4" s="1"/>
  <c r="AE904" i="4" a="1"/>
  <c r="AE904" i="4" s="1"/>
  <c r="AE905" i="4" a="1"/>
  <c r="AE905" i="4" s="1"/>
  <c r="AE906" i="4" a="1"/>
  <c r="AE906" i="4" s="1"/>
  <c r="AE907" i="4" a="1"/>
  <c r="AE907" i="4" s="1"/>
  <c r="AE908" i="4" a="1"/>
  <c r="AE908" i="4" s="1"/>
  <c r="AE909" i="4" a="1"/>
  <c r="AE909" i="4" s="1"/>
  <c r="AE910" i="4" a="1"/>
  <c r="AE910" i="4" s="1"/>
  <c r="AE911" i="4" a="1"/>
  <c r="AE911" i="4" s="1"/>
  <c r="AE912" i="4" a="1"/>
  <c r="AE912" i="4" s="1"/>
  <c r="AE913" i="4" a="1"/>
  <c r="AE913" i="4" s="1"/>
  <c r="AE914" i="4" a="1"/>
  <c r="AE914" i="4" s="1"/>
  <c r="AE915" i="4" a="1"/>
  <c r="AE915" i="4" s="1"/>
  <c r="AE916" i="4" a="1"/>
  <c r="AE916" i="4" s="1"/>
  <c r="AE917" i="4" a="1"/>
  <c r="AE917" i="4" s="1"/>
  <c r="AE918" i="4" a="1"/>
  <c r="AE918" i="4" s="1"/>
  <c r="AE919" i="4" a="1"/>
  <c r="AE919" i="4" s="1"/>
  <c r="AE920" i="4" a="1"/>
  <c r="AE920" i="4" s="1"/>
  <c r="AE921" i="4" a="1"/>
  <c r="AE921" i="4" s="1"/>
  <c r="AE922" i="4" a="1"/>
  <c r="AE922" i="4" s="1"/>
  <c r="AE923" i="4" a="1"/>
  <c r="AE923" i="4" s="1"/>
  <c r="AE924" i="4" a="1"/>
  <c r="AE924" i="4" s="1"/>
  <c r="AE925" i="4" a="1"/>
  <c r="AE925" i="4" s="1"/>
  <c r="AE926" i="4" a="1"/>
  <c r="AE926" i="4" s="1"/>
  <c r="AE927" i="4" a="1"/>
  <c r="AE927" i="4" s="1"/>
  <c r="AE928" i="4" a="1"/>
  <c r="AE928" i="4" s="1"/>
  <c r="AE929" i="4" a="1"/>
  <c r="AE929" i="4" s="1"/>
  <c r="AE930" i="4" a="1"/>
  <c r="AE930" i="4" s="1"/>
  <c r="AE931" i="4" a="1"/>
  <c r="AE931" i="4" s="1"/>
  <c r="AE932" i="4" a="1"/>
  <c r="AE932" i="4" s="1"/>
  <c r="AE933" i="4" a="1"/>
  <c r="AE933" i="4" s="1"/>
  <c r="AE934" i="4" a="1"/>
  <c r="AE934" i="4" s="1"/>
  <c r="AE935" i="4" a="1"/>
  <c r="AE935" i="4" s="1"/>
  <c r="AE936" i="4" a="1"/>
  <c r="AE936" i="4" s="1"/>
  <c r="AE937" i="4" a="1"/>
  <c r="AE937" i="4" s="1"/>
  <c r="AE938" i="4" a="1"/>
  <c r="AE938" i="4" s="1"/>
  <c r="AE939" i="4" a="1"/>
  <c r="AE939" i="4" s="1"/>
  <c r="AE940" i="4" a="1"/>
  <c r="AE940" i="4" s="1"/>
  <c r="AE941" i="4" a="1"/>
  <c r="AE941" i="4" s="1"/>
  <c r="AE942" i="4" a="1"/>
  <c r="AE942" i="4" s="1"/>
  <c r="AE943" i="4" a="1"/>
  <c r="AE943" i="4" s="1"/>
  <c r="AE944" i="4" a="1"/>
  <c r="AE944" i="4" s="1"/>
  <c r="AE945" i="4" a="1"/>
  <c r="AE945" i="4" s="1"/>
  <c r="AE946" i="4" a="1"/>
  <c r="AE946" i="4" s="1"/>
  <c r="AE947" i="4" a="1"/>
  <c r="AE947" i="4" s="1"/>
  <c r="AE948" i="4" a="1"/>
  <c r="AE948" i="4" s="1"/>
  <c r="AE949" i="4" a="1"/>
  <c r="AE949" i="4" s="1"/>
  <c r="AE950" i="4" a="1"/>
  <c r="AE950" i="4" s="1"/>
  <c r="AE951" i="4" a="1"/>
  <c r="AE951" i="4" s="1"/>
  <c r="AE952" i="4" a="1"/>
  <c r="AE952" i="4" s="1"/>
  <c r="AE953" i="4" a="1"/>
  <c r="AE953" i="4" s="1"/>
  <c r="AE954" i="4" a="1"/>
  <c r="AE954" i="4" s="1"/>
  <c r="AE955" i="4" a="1"/>
  <c r="AE955" i="4" s="1"/>
  <c r="AE956" i="4" a="1"/>
  <c r="AE956" i="4" s="1"/>
  <c r="AE957" i="4" a="1"/>
  <c r="AE957" i="4" s="1"/>
  <c r="AE958" i="4" a="1"/>
  <c r="AE958" i="4" s="1"/>
  <c r="AE959" i="4" a="1"/>
  <c r="AE959" i="4" s="1"/>
  <c r="AE960" i="4" a="1"/>
  <c r="AE960" i="4" s="1"/>
  <c r="AE961" i="4" a="1"/>
  <c r="AE961" i="4" s="1"/>
  <c r="AE962" i="4" a="1"/>
  <c r="AE962" i="4" s="1"/>
  <c r="AE963" i="4" a="1"/>
  <c r="AE963" i="4" s="1"/>
  <c r="AE964" i="4" a="1"/>
  <c r="AE964" i="4" s="1"/>
  <c r="AE965" i="4" a="1"/>
  <c r="AE965" i="4" s="1"/>
  <c r="AE966" i="4" a="1"/>
  <c r="AE966" i="4" s="1"/>
  <c r="AE967" i="4" a="1"/>
  <c r="AE967" i="4" s="1"/>
  <c r="AE968" i="4" a="1"/>
  <c r="AE968" i="4" s="1"/>
  <c r="AE969" i="4" a="1"/>
  <c r="AE969" i="4" s="1"/>
  <c r="AE970" i="4" a="1"/>
  <c r="AE970" i="4" s="1"/>
  <c r="AE971" i="4" a="1"/>
  <c r="AE971" i="4" s="1"/>
  <c r="AE972" i="4" a="1"/>
  <c r="AE972" i="4" s="1"/>
  <c r="AE973" i="4" a="1"/>
  <c r="AE973" i="4" s="1"/>
  <c r="AE974" i="4" a="1"/>
  <c r="AE974" i="4" s="1"/>
  <c r="AE975" i="4" a="1"/>
  <c r="AE975" i="4" s="1"/>
  <c r="AE976" i="4" a="1"/>
  <c r="AE976" i="4" s="1"/>
  <c r="AE977" i="4" a="1"/>
  <c r="AE977" i="4" s="1"/>
  <c r="AE978" i="4" a="1"/>
  <c r="AE978" i="4" s="1"/>
  <c r="AE979" i="4" a="1"/>
  <c r="AE979" i="4" s="1"/>
  <c r="AE980" i="4" a="1"/>
  <c r="AE980" i="4" s="1"/>
  <c r="AE981" i="4" a="1"/>
  <c r="AE981" i="4" s="1"/>
  <c r="AE982" i="4" a="1"/>
  <c r="AE982" i="4" s="1"/>
  <c r="AE983" i="4" a="1"/>
  <c r="AE983" i="4" s="1"/>
  <c r="AE984" i="4" a="1"/>
  <c r="AE984" i="4" s="1"/>
  <c r="AE985" i="4" a="1"/>
  <c r="AE985" i="4" s="1"/>
  <c r="AE986" i="4" a="1"/>
  <c r="AE986" i="4" s="1"/>
  <c r="AE987" i="4" a="1"/>
  <c r="AE987" i="4" s="1"/>
  <c r="AE988" i="4" a="1"/>
  <c r="AE988" i="4" s="1"/>
  <c r="AE989" i="4" a="1"/>
  <c r="AE989" i="4" s="1"/>
  <c r="AE990" i="4" a="1"/>
  <c r="AE990" i="4" s="1"/>
  <c r="AE991" i="4" a="1"/>
  <c r="AE991" i="4" s="1"/>
  <c r="AE992" i="4" a="1"/>
  <c r="AE992" i="4" s="1"/>
  <c r="AE993" i="4" a="1"/>
  <c r="AE993" i="4" s="1"/>
  <c r="AE994" i="4" a="1"/>
  <c r="AE994" i="4" s="1"/>
  <c r="AE995" i="4" a="1"/>
  <c r="AE995" i="4" s="1"/>
  <c r="AE996" i="4" a="1"/>
  <c r="AE996" i="4" s="1"/>
  <c r="AE997" i="4" a="1"/>
  <c r="AE997" i="4" s="1"/>
  <c r="AE998" i="4" a="1"/>
  <c r="AE998" i="4" s="1"/>
  <c r="AE999" i="4" a="1"/>
  <c r="AE999" i="4" s="1"/>
  <c r="AE1000" i="4" a="1"/>
  <c r="AE1000" i="4" s="1"/>
  <c r="AE1001" i="4" a="1"/>
  <c r="AE1001" i="4" s="1"/>
  <c r="AE1002" i="4" a="1"/>
  <c r="AE1002" i="4" s="1"/>
  <c r="AE1003" i="4" a="1"/>
  <c r="AE1003" i="4" s="1"/>
  <c r="AE1004" i="4" a="1"/>
  <c r="AE1004" i="4" s="1"/>
  <c r="AE1005" i="4" a="1"/>
  <c r="AE1005" i="4" s="1"/>
  <c r="AE1006" i="4" a="1"/>
  <c r="AE1006" i="4" s="1"/>
  <c r="AE1007" i="4" a="1"/>
  <c r="AE1007" i="4" s="1"/>
  <c r="AE1008" i="4" a="1"/>
  <c r="AE1008" i="4" s="1"/>
  <c r="AE1009" i="4" a="1"/>
  <c r="AE1009" i="4" s="1"/>
  <c r="AE1010" i="4" a="1"/>
  <c r="AE1010" i="4" s="1"/>
  <c r="AE1011" i="4" a="1"/>
  <c r="AE1011" i="4" s="1"/>
  <c r="AE1012" i="4" a="1"/>
  <c r="AE1012" i="4" s="1"/>
  <c r="AE1013" i="4" a="1"/>
  <c r="AE1013" i="4" s="1"/>
  <c r="AE1014" i="4" a="1"/>
  <c r="AE1014" i="4" s="1"/>
  <c r="AE1015" i="4" a="1"/>
  <c r="AE1015" i="4" s="1"/>
  <c r="AE1016" i="4" a="1"/>
  <c r="AE1016" i="4" s="1"/>
  <c r="AE1017" i="4" a="1"/>
  <c r="AE1017" i="4" s="1"/>
  <c r="AE1018" i="4" a="1"/>
  <c r="AE1018" i="4" s="1"/>
  <c r="AE1019" i="4" a="1"/>
  <c r="AE1019" i="4" s="1"/>
  <c r="AE1020" i="4" a="1"/>
  <c r="AE1020" i="4" s="1"/>
  <c r="AE1021" i="4" a="1"/>
  <c r="AE1021" i="4" s="1"/>
  <c r="AE1022" i="4" a="1"/>
  <c r="AE1022" i="4" s="1"/>
  <c r="AE1023" i="4" a="1"/>
  <c r="AE1023" i="4" s="1"/>
  <c r="AE1024" i="4" a="1"/>
  <c r="AE1024" i="4" s="1"/>
  <c r="AE1025" i="4" a="1"/>
  <c r="AE1025" i="4" s="1"/>
  <c r="AE1026" i="4" a="1"/>
  <c r="AE1026" i="4" s="1"/>
  <c r="AE1027" i="4" a="1"/>
  <c r="AE1027" i="4" s="1"/>
  <c r="AE1028" i="4" a="1"/>
  <c r="AE1028" i="4" s="1"/>
  <c r="AE1029" i="4" a="1"/>
  <c r="AE1029" i="4" s="1"/>
  <c r="AE1030" i="4" a="1"/>
  <c r="AE1030" i="4" s="1"/>
  <c r="AE1031" i="4" a="1"/>
  <c r="AE1031" i="4" s="1"/>
  <c r="AE1032" i="4" a="1"/>
  <c r="AE1032" i="4" s="1"/>
  <c r="AE1033" i="4" a="1"/>
  <c r="AE1033" i="4" s="1"/>
  <c r="AE1034" i="4" a="1"/>
  <c r="AE1034" i="4" s="1"/>
  <c r="AE1035" i="4" a="1"/>
  <c r="AE1035" i="4" s="1"/>
  <c r="AE1036" i="4" a="1"/>
  <c r="AE1036" i="4" s="1"/>
  <c r="AE1037" i="4" a="1"/>
  <c r="AE1037" i="4" s="1"/>
  <c r="AE1038" i="4" a="1"/>
  <c r="AE1038" i="4" s="1"/>
  <c r="AE1039" i="4" a="1"/>
  <c r="AE1039" i="4" s="1"/>
  <c r="AE1040" i="4" a="1"/>
  <c r="AE1040" i="4" s="1"/>
  <c r="AE1041" i="4" a="1"/>
  <c r="AE1041" i="4" s="1"/>
  <c r="AE1042" i="4" a="1"/>
  <c r="AE1042" i="4" s="1"/>
  <c r="AE1043" i="4" a="1"/>
  <c r="AE1043" i="4" s="1"/>
  <c r="AE1044" i="4" a="1"/>
  <c r="AE1044" i="4" s="1"/>
  <c r="AE1045" i="4" a="1"/>
  <c r="AE1045" i="4" s="1"/>
  <c r="AE1046" i="4" a="1"/>
  <c r="AE1046" i="4" s="1"/>
  <c r="AE1047" i="4" a="1"/>
  <c r="AE1047" i="4" s="1"/>
  <c r="AE1048" i="4" a="1"/>
  <c r="AE1048" i="4" s="1"/>
  <c r="AE1049" i="4" a="1"/>
  <c r="AE1049" i="4" s="1"/>
  <c r="AE1050" i="4" a="1"/>
  <c r="AE1050" i="4" s="1"/>
  <c r="AE1051" i="4" a="1"/>
  <c r="AE1051" i="4" s="1"/>
  <c r="AE1052" i="4" a="1"/>
  <c r="AE1052" i="4" s="1"/>
  <c r="AE1053" i="4" a="1"/>
  <c r="AE1053" i="4" s="1"/>
  <c r="AE1054" i="4" a="1"/>
  <c r="AE1054" i="4" s="1"/>
  <c r="AE1055" i="4" a="1"/>
  <c r="AE1055" i="4" s="1"/>
  <c r="AE1056" i="4" a="1"/>
  <c r="AE1056" i="4" s="1"/>
  <c r="AE1057" i="4" a="1"/>
  <c r="AE1057" i="4" s="1"/>
  <c r="AE1058" i="4" a="1"/>
  <c r="AE1058" i="4" s="1"/>
  <c r="AE1059" i="4" a="1"/>
  <c r="AE1059" i="4" s="1"/>
  <c r="AE1060" i="4" a="1"/>
  <c r="AE1060" i="4" s="1"/>
  <c r="AE1061" i="4" a="1"/>
  <c r="AE1061" i="4" s="1"/>
  <c r="AE1062" i="4" a="1"/>
  <c r="AE1062" i="4" s="1"/>
  <c r="AE1063" i="4" a="1"/>
  <c r="AE1063" i="4" s="1"/>
  <c r="AE1064" i="4" a="1"/>
  <c r="AE1064" i="4" s="1"/>
  <c r="AE1065" i="4" a="1"/>
  <c r="AE1065" i="4" s="1"/>
  <c r="AE1066" i="4" a="1"/>
  <c r="AE1066" i="4" s="1"/>
  <c r="AE1067" i="4" a="1"/>
  <c r="AE1067" i="4" s="1"/>
  <c r="AE1068" i="4" a="1"/>
  <c r="AE1068" i="4" s="1"/>
  <c r="AE1069" i="4" a="1"/>
  <c r="AE1069" i="4" s="1"/>
  <c r="AE1070" i="4" a="1"/>
  <c r="AE1070" i="4" s="1"/>
  <c r="AE1071" i="4" a="1"/>
  <c r="AE1071" i="4" s="1"/>
  <c r="AE1072" i="4" a="1"/>
  <c r="AE1072" i="4" s="1"/>
  <c r="AE1073" i="4" a="1"/>
  <c r="AE1073" i="4" s="1"/>
  <c r="AE1074" i="4" a="1"/>
  <c r="AE1074" i="4" s="1"/>
  <c r="AE1075" i="4" a="1"/>
  <c r="AE1075" i="4" s="1"/>
  <c r="AE1076" i="4" a="1"/>
  <c r="AE1076" i="4" s="1"/>
  <c r="AE1077" i="4" a="1"/>
  <c r="AE1077" i="4" s="1"/>
  <c r="AE1078" i="4" a="1"/>
  <c r="AE1078" i="4" s="1"/>
  <c r="AE1079" i="4" a="1"/>
  <c r="AE1079" i="4" s="1"/>
  <c r="AE1080" i="4" a="1"/>
  <c r="AE1080" i="4" s="1"/>
  <c r="AE1081" i="4" a="1"/>
  <c r="AE1081" i="4" s="1"/>
  <c r="AE1082" i="4" a="1"/>
  <c r="AE1082" i="4" s="1"/>
  <c r="AE1083" i="4" a="1"/>
  <c r="AE1083" i="4" s="1"/>
  <c r="AE1084" i="4" a="1"/>
  <c r="AE1084" i="4" s="1"/>
  <c r="AE1085" i="4" a="1"/>
  <c r="AE1085" i="4" s="1"/>
  <c r="AE1086" i="4" a="1"/>
  <c r="AE1086" i="4" s="1"/>
  <c r="AE1087" i="4" a="1"/>
  <c r="AE1087" i="4" s="1"/>
  <c r="AE1088" i="4" a="1"/>
  <c r="AE1088" i="4" s="1"/>
  <c r="AE1089" i="4" a="1"/>
  <c r="AE1089" i="4" s="1"/>
  <c r="AE1090" i="4" a="1"/>
  <c r="AE1090" i="4" s="1"/>
  <c r="AE1091" i="4" a="1"/>
  <c r="AE1091" i="4" s="1"/>
  <c r="AE1092" i="4" a="1"/>
  <c r="AE1092" i="4" s="1"/>
  <c r="AE1093" i="4" a="1"/>
  <c r="AE1093" i="4" s="1"/>
  <c r="AE1094" i="4" a="1"/>
  <c r="AE1094" i="4" s="1"/>
  <c r="AE1095" i="4" a="1"/>
  <c r="AE1095" i="4" s="1"/>
  <c r="AE1096" i="4" a="1"/>
  <c r="AE1096" i="4" s="1"/>
  <c r="AE1097" i="4" a="1"/>
  <c r="AE1097" i="4" s="1"/>
  <c r="AE1098" i="4" a="1"/>
  <c r="AE1098" i="4" s="1"/>
  <c r="AE1099" i="4" a="1"/>
  <c r="AE1099" i="4" s="1"/>
  <c r="AE1100" i="4" a="1"/>
  <c r="AE1100" i="4" s="1"/>
  <c r="AE1101" i="4" a="1"/>
  <c r="AE1101" i="4" s="1"/>
  <c r="AE1102" i="4" a="1"/>
  <c r="AE1102" i="4" s="1"/>
  <c r="AE1103" i="4" a="1"/>
  <c r="AE1103" i="4" s="1"/>
  <c r="AE1104" i="4" a="1"/>
  <c r="AE1104" i="4" s="1"/>
  <c r="AE1105" i="4" a="1"/>
  <c r="AE1105" i="4" s="1"/>
  <c r="AE1106" i="4" a="1"/>
  <c r="AE1106" i="4" s="1"/>
  <c r="AE1107" i="4" a="1"/>
  <c r="AE1107" i="4" s="1"/>
  <c r="AE1108" i="4" a="1"/>
  <c r="AE1108" i="4" s="1"/>
  <c r="AE1109" i="4" a="1"/>
  <c r="AE1109" i="4" s="1"/>
  <c r="AE1110" i="4" a="1"/>
  <c r="AE1110" i="4" s="1"/>
  <c r="AE1111" i="4" a="1"/>
  <c r="AE1111" i="4" s="1"/>
  <c r="AE1112" i="4" a="1"/>
  <c r="AE1112" i="4" s="1"/>
  <c r="AE1113" i="4" a="1"/>
  <c r="AE1113" i="4" s="1"/>
  <c r="AE1114" i="4" a="1"/>
  <c r="AE1114" i="4" s="1"/>
  <c r="AE1115" i="4" a="1"/>
  <c r="AE1115" i="4" s="1"/>
  <c r="AE1116" i="4" a="1"/>
  <c r="AE1116" i="4" s="1"/>
  <c r="AE1117" i="4" a="1"/>
  <c r="AE1117" i="4" s="1"/>
  <c r="AE1118" i="4" a="1"/>
  <c r="AE1118" i="4" s="1"/>
  <c r="AE1119" i="4" a="1"/>
  <c r="AE1119" i="4" s="1"/>
  <c r="AE1120" i="4" a="1"/>
  <c r="AE1120" i="4" s="1"/>
  <c r="AE1121" i="4" a="1"/>
  <c r="AE1121" i="4" s="1"/>
  <c r="AE1122" i="4" a="1"/>
  <c r="AE1122" i="4" s="1"/>
  <c r="AE1123" i="4" a="1"/>
  <c r="AE1123" i="4" s="1"/>
  <c r="AE1124" i="4" a="1"/>
  <c r="AE1124" i="4" s="1"/>
  <c r="AE1125" i="4" a="1"/>
  <c r="AE1125" i="4" s="1"/>
  <c r="AE1126" i="4" a="1"/>
  <c r="AE1126" i="4" s="1"/>
  <c r="AE1127" i="4" a="1"/>
  <c r="AE1127" i="4" s="1"/>
  <c r="AE1128" i="4" a="1"/>
  <c r="AE1128" i="4" s="1"/>
  <c r="AE1129" i="4" a="1"/>
  <c r="AE1129" i="4" s="1"/>
  <c r="AE1130" i="4" a="1"/>
  <c r="AE1130" i="4" s="1"/>
  <c r="AE1131" i="4" a="1"/>
  <c r="AE1131" i="4" s="1"/>
  <c r="AE1132" i="4" a="1"/>
  <c r="AE1132" i="4" s="1"/>
  <c r="AE1133" i="4" a="1"/>
  <c r="AE1133" i="4" s="1"/>
  <c r="AE1134" i="4" a="1"/>
  <c r="AE1134" i="4" s="1"/>
  <c r="AE1135" i="4" a="1"/>
  <c r="AE1135" i="4" s="1"/>
  <c r="AE1136" i="4" a="1"/>
  <c r="AE1136" i="4" s="1"/>
  <c r="AE1137" i="4" a="1"/>
  <c r="AE1137" i="4" s="1"/>
  <c r="AD326" i="4"/>
  <c r="AD327" i="4"/>
  <c r="AD328" i="4"/>
  <c r="AD329" i="4"/>
  <c r="AD330" i="4"/>
  <c r="AD331" i="4"/>
  <c r="AD332" i="4"/>
  <c r="AD333" i="4"/>
  <c r="AD334" i="4"/>
  <c r="AD335" i="4"/>
  <c r="AD336" i="4"/>
  <c r="AD337" i="4"/>
  <c r="AD338" i="4"/>
  <c r="AD339" i="4"/>
  <c r="AD340" i="4"/>
  <c r="AD341" i="4"/>
  <c r="AD342" i="4"/>
  <c r="AD343" i="4"/>
  <c r="AD344" i="4"/>
  <c r="AD345" i="4"/>
  <c r="AD346" i="4"/>
  <c r="AD347" i="4"/>
  <c r="AD348" i="4"/>
  <c r="AD349" i="4"/>
  <c r="AD350" i="4"/>
  <c r="AD351" i="4"/>
  <c r="AD352" i="4"/>
  <c r="AD353" i="4"/>
  <c r="AD354" i="4"/>
  <c r="AD355" i="4"/>
  <c r="AD356" i="4"/>
  <c r="AD357" i="4"/>
  <c r="AD358" i="4"/>
  <c r="AD359" i="4"/>
  <c r="AD360" i="4"/>
  <c r="AD361" i="4"/>
  <c r="AD362" i="4"/>
  <c r="AD363" i="4"/>
  <c r="AD364" i="4"/>
  <c r="AD365" i="4"/>
  <c r="AD366" i="4"/>
  <c r="AD367" i="4"/>
  <c r="AD368" i="4"/>
  <c r="AD369" i="4"/>
  <c r="AD370" i="4"/>
  <c r="AD371" i="4"/>
  <c r="AD372" i="4"/>
  <c r="AD373" i="4"/>
  <c r="AD374" i="4"/>
  <c r="AD375" i="4"/>
  <c r="AD376" i="4"/>
  <c r="AD377" i="4"/>
  <c r="AD378" i="4"/>
  <c r="AD379" i="4"/>
  <c r="AD380" i="4"/>
  <c r="AD381" i="4"/>
  <c r="AD382" i="4"/>
  <c r="AD383" i="4"/>
  <c r="AD384" i="4"/>
  <c r="AD385" i="4"/>
  <c r="AD386" i="4"/>
  <c r="AD387" i="4"/>
  <c r="AD388" i="4"/>
  <c r="AD389" i="4"/>
  <c r="AD390" i="4"/>
  <c r="AD391" i="4"/>
  <c r="AD392" i="4"/>
  <c r="AD393" i="4"/>
  <c r="AD394" i="4"/>
  <c r="AD395" i="4"/>
  <c r="AD396" i="4"/>
  <c r="AD397" i="4"/>
  <c r="AD398" i="4"/>
  <c r="AD399" i="4"/>
  <c r="AD400" i="4"/>
  <c r="AD401" i="4"/>
  <c r="AD402" i="4"/>
  <c r="AD403" i="4"/>
  <c r="AD404" i="4"/>
  <c r="AD405" i="4"/>
  <c r="AD406" i="4"/>
  <c r="AD407" i="4"/>
  <c r="AD408" i="4"/>
  <c r="AD409" i="4"/>
  <c r="AD410" i="4"/>
  <c r="AD411" i="4"/>
  <c r="AD412" i="4"/>
  <c r="AD413" i="4"/>
  <c r="AD414" i="4"/>
  <c r="AD415" i="4"/>
  <c r="AD416" i="4"/>
  <c r="AD417" i="4"/>
  <c r="AD418" i="4"/>
  <c r="AD419" i="4"/>
  <c r="AD420" i="4"/>
  <c r="AD421" i="4"/>
  <c r="AD422" i="4"/>
  <c r="AD423" i="4"/>
  <c r="AD424" i="4"/>
  <c r="AD425" i="4"/>
  <c r="AD426" i="4"/>
  <c r="AD427" i="4"/>
  <c r="AD428" i="4"/>
  <c r="AD429" i="4"/>
  <c r="AD430" i="4"/>
  <c r="AD431" i="4"/>
  <c r="AD432" i="4"/>
  <c r="AD433" i="4"/>
  <c r="AD434" i="4"/>
  <c r="AD435" i="4"/>
  <c r="AD436" i="4"/>
  <c r="AD437" i="4"/>
  <c r="AD438" i="4"/>
  <c r="AD439" i="4"/>
  <c r="AD440" i="4"/>
  <c r="AD441" i="4"/>
  <c r="AD442" i="4"/>
  <c r="AD443" i="4"/>
  <c r="AD444" i="4"/>
  <c r="AD445" i="4"/>
  <c r="AD446" i="4"/>
  <c r="AD447" i="4"/>
  <c r="AD448" i="4"/>
  <c r="AD449" i="4"/>
  <c r="AD450" i="4"/>
  <c r="AD451" i="4"/>
  <c r="AD452" i="4"/>
  <c r="AD453" i="4"/>
  <c r="AD454" i="4"/>
  <c r="AD455" i="4"/>
  <c r="AD456" i="4"/>
  <c r="AD457" i="4"/>
  <c r="AD458" i="4"/>
  <c r="AD459" i="4"/>
  <c r="AD460" i="4"/>
  <c r="AD461" i="4"/>
  <c r="AD462" i="4"/>
  <c r="AD463" i="4"/>
  <c r="AD464" i="4"/>
  <c r="AD465" i="4"/>
  <c r="AD466" i="4"/>
  <c r="AD467" i="4"/>
  <c r="AD468" i="4"/>
  <c r="AD469" i="4"/>
  <c r="AD470" i="4"/>
  <c r="AD471" i="4"/>
  <c r="AD472" i="4"/>
  <c r="AD473" i="4"/>
  <c r="AD474" i="4"/>
  <c r="AD475" i="4"/>
  <c r="AD476" i="4"/>
  <c r="AD477" i="4"/>
  <c r="AD478" i="4"/>
  <c r="AD479" i="4"/>
  <c r="AD480" i="4"/>
  <c r="AD481" i="4"/>
  <c r="AD482" i="4"/>
  <c r="AD483" i="4"/>
  <c r="AD484" i="4"/>
  <c r="AD485" i="4"/>
  <c r="AD486" i="4"/>
  <c r="AD487" i="4"/>
  <c r="AD488" i="4"/>
  <c r="AD489" i="4"/>
  <c r="AD490" i="4"/>
  <c r="AD491" i="4"/>
  <c r="AD492" i="4"/>
  <c r="AD493" i="4"/>
  <c r="AD494" i="4"/>
  <c r="AD495" i="4"/>
  <c r="AD496" i="4"/>
  <c r="AD497" i="4"/>
  <c r="AD498" i="4"/>
  <c r="AD499" i="4"/>
  <c r="AD500" i="4"/>
  <c r="AD501" i="4"/>
  <c r="AD502" i="4"/>
  <c r="AD503" i="4"/>
  <c r="AD504" i="4"/>
  <c r="AD505" i="4"/>
  <c r="AD506" i="4"/>
  <c r="AD507" i="4"/>
  <c r="AD508" i="4"/>
  <c r="AD509" i="4"/>
  <c r="AD510" i="4"/>
  <c r="AD511" i="4"/>
  <c r="AD512" i="4"/>
  <c r="AD513" i="4"/>
  <c r="AD514" i="4"/>
  <c r="AD515" i="4"/>
  <c r="AD516" i="4"/>
  <c r="AD517" i="4"/>
  <c r="AD518" i="4"/>
  <c r="AD519" i="4"/>
  <c r="AD520" i="4"/>
  <c r="AD521" i="4"/>
  <c r="AD522" i="4"/>
  <c r="AD523" i="4"/>
  <c r="AD524" i="4"/>
  <c r="AD525" i="4"/>
  <c r="AD526" i="4"/>
  <c r="AD527" i="4"/>
  <c r="AD528" i="4"/>
  <c r="AD529" i="4"/>
  <c r="AD530" i="4"/>
  <c r="AD531" i="4"/>
  <c r="AD532" i="4"/>
  <c r="AD533" i="4"/>
  <c r="AD534" i="4"/>
  <c r="AD535" i="4"/>
  <c r="AD536" i="4"/>
  <c r="AD537" i="4"/>
  <c r="AD538" i="4"/>
  <c r="AD539" i="4"/>
  <c r="AD540" i="4"/>
  <c r="AD541" i="4"/>
  <c r="AD542" i="4"/>
  <c r="AD543" i="4"/>
  <c r="AD544" i="4"/>
  <c r="AD545" i="4"/>
  <c r="AD546" i="4"/>
  <c r="AD547" i="4"/>
  <c r="AD548" i="4"/>
  <c r="AD549" i="4"/>
  <c r="AD550" i="4"/>
  <c r="AD551" i="4"/>
  <c r="AD552" i="4"/>
  <c r="AD553" i="4"/>
  <c r="AD554" i="4"/>
  <c r="AD555" i="4"/>
  <c r="AD556" i="4"/>
  <c r="AD557" i="4"/>
  <c r="AD558" i="4"/>
  <c r="AD559" i="4"/>
  <c r="AD560" i="4"/>
  <c r="AD561" i="4"/>
  <c r="AD562" i="4"/>
  <c r="AD563" i="4"/>
  <c r="AD564" i="4"/>
  <c r="AD565" i="4"/>
  <c r="AD566" i="4"/>
  <c r="AD567" i="4"/>
  <c r="AD568" i="4"/>
  <c r="AD569" i="4"/>
  <c r="AD570" i="4"/>
  <c r="AD571" i="4"/>
  <c r="AD572" i="4"/>
  <c r="AD573" i="4"/>
  <c r="AD574" i="4"/>
  <c r="AD575" i="4"/>
  <c r="AD576" i="4"/>
  <c r="AD577" i="4"/>
  <c r="AD578" i="4"/>
  <c r="AD579" i="4"/>
  <c r="AD580" i="4"/>
  <c r="AD581" i="4"/>
  <c r="AD582" i="4"/>
  <c r="AD583" i="4"/>
  <c r="AD584" i="4"/>
  <c r="AD585" i="4"/>
  <c r="AD586" i="4"/>
  <c r="AD587" i="4"/>
  <c r="AD588" i="4"/>
  <c r="AD589" i="4"/>
  <c r="AD590" i="4"/>
  <c r="AD591" i="4"/>
  <c r="AD592" i="4"/>
  <c r="AD593" i="4"/>
  <c r="AD594" i="4"/>
  <c r="AD595" i="4"/>
  <c r="AD596" i="4"/>
  <c r="AD597" i="4"/>
  <c r="AD598" i="4"/>
  <c r="AD599" i="4"/>
  <c r="AD600" i="4"/>
  <c r="AD601" i="4"/>
  <c r="AD602" i="4"/>
  <c r="AD603" i="4"/>
  <c r="AD604" i="4"/>
  <c r="AD605" i="4"/>
  <c r="AD606" i="4"/>
  <c r="AD607" i="4"/>
  <c r="AD608" i="4"/>
  <c r="AD609" i="4"/>
  <c r="AD610" i="4"/>
  <c r="AD611" i="4"/>
  <c r="AD612" i="4"/>
  <c r="AD613" i="4"/>
  <c r="AD614" i="4"/>
  <c r="AD615" i="4"/>
  <c r="AD616" i="4"/>
  <c r="AD617" i="4"/>
  <c r="AD618" i="4"/>
  <c r="AD619" i="4"/>
  <c r="AD620" i="4"/>
  <c r="AD621" i="4"/>
  <c r="AD622" i="4"/>
  <c r="AD623" i="4"/>
  <c r="AD624" i="4"/>
  <c r="AD625" i="4"/>
  <c r="AD626" i="4"/>
  <c r="AD627" i="4"/>
  <c r="AD628" i="4"/>
  <c r="AD629" i="4"/>
  <c r="AD630" i="4"/>
  <c r="AD631" i="4"/>
  <c r="AD632" i="4"/>
  <c r="AD633" i="4"/>
  <c r="AD634" i="4"/>
  <c r="AD635" i="4"/>
  <c r="AD636" i="4"/>
  <c r="AD637" i="4"/>
  <c r="AD638" i="4"/>
  <c r="AD639" i="4"/>
  <c r="AD640" i="4"/>
  <c r="AD641" i="4"/>
  <c r="AD642" i="4"/>
  <c r="AD643" i="4"/>
  <c r="AD644" i="4"/>
  <c r="AD645" i="4"/>
  <c r="AD646" i="4"/>
  <c r="AD647" i="4"/>
  <c r="AD648" i="4"/>
  <c r="AD649" i="4"/>
  <c r="AD650" i="4"/>
  <c r="AD651" i="4"/>
  <c r="AD652" i="4"/>
  <c r="AD653" i="4"/>
  <c r="AD654" i="4"/>
  <c r="AD655" i="4"/>
  <c r="AD656" i="4"/>
  <c r="AD657" i="4"/>
  <c r="AD658" i="4"/>
  <c r="AD659" i="4"/>
  <c r="AD660" i="4"/>
  <c r="AD661" i="4"/>
  <c r="AD662" i="4"/>
  <c r="AD663" i="4"/>
  <c r="AD664" i="4"/>
  <c r="AD665" i="4"/>
  <c r="AD666" i="4"/>
  <c r="AD667" i="4"/>
  <c r="AD668" i="4"/>
  <c r="AD669" i="4"/>
  <c r="AD670" i="4"/>
  <c r="AD671" i="4"/>
  <c r="AD672" i="4"/>
  <c r="AD673" i="4"/>
  <c r="AD674" i="4"/>
  <c r="AD675" i="4"/>
  <c r="AD676" i="4"/>
  <c r="AD677" i="4"/>
  <c r="AD678" i="4"/>
  <c r="AD679" i="4"/>
  <c r="AD680" i="4"/>
  <c r="AD681" i="4"/>
  <c r="AD682" i="4"/>
  <c r="AD683" i="4"/>
  <c r="AD684" i="4"/>
  <c r="AD685" i="4"/>
  <c r="AD686" i="4"/>
  <c r="AD687" i="4"/>
  <c r="AD688" i="4"/>
  <c r="AD689" i="4"/>
  <c r="AD690" i="4"/>
  <c r="AD691" i="4"/>
  <c r="AD692" i="4"/>
  <c r="AD693" i="4"/>
  <c r="AD694" i="4"/>
  <c r="AD695" i="4"/>
  <c r="AD696" i="4"/>
  <c r="AD697" i="4"/>
  <c r="AD698" i="4"/>
  <c r="AD699" i="4"/>
  <c r="AD700" i="4"/>
  <c r="AD701" i="4"/>
  <c r="AD702" i="4"/>
  <c r="AD703" i="4"/>
  <c r="AD704" i="4"/>
  <c r="AD705" i="4"/>
  <c r="AD706" i="4"/>
  <c r="AD707" i="4"/>
  <c r="AD708" i="4"/>
  <c r="AD709" i="4"/>
  <c r="AD710" i="4"/>
  <c r="AD711" i="4"/>
  <c r="AD712" i="4"/>
  <c r="AD713" i="4"/>
  <c r="AD714" i="4"/>
  <c r="AD715" i="4"/>
  <c r="AD716" i="4"/>
  <c r="AD717" i="4"/>
  <c r="AD718" i="4"/>
  <c r="AD719" i="4"/>
  <c r="AD720" i="4"/>
  <c r="AD721" i="4"/>
  <c r="AD722" i="4"/>
  <c r="AD723" i="4"/>
  <c r="AD724" i="4"/>
  <c r="AD725" i="4"/>
  <c r="AD726" i="4"/>
  <c r="AD727" i="4"/>
  <c r="AD728" i="4"/>
  <c r="AD729" i="4"/>
  <c r="AD730" i="4"/>
  <c r="AD731" i="4"/>
  <c r="AD732" i="4"/>
  <c r="AD733" i="4"/>
  <c r="AD734" i="4"/>
  <c r="AD735" i="4"/>
  <c r="AD736" i="4"/>
  <c r="AD737" i="4"/>
  <c r="AD738" i="4"/>
  <c r="AD739" i="4"/>
  <c r="AD740" i="4"/>
  <c r="AD741" i="4"/>
  <c r="AD742" i="4"/>
  <c r="AD743" i="4"/>
  <c r="AD744" i="4"/>
  <c r="AD745" i="4"/>
  <c r="AD746" i="4"/>
  <c r="AD747" i="4"/>
  <c r="AD748" i="4"/>
  <c r="AD749" i="4"/>
  <c r="AD750" i="4"/>
  <c r="AD751" i="4"/>
  <c r="AD752" i="4"/>
  <c r="AD753" i="4"/>
  <c r="AD754" i="4"/>
  <c r="AD755" i="4"/>
  <c r="AD756" i="4"/>
  <c r="AD757" i="4"/>
  <c r="AD758" i="4"/>
  <c r="AD759" i="4"/>
  <c r="AD760" i="4"/>
  <c r="AD761" i="4"/>
  <c r="AD762" i="4"/>
  <c r="AD763" i="4"/>
  <c r="AD764" i="4"/>
  <c r="AD765" i="4"/>
  <c r="AD766" i="4"/>
  <c r="AD767" i="4"/>
  <c r="AD768" i="4"/>
  <c r="AD769" i="4"/>
  <c r="AD770" i="4"/>
  <c r="AD771" i="4"/>
  <c r="AD772" i="4"/>
  <c r="AD773" i="4"/>
  <c r="AD774" i="4"/>
  <c r="AD775" i="4"/>
  <c r="AD776" i="4"/>
  <c r="AD777" i="4"/>
  <c r="AD778" i="4"/>
  <c r="AD779" i="4"/>
  <c r="AD780" i="4"/>
  <c r="AD781" i="4"/>
  <c r="AD782" i="4"/>
  <c r="AD783" i="4"/>
  <c r="AD784" i="4"/>
  <c r="AD785" i="4"/>
  <c r="AD786" i="4"/>
  <c r="AD787" i="4"/>
  <c r="AD788" i="4"/>
  <c r="AD789" i="4"/>
  <c r="AD790" i="4"/>
  <c r="AD791" i="4"/>
  <c r="AD792" i="4"/>
  <c r="AD793" i="4"/>
  <c r="AD794" i="4"/>
  <c r="AD795" i="4"/>
  <c r="AD796" i="4"/>
  <c r="AD797" i="4"/>
  <c r="AD798" i="4"/>
  <c r="AD799" i="4"/>
  <c r="AD800" i="4"/>
  <c r="AD801" i="4"/>
  <c r="AD802" i="4"/>
  <c r="AD803" i="4"/>
  <c r="AD804" i="4"/>
  <c r="AD805" i="4"/>
  <c r="AD806" i="4"/>
  <c r="AD807" i="4"/>
  <c r="AD808" i="4"/>
  <c r="AD809" i="4"/>
  <c r="AD810" i="4"/>
  <c r="AD811" i="4"/>
  <c r="AD812" i="4"/>
  <c r="AD813" i="4"/>
  <c r="AD814" i="4"/>
  <c r="AD815" i="4"/>
  <c r="AD816" i="4"/>
  <c r="AD817" i="4"/>
  <c r="AD818" i="4"/>
  <c r="AD819" i="4"/>
  <c r="AD820" i="4"/>
  <c r="AD821" i="4"/>
  <c r="AD822" i="4"/>
  <c r="AD823" i="4"/>
  <c r="AD824" i="4"/>
  <c r="AD825" i="4"/>
  <c r="AD826" i="4"/>
  <c r="AD827" i="4"/>
  <c r="AD828" i="4"/>
  <c r="AD829" i="4"/>
  <c r="AD830" i="4"/>
  <c r="AD831" i="4"/>
  <c r="AD832" i="4"/>
  <c r="AD833" i="4"/>
  <c r="AD834" i="4"/>
  <c r="AD835" i="4"/>
  <c r="AD836" i="4"/>
  <c r="AD837" i="4"/>
  <c r="AD838" i="4"/>
  <c r="AD839" i="4"/>
  <c r="AD840" i="4"/>
  <c r="AD841" i="4"/>
  <c r="AD842" i="4"/>
  <c r="AD843" i="4"/>
  <c r="AD844" i="4"/>
  <c r="AD845" i="4"/>
  <c r="AD846" i="4"/>
  <c r="AD847" i="4"/>
  <c r="AD848" i="4"/>
  <c r="AD849" i="4"/>
  <c r="AD850" i="4"/>
  <c r="AD851" i="4"/>
  <c r="AD852" i="4"/>
  <c r="AD853" i="4"/>
  <c r="AD854" i="4"/>
  <c r="AD855" i="4"/>
  <c r="AD856" i="4"/>
  <c r="AD857" i="4"/>
  <c r="AD858" i="4"/>
  <c r="AD859" i="4"/>
  <c r="AD860" i="4"/>
  <c r="AD861" i="4"/>
  <c r="AD862" i="4"/>
  <c r="AD863" i="4"/>
  <c r="AD864" i="4"/>
  <c r="AD865" i="4"/>
  <c r="AD866" i="4"/>
  <c r="AD867" i="4"/>
  <c r="AD868" i="4"/>
  <c r="AD869" i="4"/>
  <c r="AD870" i="4"/>
  <c r="AD871" i="4"/>
  <c r="AD872" i="4"/>
  <c r="AD873" i="4"/>
  <c r="AD874" i="4"/>
  <c r="AD875" i="4"/>
  <c r="AD876" i="4"/>
  <c r="AD877" i="4"/>
  <c r="AD878" i="4"/>
  <c r="AD879" i="4"/>
  <c r="AD880" i="4"/>
  <c r="AD881" i="4"/>
  <c r="AD882" i="4"/>
  <c r="AD883" i="4"/>
  <c r="AD884" i="4"/>
  <c r="AD885" i="4"/>
  <c r="AD886" i="4"/>
  <c r="AD887" i="4"/>
  <c r="AD888" i="4"/>
  <c r="AD889" i="4"/>
  <c r="AD890" i="4"/>
  <c r="AD891" i="4"/>
  <c r="AD892" i="4"/>
  <c r="AD893" i="4"/>
  <c r="AD894" i="4"/>
  <c r="AD895" i="4"/>
  <c r="AD896" i="4"/>
  <c r="AD897" i="4"/>
  <c r="AD898" i="4"/>
  <c r="AD899" i="4"/>
  <c r="AD900" i="4"/>
  <c r="AD901" i="4"/>
  <c r="AD902" i="4"/>
  <c r="AD903" i="4"/>
  <c r="AD904" i="4"/>
  <c r="AD905" i="4"/>
  <c r="AD906" i="4"/>
  <c r="AD907" i="4"/>
  <c r="AD908" i="4"/>
  <c r="AD909" i="4"/>
  <c r="AD910" i="4"/>
  <c r="AD911" i="4"/>
  <c r="AD912" i="4"/>
  <c r="AD913" i="4"/>
  <c r="AD914" i="4"/>
  <c r="AD915" i="4"/>
  <c r="AD916" i="4"/>
  <c r="AD917" i="4"/>
  <c r="AD918" i="4"/>
  <c r="AD919" i="4"/>
  <c r="AD920" i="4"/>
  <c r="AD921" i="4"/>
  <c r="AD922" i="4"/>
  <c r="AD923" i="4"/>
  <c r="AD924" i="4"/>
  <c r="AD925" i="4"/>
  <c r="AD926" i="4"/>
  <c r="AD927" i="4"/>
  <c r="AD928" i="4"/>
  <c r="AD929" i="4"/>
  <c r="AD930" i="4"/>
  <c r="AD931" i="4"/>
  <c r="AD932" i="4"/>
  <c r="AD933" i="4"/>
  <c r="AD934" i="4"/>
  <c r="AD935" i="4"/>
  <c r="AD936" i="4"/>
  <c r="AD937" i="4"/>
  <c r="AD938" i="4"/>
  <c r="AD939" i="4"/>
  <c r="AD940" i="4"/>
  <c r="AD941" i="4"/>
  <c r="AD942" i="4"/>
  <c r="AD943" i="4"/>
  <c r="AD944" i="4"/>
  <c r="AD945" i="4"/>
  <c r="AD946" i="4"/>
  <c r="AD947" i="4"/>
  <c r="AD948" i="4"/>
  <c r="AD949" i="4"/>
  <c r="AD950" i="4"/>
  <c r="AD951" i="4"/>
  <c r="AD952" i="4"/>
  <c r="AD953" i="4"/>
  <c r="AD954" i="4"/>
  <c r="AD955" i="4"/>
  <c r="AD956" i="4"/>
  <c r="AD957" i="4"/>
  <c r="AD958" i="4"/>
  <c r="AD959" i="4"/>
  <c r="AD960" i="4"/>
  <c r="AD961" i="4"/>
  <c r="AD962" i="4"/>
  <c r="AD963" i="4"/>
  <c r="AD964" i="4"/>
  <c r="AD965" i="4"/>
  <c r="AD966" i="4"/>
  <c r="AD967" i="4"/>
  <c r="AD968" i="4"/>
  <c r="AD969" i="4"/>
  <c r="AD970" i="4"/>
  <c r="AD971" i="4"/>
  <c r="AD972" i="4"/>
  <c r="AD973" i="4"/>
  <c r="AD974" i="4"/>
  <c r="AD975" i="4"/>
  <c r="AD976" i="4"/>
  <c r="AD977" i="4"/>
  <c r="AD978" i="4"/>
  <c r="AD979" i="4"/>
  <c r="AD980" i="4"/>
  <c r="AD981" i="4"/>
  <c r="AD982" i="4"/>
  <c r="AD983" i="4"/>
  <c r="AD984" i="4"/>
  <c r="AD985" i="4"/>
  <c r="AD986" i="4"/>
  <c r="AD987" i="4"/>
  <c r="AD988" i="4"/>
  <c r="AD989" i="4"/>
  <c r="AD990" i="4"/>
  <c r="AD991" i="4"/>
  <c r="AD992" i="4"/>
  <c r="AD993" i="4"/>
  <c r="AD994" i="4"/>
  <c r="AD995" i="4"/>
  <c r="AD996" i="4"/>
  <c r="AD997" i="4"/>
  <c r="AD998" i="4"/>
  <c r="AD999" i="4"/>
  <c r="AD1000" i="4"/>
  <c r="AD1001" i="4"/>
  <c r="AD1002" i="4"/>
  <c r="AD1003" i="4"/>
  <c r="AD1004" i="4"/>
  <c r="AD1005" i="4"/>
  <c r="AD1006" i="4"/>
  <c r="AD1007" i="4"/>
  <c r="AD1008" i="4"/>
  <c r="AD1009" i="4"/>
  <c r="AD1010" i="4"/>
  <c r="AD1011" i="4"/>
  <c r="AD1012" i="4"/>
  <c r="AD1013" i="4"/>
  <c r="AD1014" i="4"/>
  <c r="AD1015" i="4"/>
  <c r="AD1016" i="4"/>
  <c r="AD1017" i="4"/>
  <c r="AD1018" i="4"/>
  <c r="AD1019" i="4"/>
  <c r="AD1020" i="4"/>
  <c r="AD1021" i="4"/>
  <c r="AD1022" i="4"/>
  <c r="AD1023" i="4"/>
  <c r="AD1024" i="4"/>
  <c r="AD1025" i="4"/>
  <c r="AD1026" i="4"/>
  <c r="AD1027" i="4"/>
  <c r="AD1028" i="4"/>
  <c r="AD1029" i="4"/>
  <c r="AD1030" i="4"/>
  <c r="AD1031" i="4"/>
  <c r="AD1032" i="4"/>
  <c r="AD1033" i="4"/>
  <c r="AD1034" i="4"/>
  <c r="AD1035" i="4"/>
  <c r="AD1036" i="4"/>
  <c r="AD1037" i="4"/>
  <c r="AD1038" i="4"/>
  <c r="AD1039" i="4"/>
  <c r="AD1040" i="4"/>
  <c r="AD1041" i="4"/>
  <c r="AD1042" i="4"/>
  <c r="AD1043" i="4"/>
  <c r="AD1044" i="4"/>
  <c r="AD1045" i="4"/>
  <c r="AD1046" i="4"/>
  <c r="AD1047" i="4"/>
  <c r="AD1048" i="4"/>
  <c r="AD1049" i="4"/>
  <c r="AD1050" i="4"/>
  <c r="AD1051" i="4"/>
  <c r="AD1052" i="4"/>
  <c r="AD1053" i="4"/>
  <c r="AD1054" i="4"/>
  <c r="AD1055" i="4"/>
  <c r="AD1056" i="4"/>
  <c r="AD1057" i="4"/>
  <c r="AD1058" i="4"/>
  <c r="AD1059" i="4"/>
  <c r="AD1060" i="4"/>
  <c r="AD1061" i="4"/>
  <c r="AD1062" i="4"/>
  <c r="AD1063" i="4"/>
  <c r="AD1064" i="4"/>
  <c r="AD1065" i="4"/>
  <c r="AD1066" i="4"/>
  <c r="AD1067" i="4"/>
  <c r="AD1068" i="4"/>
  <c r="AD1069" i="4"/>
  <c r="AD1070" i="4"/>
  <c r="AD1071" i="4"/>
  <c r="AD1072" i="4"/>
  <c r="AD1073" i="4"/>
  <c r="AD1074" i="4"/>
  <c r="AD1075" i="4"/>
  <c r="AD1076" i="4"/>
  <c r="AD1077" i="4"/>
  <c r="AD1078" i="4"/>
  <c r="AD1079" i="4"/>
  <c r="AD1080" i="4"/>
  <c r="AD1081" i="4"/>
  <c r="AD1082" i="4"/>
  <c r="AD1083" i="4"/>
  <c r="AD1084" i="4"/>
  <c r="AD1085" i="4"/>
  <c r="AD1086" i="4"/>
  <c r="AD1087" i="4"/>
  <c r="AD1088" i="4"/>
  <c r="AD1089" i="4"/>
  <c r="AD1090" i="4"/>
  <c r="AD1091" i="4"/>
  <c r="AD1092" i="4"/>
  <c r="AD1093" i="4"/>
  <c r="AD1094" i="4"/>
  <c r="AD1095" i="4"/>
  <c r="AD1096" i="4"/>
  <c r="AD1097" i="4"/>
  <c r="AD1098" i="4"/>
  <c r="AD1099" i="4"/>
  <c r="AD1100" i="4"/>
  <c r="AD1101" i="4"/>
  <c r="AD1102" i="4"/>
  <c r="AD1103" i="4"/>
  <c r="AD1104" i="4"/>
  <c r="AD1105" i="4"/>
  <c r="AD1106" i="4"/>
  <c r="AD1107" i="4"/>
  <c r="AD1108" i="4"/>
  <c r="AD1109" i="4"/>
  <c r="AD1110" i="4"/>
  <c r="AD1111" i="4"/>
  <c r="AD1112" i="4"/>
  <c r="AD1113" i="4"/>
  <c r="AD1114" i="4"/>
  <c r="AD1115" i="4"/>
  <c r="AD1116" i="4"/>
  <c r="AD1117" i="4"/>
  <c r="AD1118" i="4"/>
  <c r="AD1119" i="4"/>
  <c r="AD1120" i="4"/>
  <c r="AD1121" i="4"/>
  <c r="AD1122" i="4"/>
  <c r="AD1123" i="4"/>
  <c r="AD1124" i="4"/>
  <c r="AD1125" i="4"/>
  <c r="AD1126" i="4"/>
  <c r="AD1127" i="4"/>
  <c r="AD1128" i="4"/>
  <c r="AD1129" i="4"/>
  <c r="AD1130" i="4"/>
  <c r="AD1131" i="4"/>
  <c r="AD1132" i="4"/>
  <c r="AD1133" i="4"/>
  <c r="AD1134" i="4"/>
  <c r="AD1135" i="4"/>
  <c r="AD1136" i="4"/>
  <c r="AD1137" i="4"/>
  <c r="AD1138" i="4"/>
  <c r="AD1139" i="4"/>
  <c r="AD1140" i="4"/>
  <c r="AD1141" i="4"/>
  <c r="AD1142" i="4"/>
  <c r="AD1143" i="4"/>
  <c r="AD1144" i="4"/>
  <c r="AD1145" i="4"/>
  <c r="AD1146" i="4"/>
  <c r="AD1147" i="4"/>
  <c r="AD1148" i="4"/>
  <c r="AD1149" i="4"/>
  <c r="AD1150" i="4"/>
  <c r="AD1151" i="4"/>
  <c r="AD1152" i="4"/>
  <c r="AD1153" i="4"/>
  <c r="AD1154" i="4"/>
  <c r="AD1155" i="4"/>
  <c r="AD1156" i="4"/>
  <c r="AD1157" i="4"/>
  <c r="AD1158" i="4"/>
  <c r="AD1159" i="4"/>
  <c r="AD1160" i="4"/>
  <c r="AD1161" i="4"/>
  <c r="AD1162" i="4"/>
  <c r="AD1163" i="4"/>
  <c r="AD1164" i="4"/>
  <c r="AD1165" i="4"/>
  <c r="AD1166" i="4"/>
  <c r="AD1167" i="4"/>
  <c r="AD1168" i="4"/>
  <c r="AD1169" i="4"/>
  <c r="AD1170" i="4"/>
  <c r="AD1171" i="4"/>
  <c r="AD1172" i="4"/>
  <c r="AD1173" i="4"/>
  <c r="AD1174" i="4"/>
  <c r="AD1175" i="4"/>
  <c r="AD1176" i="4"/>
  <c r="AD1177" i="4"/>
  <c r="AD1178" i="4"/>
  <c r="AD1179" i="4"/>
  <c r="AD1180" i="4"/>
  <c r="AD1181" i="4"/>
  <c r="AD1182" i="4"/>
  <c r="AD1183" i="4"/>
  <c r="AD1184" i="4"/>
  <c r="AD1185" i="4"/>
  <c r="AD1186" i="4"/>
  <c r="AD1187" i="4"/>
  <c r="AD1188" i="4"/>
  <c r="AD1189" i="4"/>
  <c r="AD1190" i="4"/>
  <c r="AD1191" i="4"/>
  <c r="AD1192" i="4"/>
  <c r="AD1193" i="4"/>
  <c r="AD1194" i="4"/>
  <c r="AD1195" i="4"/>
  <c r="AD1196" i="4"/>
  <c r="AD1197" i="4"/>
  <c r="AD1198" i="4"/>
  <c r="AD1199" i="4"/>
  <c r="AD1200" i="4"/>
  <c r="AD1201" i="4"/>
  <c r="AD1202" i="4"/>
  <c r="AD1203" i="4"/>
  <c r="AD1204" i="4"/>
  <c r="AD120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AA458" i="4"/>
  <c r="AA459" i="4"/>
  <c r="AA460" i="4"/>
  <c r="AA461" i="4"/>
  <c r="AA462" i="4"/>
  <c r="AA463" i="4"/>
  <c r="AA464" i="4"/>
  <c r="AA465" i="4"/>
  <c r="AA466" i="4"/>
  <c r="AA467" i="4"/>
  <c r="AA468" i="4"/>
  <c r="AA469" i="4"/>
  <c r="AA470" i="4"/>
  <c r="AA471" i="4"/>
  <c r="AA472" i="4"/>
  <c r="AA473" i="4"/>
  <c r="AA474" i="4"/>
  <c r="AA475" i="4"/>
  <c r="AA476" i="4"/>
  <c r="AA477" i="4"/>
  <c r="AA478" i="4"/>
  <c r="AA479" i="4"/>
  <c r="AA480" i="4"/>
  <c r="AA481" i="4"/>
  <c r="AA482" i="4"/>
  <c r="AA483" i="4"/>
  <c r="AA484" i="4"/>
  <c r="AA485" i="4"/>
  <c r="AA486" i="4"/>
  <c r="AA487" i="4"/>
  <c r="AA488" i="4"/>
  <c r="AA489" i="4"/>
  <c r="AA490" i="4"/>
  <c r="AA491" i="4"/>
  <c r="AA492" i="4"/>
  <c r="AA493" i="4"/>
  <c r="AA494" i="4"/>
  <c r="AA495" i="4"/>
  <c r="AA496" i="4"/>
  <c r="AA497" i="4"/>
  <c r="AA498" i="4"/>
  <c r="AA499" i="4"/>
  <c r="AA500" i="4"/>
  <c r="AA501" i="4"/>
  <c r="AA502" i="4"/>
  <c r="AA503" i="4"/>
  <c r="AA504" i="4"/>
  <c r="AA505" i="4"/>
  <c r="AA506" i="4"/>
  <c r="AA507" i="4"/>
  <c r="AA508" i="4"/>
  <c r="AA509" i="4"/>
  <c r="AA510" i="4"/>
  <c r="AA511" i="4"/>
  <c r="AA512" i="4"/>
  <c r="AA513" i="4"/>
  <c r="AA514" i="4"/>
  <c r="AA515" i="4"/>
  <c r="AA516" i="4"/>
  <c r="AA517" i="4"/>
  <c r="AA518" i="4"/>
  <c r="AA519" i="4"/>
  <c r="AA520" i="4"/>
  <c r="AA521" i="4"/>
  <c r="AA522" i="4"/>
  <c r="AA523" i="4"/>
  <c r="AA524" i="4"/>
  <c r="AA525" i="4"/>
  <c r="AA526" i="4"/>
  <c r="AA527" i="4"/>
  <c r="AA528" i="4"/>
  <c r="AA529" i="4"/>
  <c r="AA530" i="4"/>
  <c r="AA531" i="4"/>
  <c r="AA532" i="4"/>
  <c r="AA533" i="4"/>
  <c r="AA534" i="4"/>
  <c r="AA535" i="4"/>
  <c r="AA536" i="4"/>
  <c r="AA537" i="4"/>
  <c r="AA538" i="4"/>
  <c r="AA539" i="4"/>
  <c r="AA540" i="4"/>
  <c r="AA541" i="4"/>
  <c r="AA542" i="4"/>
  <c r="AA543" i="4"/>
  <c r="AA544" i="4"/>
  <c r="AA545" i="4"/>
  <c r="AA546" i="4"/>
  <c r="AA547" i="4"/>
  <c r="AA548" i="4"/>
  <c r="AA549" i="4"/>
  <c r="AA550" i="4"/>
  <c r="AA551" i="4"/>
  <c r="AA552" i="4"/>
  <c r="AA553" i="4"/>
  <c r="AA554" i="4"/>
  <c r="AA555" i="4"/>
  <c r="AA556" i="4"/>
  <c r="AA557" i="4"/>
  <c r="AA558" i="4"/>
  <c r="AA559" i="4"/>
  <c r="AA560" i="4"/>
  <c r="AA561" i="4"/>
  <c r="AA562" i="4"/>
  <c r="AA563" i="4"/>
  <c r="AA564" i="4"/>
  <c r="AA565" i="4"/>
  <c r="AA566" i="4"/>
  <c r="AA567" i="4"/>
  <c r="AA568" i="4"/>
  <c r="AA569" i="4"/>
  <c r="AA570" i="4"/>
  <c r="AA571" i="4"/>
  <c r="AA572" i="4"/>
  <c r="AA573" i="4"/>
  <c r="AA574" i="4"/>
  <c r="AA575" i="4"/>
  <c r="AA576" i="4"/>
  <c r="AA577" i="4"/>
  <c r="AA578" i="4"/>
  <c r="AA579" i="4"/>
  <c r="AA580" i="4"/>
  <c r="AA581" i="4"/>
  <c r="AA582" i="4"/>
  <c r="AA583" i="4"/>
  <c r="AA584" i="4"/>
  <c r="AA585" i="4"/>
  <c r="AA586" i="4"/>
  <c r="AA587" i="4"/>
  <c r="AA588" i="4"/>
  <c r="AA589" i="4"/>
  <c r="AA590" i="4"/>
  <c r="AA591" i="4"/>
  <c r="AA592" i="4"/>
  <c r="AA593" i="4"/>
  <c r="AA594" i="4"/>
  <c r="AA595" i="4"/>
  <c r="AA596" i="4"/>
  <c r="AA597" i="4"/>
  <c r="AA598" i="4"/>
  <c r="AA599" i="4"/>
  <c r="AA600" i="4"/>
  <c r="AA601" i="4"/>
  <c r="AA602" i="4"/>
  <c r="AA603" i="4"/>
  <c r="AA604" i="4"/>
  <c r="AA605" i="4"/>
  <c r="AA606" i="4"/>
  <c r="AA607" i="4"/>
  <c r="AA608" i="4"/>
  <c r="AA609" i="4"/>
  <c r="AA610" i="4"/>
  <c r="AA611" i="4"/>
  <c r="AA612" i="4"/>
  <c r="AA613" i="4"/>
  <c r="AA614" i="4"/>
  <c r="AA615" i="4"/>
  <c r="AA616" i="4"/>
  <c r="AA617" i="4"/>
  <c r="AA618" i="4"/>
  <c r="AA619" i="4"/>
  <c r="AA620" i="4"/>
  <c r="AA621" i="4"/>
  <c r="AA622" i="4"/>
  <c r="AA623" i="4"/>
  <c r="AA624" i="4"/>
  <c r="AA625" i="4"/>
  <c r="AA626" i="4"/>
  <c r="AA627" i="4"/>
  <c r="AA628" i="4"/>
  <c r="AA629" i="4"/>
  <c r="AA630" i="4"/>
  <c r="AA631" i="4"/>
  <c r="AA632" i="4"/>
  <c r="AA633" i="4"/>
  <c r="AA634" i="4"/>
  <c r="AA635" i="4"/>
  <c r="AA636" i="4"/>
  <c r="AA637" i="4"/>
  <c r="AA638" i="4"/>
  <c r="AA639" i="4"/>
  <c r="AA640" i="4"/>
  <c r="AA641" i="4"/>
  <c r="AA642" i="4"/>
  <c r="AA643" i="4"/>
  <c r="AA644" i="4"/>
  <c r="AA645" i="4"/>
  <c r="AA646" i="4"/>
  <c r="AA647" i="4"/>
  <c r="AA648" i="4"/>
  <c r="AA649" i="4"/>
  <c r="AA650" i="4"/>
  <c r="AA651" i="4"/>
  <c r="AA652" i="4"/>
  <c r="AA653" i="4"/>
  <c r="AA654" i="4"/>
  <c r="AA655" i="4"/>
  <c r="AA656" i="4"/>
  <c r="AA657" i="4"/>
  <c r="AA658" i="4"/>
  <c r="AA659" i="4"/>
  <c r="AA660" i="4"/>
  <c r="AA661" i="4"/>
  <c r="AA662" i="4"/>
  <c r="AA663" i="4"/>
  <c r="AA664" i="4"/>
  <c r="AA665" i="4"/>
  <c r="AA666" i="4"/>
  <c r="AA667" i="4"/>
  <c r="AA668" i="4"/>
  <c r="AA669" i="4"/>
  <c r="AA670" i="4"/>
  <c r="AA671" i="4"/>
  <c r="AA672" i="4"/>
  <c r="AA673" i="4"/>
  <c r="AA674" i="4"/>
  <c r="AA675" i="4"/>
  <c r="AA676" i="4"/>
  <c r="AA677" i="4"/>
  <c r="AA678" i="4"/>
  <c r="AA679" i="4"/>
  <c r="AA680" i="4"/>
  <c r="AA681" i="4"/>
  <c r="AA682" i="4"/>
  <c r="AA683" i="4"/>
  <c r="AA684" i="4"/>
  <c r="AA685" i="4"/>
  <c r="AA686" i="4"/>
  <c r="AA687" i="4"/>
  <c r="AA688" i="4"/>
  <c r="AA689" i="4"/>
  <c r="AA690" i="4"/>
  <c r="AA691" i="4"/>
  <c r="AA692" i="4"/>
  <c r="AA693" i="4"/>
  <c r="AA694" i="4"/>
  <c r="AA695" i="4"/>
  <c r="AA696" i="4"/>
  <c r="AA697" i="4"/>
  <c r="AA698" i="4"/>
  <c r="AA699" i="4"/>
  <c r="AA700" i="4"/>
  <c r="AA701" i="4"/>
  <c r="AA702" i="4"/>
  <c r="AA703" i="4"/>
  <c r="AA704" i="4"/>
  <c r="AA705" i="4"/>
  <c r="AA706" i="4"/>
  <c r="AA707" i="4"/>
  <c r="AA708" i="4"/>
  <c r="AA709" i="4"/>
  <c r="AA710" i="4"/>
  <c r="AA711" i="4"/>
  <c r="AA712" i="4"/>
  <c r="AA713" i="4"/>
  <c r="AA714" i="4"/>
  <c r="AA715" i="4"/>
  <c r="AA716" i="4"/>
  <c r="AA717" i="4"/>
  <c r="AA718" i="4"/>
  <c r="AA719" i="4"/>
  <c r="AA720" i="4"/>
  <c r="AA721" i="4"/>
  <c r="AA722" i="4"/>
  <c r="AA723" i="4"/>
  <c r="AA724" i="4"/>
  <c r="AA725" i="4"/>
  <c r="AA726" i="4"/>
  <c r="AA727" i="4"/>
  <c r="AA728" i="4"/>
  <c r="AA729" i="4"/>
  <c r="AA730" i="4"/>
  <c r="AA731" i="4"/>
  <c r="AA732" i="4"/>
  <c r="AA733" i="4"/>
  <c r="AA734" i="4"/>
  <c r="AA735" i="4"/>
  <c r="AA736" i="4"/>
  <c r="AA737" i="4"/>
  <c r="AA738" i="4"/>
  <c r="AA739" i="4"/>
  <c r="AA740" i="4"/>
  <c r="AA741" i="4"/>
  <c r="AA742" i="4"/>
  <c r="AA743" i="4"/>
  <c r="AA744" i="4"/>
  <c r="AA745" i="4"/>
  <c r="AA746" i="4"/>
  <c r="AA747" i="4"/>
  <c r="AA748" i="4"/>
  <c r="AA749" i="4"/>
  <c r="AA750" i="4"/>
  <c r="AA751" i="4"/>
  <c r="AA752" i="4"/>
  <c r="AA753" i="4"/>
  <c r="AA754" i="4"/>
  <c r="AA755" i="4"/>
  <c r="AA756" i="4"/>
  <c r="AA757" i="4"/>
  <c r="AA758" i="4"/>
  <c r="AA759" i="4"/>
  <c r="AA760" i="4"/>
  <c r="AA761" i="4"/>
  <c r="AA762" i="4"/>
  <c r="AA763" i="4"/>
  <c r="AA764" i="4"/>
  <c r="AA765" i="4"/>
  <c r="AA766" i="4"/>
  <c r="AA767" i="4"/>
  <c r="AA768" i="4"/>
  <c r="AA769" i="4"/>
  <c r="AA770" i="4"/>
  <c r="AA771" i="4"/>
  <c r="AA772" i="4"/>
  <c r="AA773" i="4"/>
  <c r="AA774" i="4"/>
  <c r="AA775" i="4"/>
  <c r="AA776" i="4"/>
  <c r="AA777" i="4"/>
  <c r="AA778" i="4"/>
  <c r="AA779" i="4"/>
  <c r="AA780" i="4"/>
  <c r="AA781" i="4"/>
  <c r="AA782" i="4"/>
  <c r="AA783" i="4"/>
  <c r="AA784" i="4"/>
  <c r="AA785" i="4"/>
  <c r="AA786" i="4"/>
  <c r="AA787" i="4"/>
  <c r="AA788" i="4"/>
  <c r="AA789" i="4"/>
  <c r="AA790" i="4"/>
  <c r="AA791" i="4"/>
  <c r="AA792" i="4"/>
  <c r="AA793" i="4"/>
  <c r="AA794" i="4"/>
  <c r="AA795" i="4"/>
  <c r="AA796" i="4"/>
  <c r="AA797" i="4"/>
  <c r="AA798" i="4"/>
  <c r="AA799" i="4"/>
  <c r="AA800" i="4"/>
  <c r="AA801" i="4"/>
  <c r="AA802" i="4"/>
  <c r="AA803" i="4"/>
  <c r="AA804" i="4"/>
  <c r="AA805" i="4"/>
  <c r="AA806" i="4"/>
  <c r="AA807" i="4"/>
  <c r="AA808" i="4"/>
  <c r="AA809" i="4"/>
  <c r="AA810" i="4"/>
  <c r="AA811" i="4"/>
  <c r="AA812" i="4"/>
  <c r="AA813" i="4"/>
  <c r="AA814" i="4"/>
  <c r="AA815" i="4"/>
  <c r="AA816" i="4"/>
  <c r="AA817" i="4"/>
  <c r="AA818" i="4"/>
  <c r="AA819" i="4"/>
  <c r="AA820" i="4"/>
  <c r="AA821" i="4"/>
  <c r="AA822" i="4"/>
  <c r="AA823" i="4"/>
  <c r="AA824" i="4"/>
  <c r="AA825" i="4"/>
  <c r="AA826" i="4"/>
  <c r="AA827" i="4"/>
  <c r="AA828" i="4"/>
  <c r="AA829" i="4"/>
  <c r="AA830" i="4"/>
  <c r="AA831" i="4"/>
  <c r="AA832" i="4"/>
  <c r="AA833" i="4"/>
  <c r="AA834" i="4"/>
  <c r="AA835" i="4"/>
  <c r="AA836" i="4"/>
  <c r="AA837" i="4"/>
  <c r="AA838" i="4"/>
  <c r="AA839" i="4"/>
  <c r="AA840" i="4"/>
  <c r="AA841" i="4"/>
  <c r="AA842" i="4"/>
  <c r="AA843" i="4"/>
  <c r="AA844" i="4"/>
  <c r="AA845" i="4"/>
  <c r="AA846" i="4"/>
  <c r="AA847" i="4"/>
  <c r="AA848" i="4"/>
  <c r="AA849" i="4"/>
  <c r="AA850" i="4"/>
  <c r="AA851" i="4"/>
  <c r="AA852" i="4"/>
  <c r="AA853" i="4"/>
  <c r="AA854" i="4"/>
  <c r="AA855" i="4"/>
  <c r="AA856" i="4"/>
  <c r="AA857" i="4"/>
  <c r="AA858" i="4"/>
  <c r="AA859" i="4"/>
  <c r="AA860" i="4"/>
  <c r="AA861" i="4"/>
  <c r="AA862" i="4"/>
  <c r="AA863" i="4"/>
  <c r="AA864" i="4"/>
  <c r="AA865" i="4"/>
  <c r="AA866" i="4"/>
  <c r="AA867" i="4"/>
  <c r="AA868" i="4"/>
  <c r="AA869" i="4"/>
  <c r="AA870" i="4"/>
  <c r="AA871" i="4"/>
  <c r="AA872" i="4"/>
  <c r="AA873" i="4"/>
  <c r="AA874" i="4"/>
  <c r="AA875" i="4"/>
  <c r="AA876" i="4"/>
  <c r="AA877" i="4"/>
  <c r="AA878" i="4"/>
  <c r="AA879" i="4"/>
  <c r="AA880" i="4"/>
  <c r="AA881" i="4"/>
  <c r="AA882" i="4"/>
  <c r="AA883" i="4"/>
  <c r="AA884" i="4"/>
  <c r="AA885" i="4"/>
  <c r="AA886" i="4"/>
  <c r="AA887" i="4"/>
  <c r="AA888" i="4"/>
  <c r="AA889" i="4"/>
  <c r="AA890" i="4"/>
  <c r="AA891" i="4"/>
  <c r="AA892" i="4"/>
  <c r="AA893" i="4"/>
  <c r="AA894" i="4"/>
  <c r="AA895" i="4"/>
  <c r="AA896" i="4"/>
  <c r="AA897" i="4"/>
  <c r="AA898" i="4"/>
  <c r="AA899" i="4"/>
  <c r="AA900" i="4"/>
  <c r="AA901" i="4"/>
  <c r="AA902" i="4"/>
  <c r="AA903" i="4"/>
  <c r="AA904" i="4"/>
  <c r="AA905" i="4"/>
  <c r="AA906" i="4"/>
  <c r="AA907" i="4"/>
  <c r="AA908" i="4"/>
  <c r="AA909" i="4"/>
  <c r="AA910" i="4"/>
  <c r="AA911" i="4"/>
  <c r="AA912" i="4"/>
  <c r="AA913" i="4"/>
  <c r="AA914" i="4"/>
  <c r="AA915" i="4"/>
  <c r="AA916" i="4"/>
  <c r="AA917" i="4"/>
  <c r="AA918" i="4"/>
  <c r="AA919" i="4"/>
  <c r="AA920" i="4"/>
  <c r="AA921" i="4"/>
  <c r="AA922" i="4"/>
  <c r="AA923" i="4"/>
  <c r="AA924" i="4"/>
  <c r="AA925" i="4"/>
  <c r="AA926" i="4"/>
  <c r="AA927" i="4"/>
  <c r="AA928" i="4"/>
  <c r="AA929" i="4"/>
  <c r="AA930" i="4"/>
  <c r="AA931" i="4"/>
  <c r="AA932" i="4"/>
  <c r="AA933" i="4"/>
  <c r="AA934" i="4"/>
  <c r="AA935" i="4"/>
  <c r="AA936" i="4"/>
  <c r="AA937" i="4"/>
  <c r="AA938" i="4"/>
  <c r="AA939" i="4"/>
  <c r="AA940" i="4"/>
  <c r="AA941" i="4"/>
  <c r="AA942" i="4"/>
  <c r="AA943" i="4"/>
  <c r="AA944" i="4"/>
  <c r="AA945" i="4"/>
  <c r="AA946" i="4"/>
  <c r="AA947" i="4"/>
  <c r="AA948" i="4"/>
  <c r="AA949" i="4"/>
  <c r="AA950" i="4"/>
  <c r="AA951" i="4"/>
  <c r="AA952" i="4"/>
  <c r="AA953" i="4"/>
  <c r="AA954" i="4"/>
  <c r="AA955" i="4"/>
  <c r="AA956" i="4"/>
  <c r="AA957" i="4"/>
  <c r="AA958" i="4"/>
  <c r="AA959" i="4"/>
  <c r="AA960" i="4"/>
  <c r="AA961" i="4"/>
  <c r="AA962" i="4"/>
  <c r="AA963" i="4"/>
  <c r="AA964" i="4"/>
  <c r="AA965" i="4"/>
  <c r="AA966" i="4"/>
  <c r="AA967" i="4"/>
  <c r="AA968" i="4"/>
  <c r="AA969" i="4"/>
  <c r="AA970" i="4"/>
  <c r="AA971" i="4"/>
  <c r="AA972" i="4"/>
  <c r="AA973" i="4"/>
  <c r="AA974" i="4"/>
  <c r="AA975" i="4"/>
  <c r="AA976" i="4"/>
  <c r="AA977" i="4"/>
  <c r="AA978" i="4"/>
  <c r="AA979" i="4"/>
  <c r="AA980" i="4"/>
  <c r="AA981" i="4"/>
  <c r="AA982" i="4"/>
  <c r="AA983" i="4"/>
  <c r="AA984" i="4"/>
  <c r="AA985" i="4"/>
  <c r="AA986" i="4"/>
  <c r="AA987" i="4"/>
  <c r="AA988" i="4"/>
  <c r="AA989" i="4"/>
  <c r="AA990" i="4"/>
  <c r="AA991" i="4"/>
  <c r="AA992" i="4"/>
  <c r="AA993" i="4"/>
  <c r="AA994" i="4"/>
  <c r="AA995" i="4"/>
  <c r="AA996" i="4"/>
  <c r="AA997" i="4"/>
  <c r="AA998" i="4"/>
  <c r="AA999" i="4"/>
  <c r="AA1000" i="4"/>
  <c r="AA1001" i="4"/>
  <c r="AA1002" i="4"/>
  <c r="AA1003" i="4"/>
  <c r="AA1004" i="4"/>
  <c r="AA1005" i="4"/>
  <c r="AA1006" i="4"/>
  <c r="AA1007" i="4"/>
  <c r="AA1008" i="4"/>
  <c r="AA1009" i="4"/>
  <c r="AA1010" i="4"/>
  <c r="AA1011" i="4"/>
  <c r="AA1012" i="4"/>
  <c r="AA1013" i="4"/>
  <c r="AA1014" i="4"/>
  <c r="AA1015" i="4"/>
  <c r="AA1016" i="4"/>
  <c r="AA1017" i="4"/>
  <c r="AA1018" i="4"/>
  <c r="AA1019" i="4"/>
  <c r="AA1020" i="4"/>
  <c r="AA1021" i="4"/>
  <c r="AA1022" i="4"/>
  <c r="AA1023" i="4"/>
  <c r="AA1024" i="4"/>
  <c r="AA1025" i="4"/>
  <c r="AA1026" i="4"/>
  <c r="AA1027" i="4"/>
  <c r="AA1028" i="4"/>
  <c r="AA1029" i="4"/>
  <c r="AA1030" i="4"/>
  <c r="AA1031" i="4"/>
  <c r="AA1032" i="4"/>
  <c r="AA1033" i="4"/>
  <c r="AA1034" i="4"/>
  <c r="AA1035" i="4"/>
  <c r="AA1036" i="4"/>
  <c r="AA1037" i="4"/>
  <c r="AA1038" i="4"/>
  <c r="AA1039" i="4"/>
  <c r="AA1040" i="4"/>
  <c r="AA1041" i="4"/>
  <c r="AA1042" i="4"/>
  <c r="AA1043" i="4"/>
  <c r="AA1044" i="4"/>
  <c r="AA1045" i="4"/>
  <c r="AA1046" i="4"/>
  <c r="AA1047" i="4"/>
  <c r="AA1048" i="4"/>
  <c r="AA1049" i="4"/>
  <c r="AA1050" i="4"/>
  <c r="AA1051" i="4"/>
  <c r="AA1052" i="4"/>
  <c r="AA1053" i="4"/>
  <c r="AA1054" i="4"/>
  <c r="AA1055" i="4"/>
  <c r="AA1056" i="4"/>
  <c r="AA1057" i="4"/>
  <c r="AA1058" i="4"/>
  <c r="AA1059" i="4"/>
  <c r="AA1060" i="4"/>
  <c r="AA1061" i="4"/>
  <c r="AA1062" i="4"/>
  <c r="AA1063" i="4"/>
  <c r="AA1064" i="4"/>
  <c r="AA1065" i="4"/>
  <c r="AA1066" i="4"/>
  <c r="AA1067" i="4"/>
  <c r="AA1068" i="4"/>
  <c r="AA1069" i="4"/>
  <c r="AA1070" i="4"/>
  <c r="AA1071" i="4"/>
  <c r="AA1072" i="4"/>
  <c r="AA1073" i="4"/>
  <c r="AA1074" i="4"/>
  <c r="AA1075" i="4"/>
  <c r="AA1076" i="4"/>
  <c r="AA1077" i="4"/>
  <c r="AA1078" i="4"/>
  <c r="AA1079" i="4"/>
  <c r="AA1080" i="4"/>
  <c r="AA1081" i="4"/>
  <c r="AA1082" i="4"/>
  <c r="AA1083" i="4"/>
  <c r="AA1084" i="4"/>
  <c r="AA1085" i="4"/>
  <c r="AA1086" i="4"/>
  <c r="AA1087" i="4"/>
  <c r="AA1088" i="4"/>
  <c r="AA1089" i="4"/>
  <c r="AA1090" i="4"/>
  <c r="AA1091" i="4"/>
  <c r="AA1092" i="4"/>
  <c r="AA1093" i="4"/>
  <c r="AA1094" i="4"/>
  <c r="AA1095" i="4"/>
  <c r="AA1096" i="4"/>
  <c r="AA1097" i="4"/>
  <c r="AA1098" i="4"/>
  <c r="AA1099" i="4"/>
  <c r="AA1100" i="4"/>
  <c r="AA1101" i="4"/>
  <c r="AA1102" i="4"/>
  <c r="AA1103" i="4"/>
  <c r="AA1104" i="4"/>
  <c r="AA1105" i="4"/>
  <c r="AA1106" i="4"/>
  <c r="AA1107" i="4"/>
  <c r="AA1108" i="4"/>
  <c r="AA1109" i="4"/>
  <c r="AA1110" i="4"/>
  <c r="AA1111" i="4"/>
  <c r="AA1112" i="4"/>
  <c r="AA1113" i="4"/>
  <c r="AA1114" i="4"/>
  <c r="AA1115" i="4"/>
  <c r="AA1116" i="4"/>
  <c r="AA1117" i="4"/>
  <c r="AA1118" i="4"/>
  <c r="AA1119" i="4"/>
  <c r="AA1120" i="4"/>
  <c r="AA1121" i="4"/>
  <c r="AA1122" i="4"/>
  <c r="AA1123" i="4"/>
  <c r="AA1124" i="4"/>
  <c r="AA1125" i="4"/>
  <c r="AA1126" i="4"/>
  <c r="AA1127" i="4"/>
  <c r="AA1128" i="4"/>
  <c r="AA1129" i="4"/>
  <c r="AA1130" i="4"/>
  <c r="AA1131" i="4"/>
  <c r="AA1132" i="4"/>
  <c r="AA1133" i="4"/>
  <c r="AA1134" i="4"/>
  <c r="AA1135" i="4"/>
  <c r="AA1136" i="4"/>
  <c r="AA1137" i="4"/>
  <c r="AA1138" i="4"/>
  <c r="AA1139" i="4"/>
  <c r="AA1140" i="4"/>
  <c r="AA1141" i="4"/>
  <c r="AA1142" i="4"/>
  <c r="AA1143" i="4"/>
  <c r="AA1144" i="4"/>
  <c r="AA1145" i="4"/>
  <c r="AA1146" i="4"/>
  <c r="AA1147" i="4"/>
  <c r="AA1148" i="4"/>
  <c r="AA1149" i="4"/>
  <c r="AA1150" i="4"/>
  <c r="AA1151" i="4"/>
  <c r="AA1152" i="4"/>
  <c r="AA1153" i="4"/>
  <c r="AA1154" i="4"/>
  <c r="AA1155" i="4"/>
  <c r="AA1156" i="4"/>
  <c r="AA1157" i="4"/>
  <c r="AA1158" i="4"/>
  <c r="AA1159" i="4"/>
  <c r="AA1160" i="4"/>
  <c r="AA1161" i="4"/>
  <c r="AA1162" i="4"/>
  <c r="AA1163" i="4"/>
  <c r="AA1164" i="4"/>
  <c r="AA1165" i="4"/>
  <c r="AA1166" i="4"/>
  <c r="AA1167" i="4"/>
  <c r="AA1168" i="4"/>
  <c r="AA1169" i="4"/>
  <c r="AA1170" i="4"/>
  <c r="AA1171" i="4"/>
  <c r="AA1172" i="4"/>
  <c r="AA1173" i="4"/>
  <c r="AA1174" i="4"/>
  <c r="AA1175" i="4"/>
  <c r="AA1176" i="4"/>
  <c r="AA1177" i="4"/>
  <c r="AA1178" i="4"/>
  <c r="AA1179" i="4"/>
  <c r="AA1180" i="4"/>
  <c r="AA1181" i="4"/>
  <c r="AA1182" i="4"/>
  <c r="AA1183" i="4"/>
  <c r="AA1184" i="4"/>
  <c r="AA1185" i="4"/>
  <c r="AA1186" i="4"/>
  <c r="AA1187" i="4"/>
  <c r="AA1188" i="4"/>
  <c r="AA1189" i="4"/>
  <c r="AA1190" i="4"/>
  <c r="AA1191" i="4"/>
  <c r="AA1192" i="4"/>
  <c r="AA1193" i="4"/>
  <c r="AA1194" i="4"/>
  <c r="AA1195" i="4"/>
  <c r="AA1196" i="4"/>
  <c r="AA1197" i="4"/>
  <c r="AA1198" i="4"/>
  <c r="AA1199" i="4"/>
  <c r="AA1200" i="4"/>
  <c r="AA1201" i="4"/>
  <c r="AA1202" i="4"/>
  <c r="AA1203" i="4"/>
  <c r="AA1204" i="4"/>
  <c r="AA1205" i="4"/>
  <c r="AA1206" i="4"/>
  <c r="AA1207" i="4"/>
  <c r="AA1208" i="4"/>
  <c r="AA1209" i="4"/>
  <c r="AA1210" i="4"/>
  <c r="AA1211" i="4"/>
  <c r="AA1212" i="4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N767" i="3" s="1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N760" i="3" s="1"/>
  <c r="L761" i="3"/>
  <c r="L762" i="3"/>
  <c r="L763" i="3"/>
  <c r="L764" i="3"/>
  <c r="L765" i="3"/>
  <c r="L766" i="3"/>
  <c r="L767" i="3"/>
  <c r="L768" i="3"/>
  <c r="N768" i="3" s="1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N784" i="3" s="1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N800" i="3" s="1"/>
  <c r="L801" i="3"/>
  <c r="L802" i="3"/>
  <c r="L803" i="3"/>
  <c r="L804" i="3"/>
  <c r="L805" i="3"/>
  <c r="L806" i="3"/>
  <c r="L807" i="3"/>
  <c r="L808" i="3"/>
  <c r="N808" i="3" s="1"/>
  <c r="L809" i="3"/>
  <c r="L810" i="3"/>
  <c r="L811" i="3"/>
  <c r="L812" i="3"/>
  <c r="L813" i="3"/>
  <c r="L814" i="3"/>
  <c r="L815" i="3"/>
  <c r="L816" i="3"/>
  <c r="N816" i="3" s="1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N840" i="3" s="1"/>
  <c r="L841" i="3"/>
  <c r="L842" i="3"/>
  <c r="L843" i="3"/>
  <c r="L844" i="3"/>
  <c r="L845" i="3"/>
  <c r="L846" i="3"/>
  <c r="L847" i="3"/>
  <c r="L848" i="3"/>
  <c r="N848" i="3" s="1"/>
  <c r="L849" i="3"/>
  <c r="L850" i="3"/>
  <c r="L851" i="3"/>
  <c r="L852" i="3"/>
  <c r="L853" i="3"/>
  <c r="L854" i="3"/>
  <c r="L855" i="3"/>
  <c r="L856" i="3"/>
  <c r="N856" i="3" s="1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N872" i="3" s="1"/>
  <c r="L873" i="3"/>
  <c r="L874" i="3"/>
  <c r="L875" i="3"/>
  <c r="L876" i="3"/>
  <c r="L877" i="3"/>
  <c r="L878" i="3"/>
  <c r="L879" i="3"/>
  <c r="L880" i="3"/>
  <c r="N880" i="3" s="1"/>
  <c r="L881" i="3"/>
  <c r="L882" i="3"/>
  <c r="L883" i="3"/>
  <c r="L884" i="3"/>
  <c r="L885" i="3"/>
  <c r="L886" i="3"/>
  <c r="L887" i="3"/>
  <c r="L888" i="3"/>
  <c r="N888" i="3" s="1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N904" i="3" s="1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N920" i="3" s="1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N936" i="3" s="1"/>
  <c r="L937" i="3"/>
  <c r="L938" i="3"/>
  <c r="L939" i="3"/>
  <c r="L940" i="3"/>
  <c r="L941" i="3"/>
  <c r="L942" i="3"/>
  <c r="L943" i="3"/>
  <c r="L944" i="3"/>
  <c r="N944" i="3" s="1"/>
  <c r="L945" i="3"/>
  <c r="L946" i="3"/>
  <c r="L947" i="3"/>
  <c r="L948" i="3"/>
  <c r="L949" i="3"/>
  <c r="L950" i="3"/>
  <c r="L951" i="3"/>
  <c r="L952" i="3"/>
  <c r="N952" i="3" s="1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N968" i="3" s="1"/>
  <c r="L969" i="3"/>
  <c r="L970" i="3"/>
  <c r="L971" i="3"/>
  <c r="L972" i="3"/>
  <c r="L973" i="3"/>
  <c r="L974" i="3"/>
  <c r="L975" i="3"/>
  <c r="L976" i="3"/>
  <c r="N976" i="3" s="1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N992" i="3" s="1"/>
  <c r="L993" i="3"/>
  <c r="L994" i="3"/>
  <c r="L995" i="3"/>
  <c r="L996" i="3"/>
  <c r="L997" i="3"/>
  <c r="L998" i="3"/>
  <c r="L999" i="3"/>
  <c r="L1000" i="3"/>
  <c r="N1000" i="3" s="1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N1016" i="3" s="1"/>
  <c r="L1017" i="3"/>
  <c r="L1018" i="3"/>
  <c r="L1019" i="3"/>
  <c r="L1020" i="3"/>
  <c r="L1021" i="3"/>
  <c r="L1022" i="3"/>
  <c r="L1023" i="3"/>
  <c r="L1024" i="3"/>
  <c r="N1024" i="3" s="1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N1040" i="3" s="1"/>
  <c r="L1041" i="3"/>
  <c r="L1042" i="3"/>
  <c r="L1043" i="3"/>
  <c r="L1044" i="3"/>
  <c r="L1045" i="3"/>
  <c r="L1046" i="3"/>
  <c r="L1047" i="3"/>
  <c r="L1048" i="3"/>
  <c r="N1048" i="3" s="1"/>
  <c r="L1049" i="3"/>
  <c r="L1050" i="3"/>
  <c r="L1051" i="3"/>
  <c r="L1052" i="3"/>
  <c r="L1053" i="3"/>
  <c r="L1054" i="3"/>
  <c r="L1055" i="3"/>
  <c r="L1056" i="3"/>
  <c r="N1056" i="3" s="1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N752" i="3"/>
  <c r="N753" i="3"/>
  <c r="N761" i="3"/>
  <c r="N762" i="3"/>
  <c r="N769" i="3"/>
  <c r="N776" i="3"/>
  <c r="N777" i="3"/>
  <c r="N785" i="3"/>
  <c r="N792" i="3"/>
  <c r="N793" i="3"/>
  <c r="N801" i="3"/>
  <c r="N802" i="3"/>
  <c r="N809" i="3"/>
  <c r="N824" i="3"/>
  <c r="N825" i="3"/>
  <c r="N832" i="3"/>
  <c r="N833" i="3"/>
  <c r="N841" i="3"/>
  <c r="N849" i="3"/>
  <c r="N857" i="3"/>
  <c r="N864" i="3"/>
  <c r="N865" i="3"/>
  <c r="N873" i="3"/>
  <c r="N881" i="3"/>
  <c r="N889" i="3"/>
  <c r="N890" i="3"/>
  <c r="N896" i="3"/>
  <c r="N897" i="3"/>
  <c r="N905" i="3"/>
  <c r="N912" i="3"/>
  <c r="N913" i="3"/>
  <c r="N921" i="3"/>
  <c r="N928" i="3"/>
  <c r="N937" i="3"/>
  <c r="N945" i="3"/>
  <c r="N953" i="3"/>
  <c r="N960" i="3"/>
  <c r="N961" i="3"/>
  <c r="N977" i="3"/>
  <c r="N984" i="3"/>
  <c r="N1001" i="3"/>
  <c r="N1008" i="3"/>
  <c r="N1009" i="3"/>
  <c r="N1032" i="3"/>
  <c r="N1064" i="3"/>
  <c r="N1065" i="3"/>
  <c r="N1069" i="3"/>
  <c r="N1066" i="3" l="1"/>
  <c r="N826" i="3"/>
  <c r="N1058" i="3"/>
  <c r="N1050" i="3"/>
  <c r="N1042" i="3"/>
  <c r="N1034" i="3"/>
  <c r="N1026" i="3"/>
  <c r="N1018" i="3"/>
  <c r="N1010" i="3"/>
  <c r="N1002" i="3"/>
  <c r="N994" i="3"/>
  <c r="N986" i="3"/>
  <c r="N978" i="3"/>
  <c r="N970" i="3"/>
  <c r="N962" i="3"/>
  <c r="N954" i="3"/>
  <c r="N946" i="3"/>
  <c r="N938" i="3"/>
  <c r="N930" i="3"/>
  <c r="N922" i="3"/>
  <c r="N914" i="3"/>
  <c r="N906" i="3"/>
  <c r="N898" i="3"/>
  <c r="N882" i="3"/>
  <c r="N874" i="3"/>
  <c r="N866" i="3"/>
  <c r="N858" i="3"/>
  <c r="N850" i="3"/>
  <c r="N842" i="3"/>
  <c r="N834" i="3"/>
  <c r="N818" i="3"/>
  <c r="N810" i="3"/>
  <c r="N794" i="3"/>
  <c r="N786" i="3"/>
  <c r="N778" i="3"/>
  <c r="N770" i="3"/>
  <c r="N754" i="3"/>
  <c r="N748" i="3"/>
  <c r="N1007" i="3"/>
  <c r="N975" i="3"/>
  <c r="N935" i="3"/>
  <c r="N895" i="3"/>
  <c r="N839" i="3"/>
  <c r="N1068" i="3"/>
  <c r="N1060" i="3"/>
  <c r="N1052" i="3"/>
  <c r="N1044" i="3"/>
  <c r="N1036" i="3"/>
  <c r="N1028" i="3"/>
  <c r="N1020" i="3"/>
  <c r="N1012" i="3"/>
  <c r="N1004" i="3"/>
  <c r="N996" i="3"/>
  <c r="N988" i="3"/>
  <c r="N980" i="3"/>
  <c r="N972" i="3"/>
  <c r="N964" i="3"/>
  <c r="N956" i="3"/>
  <c r="N948" i="3"/>
  <c r="N940" i="3"/>
  <c r="N932" i="3"/>
  <c r="N924" i="3"/>
  <c r="N916" i="3"/>
  <c r="N908" i="3"/>
  <c r="N900" i="3"/>
  <c r="N892" i="3"/>
  <c r="N884" i="3"/>
  <c r="N876" i="3"/>
  <c r="N868" i="3"/>
  <c r="N860" i="3"/>
  <c r="N852" i="3"/>
  <c r="N844" i="3"/>
  <c r="N836" i="3"/>
  <c r="N828" i="3"/>
  <c r="N820" i="3"/>
  <c r="N812" i="3"/>
  <c r="N804" i="3"/>
  <c r="N796" i="3"/>
  <c r="N788" i="3"/>
  <c r="N780" i="3"/>
  <c r="N772" i="3"/>
  <c r="N764" i="3"/>
  <c r="N756" i="3"/>
  <c r="N1062" i="3"/>
  <c r="N1054" i="3"/>
  <c r="N1046" i="3"/>
  <c r="N1038" i="3"/>
  <c r="N1030" i="3"/>
  <c r="N1022" i="3"/>
  <c r="N1014" i="3"/>
  <c r="N1006" i="3"/>
  <c r="N998" i="3"/>
  <c r="N990" i="3"/>
  <c r="N982" i="3"/>
  <c r="N974" i="3"/>
  <c r="N966" i="3"/>
  <c r="N958" i="3"/>
  <c r="N950" i="3"/>
  <c r="N942" i="3"/>
  <c r="N934" i="3"/>
  <c r="N926" i="3"/>
  <c r="N918" i="3"/>
  <c r="N910" i="3"/>
  <c r="N902" i="3"/>
  <c r="N894" i="3"/>
  <c r="N886" i="3"/>
  <c r="N878" i="3"/>
  <c r="N870" i="3"/>
  <c r="N862" i="3"/>
  <c r="N854" i="3"/>
  <c r="N846" i="3"/>
  <c r="N838" i="3"/>
  <c r="N830" i="3"/>
  <c r="N822" i="3"/>
  <c r="N814" i="3"/>
  <c r="N806" i="3"/>
  <c r="N798" i="3"/>
  <c r="N790" i="3"/>
  <c r="N782" i="3"/>
  <c r="N774" i="3"/>
  <c r="N758" i="3"/>
  <c r="N949" i="3"/>
  <c r="N853" i="3"/>
  <c r="N837" i="3"/>
  <c r="N821" i="3"/>
  <c r="N749" i="3"/>
  <c r="N1041" i="3"/>
  <c r="N929" i="3"/>
  <c r="N817" i="3"/>
  <c r="N1061" i="3"/>
  <c r="N1053" i="3"/>
  <c r="N1045" i="3"/>
  <c r="N1037" i="3"/>
  <c r="N1029" i="3"/>
  <c r="N1021" i="3"/>
  <c r="N1013" i="3"/>
  <c r="N1005" i="3"/>
  <c r="N997" i="3"/>
  <c r="N989" i="3"/>
  <c r="N981" i="3"/>
  <c r="N973" i="3"/>
  <c r="N965" i="3"/>
  <c r="N957" i="3"/>
  <c r="N941" i="3"/>
  <c r="N933" i="3"/>
  <c r="N925" i="3"/>
  <c r="N917" i="3"/>
  <c r="N909" i="3"/>
  <c r="N901" i="3"/>
  <c r="N893" i="3"/>
  <c r="N885" i="3"/>
  <c r="N877" i="3"/>
  <c r="N869" i="3"/>
  <c r="N861" i="3"/>
  <c r="N845" i="3"/>
  <c r="N829" i="3"/>
  <c r="N813" i="3"/>
  <c r="N805" i="3"/>
  <c r="N797" i="3"/>
  <c r="N789" i="3"/>
  <c r="N781" i="3"/>
  <c r="N773" i="3"/>
  <c r="N765" i="3"/>
  <c r="N757" i="3"/>
  <c r="N1057" i="3"/>
  <c r="N1049" i="3"/>
  <c r="N1033" i="3"/>
  <c r="N1025" i="3"/>
  <c r="N1017" i="3"/>
  <c r="N993" i="3"/>
  <c r="N985" i="3"/>
  <c r="N969" i="3"/>
  <c r="N766" i="3"/>
  <c r="N1063" i="3"/>
  <c r="N1055" i="3"/>
  <c r="N1047" i="3"/>
  <c r="N1039" i="3"/>
  <c r="N1023" i="3"/>
  <c r="N999" i="3"/>
  <c r="N983" i="3"/>
  <c r="N967" i="3"/>
  <c r="N959" i="3"/>
  <c r="N927" i="3"/>
  <c r="N919" i="3"/>
  <c r="N903" i="3"/>
  <c r="N871" i="3"/>
  <c r="N863" i="3"/>
  <c r="N855" i="3"/>
  <c r="N831" i="3"/>
  <c r="N807" i="3"/>
  <c r="N799" i="3"/>
  <c r="N791" i="3"/>
  <c r="N775" i="3"/>
  <c r="N750" i="3"/>
  <c r="N1031" i="3"/>
  <c r="N1015" i="3"/>
  <c r="N991" i="3"/>
  <c r="N951" i="3"/>
  <c r="N943" i="3"/>
  <c r="N911" i="3"/>
  <c r="N887" i="3"/>
  <c r="N879" i="3"/>
  <c r="N847" i="3"/>
  <c r="N823" i="3"/>
  <c r="N815" i="3"/>
  <c r="N783" i="3"/>
  <c r="N759" i="3"/>
  <c r="N751" i="3"/>
  <c r="N1067" i="3"/>
  <c r="N1059" i="3"/>
  <c r="N1051" i="3"/>
  <c r="N1043" i="3"/>
  <c r="N1035" i="3"/>
  <c r="N1027" i="3"/>
  <c r="N1019" i="3"/>
  <c r="N1011" i="3"/>
  <c r="N1003" i="3"/>
  <c r="N995" i="3"/>
  <c r="N987" i="3"/>
  <c r="N979" i="3"/>
  <c r="N971" i="3"/>
  <c r="N963" i="3"/>
  <c r="N955" i="3"/>
  <c r="N947" i="3"/>
  <c r="N939" i="3"/>
  <c r="N931" i="3"/>
  <c r="N923" i="3"/>
  <c r="N915" i="3"/>
  <c r="N907" i="3"/>
  <c r="N899" i="3"/>
  <c r="N891" i="3"/>
  <c r="N883" i="3"/>
  <c r="N875" i="3"/>
  <c r="N867" i="3"/>
  <c r="N859" i="3"/>
  <c r="N851" i="3"/>
  <c r="N843" i="3"/>
  <c r="N835" i="3"/>
  <c r="N827" i="3"/>
  <c r="N819" i="3"/>
  <c r="N811" i="3"/>
  <c r="N803" i="3"/>
  <c r="N795" i="3"/>
  <c r="N787" i="3"/>
  <c r="N779" i="3"/>
  <c r="N771" i="3"/>
  <c r="N763" i="3"/>
  <c r="N755" i="3"/>
  <c r="N747" i="3"/>
  <c r="O174" i="3" l="1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N677" i="3" s="1"/>
  <c r="L678" i="3"/>
  <c r="N678" i="3" s="1"/>
  <c r="L679" i="3"/>
  <c r="N679" i="3" s="1"/>
  <c r="L680" i="3"/>
  <c r="N680" i="3" s="1"/>
  <c r="L681" i="3"/>
  <c r="N681" i="3" s="1"/>
  <c r="L682" i="3"/>
  <c r="N682" i="3" s="1"/>
  <c r="L683" i="3"/>
  <c r="N683" i="3" s="1"/>
  <c r="L684" i="3"/>
  <c r="N684" i="3" s="1"/>
  <c r="L685" i="3"/>
  <c r="N685" i="3" s="1"/>
  <c r="L686" i="3"/>
  <c r="N686" i="3" s="1"/>
  <c r="L687" i="3"/>
  <c r="N687" i="3" s="1"/>
  <c r="L688" i="3"/>
  <c r="N688" i="3" s="1"/>
  <c r="L689" i="3"/>
  <c r="N689" i="3" s="1"/>
  <c r="L690" i="3"/>
  <c r="N690" i="3" s="1"/>
  <c r="L691" i="3"/>
  <c r="N691" i="3" s="1"/>
  <c r="L692" i="3"/>
  <c r="N692" i="3" s="1"/>
  <c r="L693" i="3"/>
  <c r="N693" i="3" s="1"/>
  <c r="L694" i="3"/>
  <c r="N694" i="3" s="1"/>
  <c r="L695" i="3"/>
  <c r="N695" i="3" s="1"/>
  <c r="L696" i="3"/>
  <c r="N696" i="3" s="1"/>
  <c r="L697" i="3"/>
  <c r="N697" i="3" s="1"/>
  <c r="L698" i="3"/>
  <c r="N698" i="3" s="1"/>
  <c r="L699" i="3"/>
  <c r="N699" i="3" s="1"/>
  <c r="L700" i="3"/>
  <c r="N700" i="3" s="1"/>
  <c r="L701" i="3"/>
  <c r="N701" i="3" s="1"/>
  <c r="L702" i="3"/>
  <c r="N702" i="3" s="1"/>
  <c r="L703" i="3"/>
  <c r="N703" i="3" s="1"/>
  <c r="L704" i="3"/>
  <c r="N704" i="3" s="1"/>
  <c r="L705" i="3"/>
  <c r="N705" i="3" s="1"/>
  <c r="L706" i="3"/>
  <c r="N706" i="3" s="1"/>
  <c r="L707" i="3"/>
  <c r="N707" i="3" s="1"/>
  <c r="L708" i="3"/>
  <c r="N708" i="3" s="1"/>
  <c r="L709" i="3"/>
  <c r="N709" i="3" s="1"/>
  <c r="L710" i="3"/>
  <c r="N710" i="3" s="1"/>
  <c r="L711" i="3"/>
  <c r="N711" i="3" s="1"/>
  <c r="L712" i="3"/>
  <c r="N712" i="3" s="1"/>
  <c r="L713" i="3"/>
  <c r="N713" i="3" s="1"/>
  <c r="L714" i="3"/>
  <c r="N714" i="3" s="1"/>
  <c r="L715" i="3"/>
  <c r="N715" i="3" s="1"/>
  <c r="L716" i="3"/>
  <c r="N716" i="3" s="1"/>
  <c r="L717" i="3"/>
  <c r="N717" i="3" s="1"/>
  <c r="L718" i="3"/>
  <c r="N718" i="3" s="1"/>
  <c r="L719" i="3"/>
  <c r="N719" i="3" s="1"/>
  <c r="L720" i="3"/>
  <c r="N720" i="3" s="1"/>
  <c r="L721" i="3"/>
  <c r="N721" i="3" s="1"/>
  <c r="L722" i="3"/>
  <c r="N722" i="3" s="1"/>
  <c r="L723" i="3"/>
  <c r="N723" i="3" s="1"/>
  <c r="L724" i="3"/>
  <c r="N724" i="3" s="1"/>
  <c r="L725" i="3"/>
  <c r="N725" i="3" s="1"/>
  <c r="L726" i="3"/>
  <c r="N726" i="3" s="1"/>
  <c r="L727" i="3"/>
  <c r="N727" i="3" s="1"/>
  <c r="L728" i="3"/>
  <c r="N728" i="3" s="1"/>
  <c r="L729" i="3"/>
  <c r="N729" i="3" s="1"/>
  <c r="L730" i="3"/>
  <c r="N730" i="3" s="1"/>
  <c r="L731" i="3"/>
  <c r="N731" i="3" s="1"/>
  <c r="L732" i="3"/>
  <c r="N732" i="3" s="1"/>
  <c r="L733" i="3"/>
  <c r="N733" i="3" s="1"/>
  <c r="L734" i="3"/>
  <c r="N734" i="3" s="1"/>
  <c r="L735" i="3"/>
  <c r="N735" i="3" s="1"/>
  <c r="L736" i="3"/>
  <c r="N736" i="3" s="1"/>
  <c r="L737" i="3"/>
  <c r="N737" i="3" s="1"/>
  <c r="L738" i="3"/>
  <c r="N738" i="3" s="1"/>
  <c r="L739" i="3"/>
  <c r="N739" i="3" s="1"/>
  <c r="L740" i="3"/>
  <c r="N740" i="3" s="1"/>
  <c r="L741" i="3"/>
  <c r="N741" i="3" s="1"/>
  <c r="L742" i="3"/>
  <c r="N742" i="3" s="1"/>
  <c r="L743" i="3"/>
  <c r="N743" i="3" s="1"/>
  <c r="L744" i="3"/>
  <c r="N744" i="3" s="1"/>
  <c r="L745" i="3"/>
  <c r="N745" i="3" s="1"/>
  <c r="L746" i="3"/>
  <c r="N746" i="3" s="1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AD317" i="4"/>
  <c r="AD318" i="4"/>
  <c r="AD319" i="4"/>
  <c r="AD320" i="4"/>
  <c r="AD321" i="4"/>
  <c r="AD322" i="4"/>
  <c r="AD323" i="4"/>
  <c r="AD324" i="4"/>
  <c r="AD325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N670" i="3" l="1"/>
  <c r="N662" i="3"/>
  <c r="N654" i="3"/>
  <c r="N646" i="3"/>
  <c r="N676" i="3"/>
  <c r="N668" i="3"/>
  <c r="N660" i="3"/>
  <c r="N652" i="3"/>
  <c r="N644" i="3"/>
  <c r="N233" i="3"/>
  <c r="N675" i="3"/>
  <c r="N667" i="3"/>
  <c r="N659" i="3"/>
  <c r="N651" i="3"/>
  <c r="N643" i="3"/>
  <c r="N669" i="3"/>
  <c r="N661" i="3"/>
  <c r="N653" i="3"/>
  <c r="N645" i="3"/>
  <c r="N335" i="3"/>
  <c r="N295" i="3"/>
  <c r="N263" i="3"/>
  <c r="N223" i="3"/>
  <c r="N183" i="3"/>
  <c r="U406" i="3"/>
  <c r="U398" i="3"/>
  <c r="U390" i="3"/>
  <c r="N636" i="3"/>
  <c r="N628" i="3"/>
  <c r="N620" i="3"/>
  <c r="N612" i="3"/>
  <c r="N604" i="3"/>
  <c r="N596" i="3"/>
  <c r="N588" i="3"/>
  <c r="N580" i="3"/>
  <c r="N572" i="3"/>
  <c r="N564" i="3"/>
  <c r="N556" i="3"/>
  <c r="N548" i="3"/>
  <c r="N540" i="3"/>
  <c r="N532" i="3"/>
  <c r="N524" i="3"/>
  <c r="N516" i="3"/>
  <c r="N508" i="3"/>
  <c r="N500" i="3"/>
  <c r="N492" i="3"/>
  <c r="N484" i="3"/>
  <c r="N476" i="3"/>
  <c r="N468" i="3"/>
  <c r="N460" i="3"/>
  <c r="N452" i="3"/>
  <c r="N444" i="3"/>
  <c r="N436" i="3"/>
  <c r="N428" i="3"/>
  <c r="N420" i="3"/>
  <c r="N412" i="3"/>
  <c r="N404" i="3"/>
  <c r="N396" i="3"/>
  <c r="N388" i="3"/>
  <c r="N380" i="3"/>
  <c r="N372" i="3"/>
  <c r="N364" i="3"/>
  <c r="N356" i="3"/>
  <c r="N635" i="3"/>
  <c r="N627" i="3"/>
  <c r="N619" i="3"/>
  <c r="N611" i="3"/>
  <c r="N603" i="3"/>
  <c r="N595" i="3"/>
  <c r="N587" i="3"/>
  <c r="N579" i="3"/>
  <c r="N571" i="3"/>
  <c r="N563" i="3"/>
  <c r="N555" i="3"/>
  <c r="N547" i="3"/>
  <c r="N539" i="3"/>
  <c r="N531" i="3"/>
  <c r="N523" i="3"/>
  <c r="N515" i="3"/>
  <c r="N507" i="3"/>
  <c r="N499" i="3"/>
  <c r="N491" i="3"/>
  <c r="N483" i="3"/>
  <c r="N475" i="3"/>
  <c r="N467" i="3"/>
  <c r="N459" i="3"/>
  <c r="N451" i="3"/>
  <c r="N443" i="3"/>
  <c r="N435" i="3"/>
  <c r="N427" i="3"/>
  <c r="N419" i="3"/>
  <c r="N411" i="3"/>
  <c r="N403" i="3"/>
  <c r="N395" i="3"/>
  <c r="N387" i="3"/>
  <c r="N379" i="3"/>
  <c r="N371" i="3"/>
  <c r="N363" i="3"/>
  <c r="N355" i="3"/>
  <c r="N674" i="3"/>
  <c r="N666" i="3"/>
  <c r="N658" i="3"/>
  <c r="N650" i="3"/>
  <c r="N642" i="3"/>
  <c r="N671" i="3"/>
  <c r="N663" i="3"/>
  <c r="N655" i="3"/>
  <c r="N647" i="3"/>
  <c r="N638" i="3"/>
  <c r="N630" i="3"/>
  <c r="N622" i="3"/>
  <c r="N614" i="3"/>
  <c r="N606" i="3"/>
  <c r="N598" i="3"/>
  <c r="N590" i="3"/>
  <c r="N582" i="3"/>
  <c r="N574" i="3"/>
  <c r="N566" i="3"/>
  <c r="N558" i="3"/>
  <c r="N550" i="3"/>
  <c r="N542" i="3"/>
  <c r="N534" i="3"/>
  <c r="N526" i="3"/>
  <c r="N518" i="3"/>
  <c r="N510" i="3"/>
  <c r="N502" i="3"/>
  <c r="N494" i="3"/>
  <c r="N486" i="3"/>
  <c r="N478" i="3"/>
  <c r="N470" i="3"/>
  <c r="N462" i="3"/>
  <c r="N454" i="3"/>
  <c r="N446" i="3"/>
  <c r="N438" i="3"/>
  <c r="N430" i="3"/>
  <c r="N422" i="3"/>
  <c r="N414" i="3"/>
  <c r="N406" i="3"/>
  <c r="N398" i="3"/>
  <c r="N390" i="3"/>
  <c r="N382" i="3"/>
  <c r="N374" i="3"/>
  <c r="N366" i="3"/>
  <c r="N358" i="3"/>
  <c r="U366" i="3"/>
  <c r="U310" i="3"/>
  <c r="U270" i="3"/>
  <c r="U206" i="3"/>
  <c r="U110" i="3"/>
  <c r="U38" i="3"/>
  <c r="U407" i="3"/>
  <c r="U399" i="3"/>
  <c r="U391" i="3"/>
  <c r="U383" i="3"/>
  <c r="U382" i="3"/>
  <c r="U254" i="3"/>
  <c r="U182" i="3"/>
  <c r="U150" i="3"/>
  <c r="U46" i="3"/>
  <c r="U334" i="3"/>
  <c r="U230" i="3"/>
  <c r="U190" i="3"/>
  <c r="U134" i="3"/>
  <c r="U62" i="3"/>
  <c r="U374" i="3"/>
  <c r="U302" i="3"/>
  <c r="U222" i="3"/>
  <c r="U198" i="3"/>
  <c r="U142" i="3"/>
  <c r="U30" i="3"/>
  <c r="U405" i="3"/>
  <c r="U365" i="3"/>
  <c r="U325" i="3"/>
  <c r="U285" i="3"/>
  <c r="U261" i="3"/>
  <c r="U237" i="3"/>
  <c r="U213" i="3"/>
  <c r="U197" i="3"/>
  <c r="U165" i="3"/>
  <c r="U125" i="3"/>
  <c r="U93" i="3"/>
  <c r="U53" i="3"/>
  <c r="U412" i="3"/>
  <c r="U404" i="3"/>
  <c r="U396" i="3"/>
  <c r="U388" i="3"/>
  <c r="U342" i="3"/>
  <c r="U286" i="3"/>
  <c r="U246" i="3"/>
  <c r="U158" i="3"/>
  <c r="U102" i="3"/>
  <c r="U70" i="3"/>
  <c r="U413" i="3"/>
  <c r="U373" i="3"/>
  <c r="U341" i="3"/>
  <c r="U309" i="3"/>
  <c r="U293" i="3"/>
  <c r="U269" i="3"/>
  <c r="U245" i="3"/>
  <c r="U221" i="3"/>
  <c r="U189" i="3"/>
  <c r="U149" i="3"/>
  <c r="U117" i="3"/>
  <c r="U77" i="3"/>
  <c r="U45" i="3"/>
  <c r="U411" i="3"/>
  <c r="U403" i="3"/>
  <c r="U326" i="3"/>
  <c r="U238" i="3"/>
  <c r="U214" i="3"/>
  <c r="U118" i="3"/>
  <c r="U54" i="3"/>
  <c r="U381" i="3"/>
  <c r="U173" i="3"/>
  <c r="U133" i="3"/>
  <c r="U109" i="3"/>
  <c r="U85" i="3"/>
  <c r="U61" i="3"/>
  <c r="U410" i="3"/>
  <c r="U402" i="3"/>
  <c r="U394" i="3"/>
  <c r="U386" i="3"/>
  <c r="U358" i="3"/>
  <c r="U318" i="3"/>
  <c r="U262" i="3"/>
  <c r="U166" i="3"/>
  <c r="U126" i="3"/>
  <c r="U86" i="3"/>
  <c r="U397" i="3"/>
  <c r="U349" i="3"/>
  <c r="U317" i="3"/>
  <c r="U277" i="3"/>
  <c r="U253" i="3"/>
  <c r="U229" i="3"/>
  <c r="U205" i="3"/>
  <c r="U181" i="3"/>
  <c r="U141" i="3"/>
  <c r="U101" i="3"/>
  <c r="U69" i="3"/>
  <c r="U37" i="3"/>
  <c r="U409" i="3"/>
  <c r="U401" i="3"/>
  <c r="U393" i="3"/>
  <c r="U385" i="3"/>
  <c r="U377" i="3"/>
  <c r="U369" i="3"/>
  <c r="U361" i="3"/>
  <c r="U353" i="3"/>
  <c r="U345" i="3"/>
  <c r="U337" i="3"/>
  <c r="U329" i="3"/>
  <c r="U321" i="3"/>
  <c r="U350" i="3"/>
  <c r="U294" i="3"/>
  <c r="U278" i="3"/>
  <c r="U174" i="3"/>
  <c r="U94" i="3"/>
  <c r="U78" i="3"/>
  <c r="U389" i="3"/>
  <c r="U357" i="3"/>
  <c r="U333" i="3"/>
  <c r="U301" i="3"/>
  <c r="U157" i="3"/>
  <c r="U408" i="3"/>
  <c r="U400" i="3"/>
  <c r="U392" i="3"/>
  <c r="U384" i="3"/>
  <c r="U376" i="3"/>
  <c r="U368" i="3"/>
  <c r="U360" i="3"/>
  <c r="U352" i="3"/>
  <c r="U344" i="3"/>
  <c r="U336" i="3"/>
  <c r="U328" i="3"/>
  <c r="U320" i="3"/>
  <c r="U312" i="3"/>
  <c r="U304" i="3"/>
  <c r="U296" i="3"/>
  <c r="U288" i="3"/>
  <c r="U280" i="3"/>
  <c r="U272" i="3"/>
  <c r="U264" i="3"/>
  <c r="U256" i="3"/>
  <c r="U248" i="3"/>
  <c r="U240" i="3"/>
  <c r="U232" i="3"/>
  <c r="U224" i="3"/>
  <c r="U216" i="3"/>
  <c r="U208" i="3"/>
  <c r="U200" i="3"/>
  <c r="U192" i="3"/>
  <c r="U184" i="3"/>
  <c r="U176" i="3"/>
  <c r="U168" i="3"/>
  <c r="U160" i="3"/>
  <c r="U152" i="3"/>
  <c r="U144" i="3"/>
  <c r="U136" i="3"/>
  <c r="U128" i="3"/>
  <c r="U120" i="3"/>
  <c r="U112" i="3"/>
  <c r="U104" i="3"/>
  <c r="U375" i="3"/>
  <c r="U367" i="3"/>
  <c r="U359" i="3"/>
  <c r="U351" i="3"/>
  <c r="U343" i="3"/>
  <c r="U335" i="3"/>
  <c r="U327" i="3"/>
  <c r="U319" i="3"/>
  <c r="U311" i="3"/>
  <c r="U303" i="3"/>
  <c r="U295" i="3"/>
  <c r="U287" i="3"/>
  <c r="U279" i="3"/>
  <c r="U271" i="3"/>
  <c r="U263" i="3"/>
  <c r="U255" i="3"/>
  <c r="U247" i="3"/>
  <c r="U239" i="3"/>
  <c r="U231" i="3"/>
  <c r="U223" i="3"/>
  <c r="U215" i="3"/>
  <c r="U207" i="3"/>
  <c r="U199" i="3"/>
  <c r="U191" i="3"/>
  <c r="U183" i="3"/>
  <c r="U175" i="3"/>
  <c r="U167" i="3"/>
  <c r="U159" i="3"/>
  <c r="U151" i="3"/>
  <c r="U143" i="3"/>
  <c r="U135" i="3"/>
  <c r="U127" i="3"/>
  <c r="U119" i="3"/>
  <c r="U111" i="3"/>
  <c r="U103" i="3"/>
  <c r="U95" i="3"/>
  <c r="U87" i="3"/>
  <c r="U79" i="3"/>
  <c r="U71" i="3"/>
  <c r="U63" i="3"/>
  <c r="U55" i="3"/>
  <c r="U47" i="3"/>
  <c r="U39" i="3"/>
  <c r="U31" i="3"/>
  <c r="N637" i="3"/>
  <c r="N629" i="3"/>
  <c r="N621" i="3"/>
  <c r="N613" i="3"/>
  <c r="N605" i="3"/>
  <c r="N597" i="3"/>
  <c r="N589" i="3"/>
  <c r="N581" i="3"/>
  <c r="N573" i="3"/>
  <c r="N565" i="3"/>
  <c r="N557" i="3"/>
  <c r="N549" i="3"/>
  <c r="N541" i="3"/>
  <c r="N533" i="3"/>
  <c r="N525" i="3"/>
  <c r="N517" i="3"/>
  <c r="N509" i="3"/>
  <c r="N501" i="3"/>
  <c r="N493" i="3"/>
  <c r="N485" i="3"/>
  <c r="N477" i="3"/>
  <c r="N469" i="3"/>
  <c r="N461" i="3"/>
  <c r="N453" i="3"/>
  <c r="N445" i="3"/>
  <c r="N437" i="3"/>
  <c r="N429" i="3"/>
  <c r="N421" i="3"/>
  <c r="N413" i="3"/>
  <c r="N405" i="3"/>
  <c r="N397" i="3"/>
  <c r="N389" i="3"/>
  <c r="N381" i="3"/>
  <c r="N373" i="3"/>
  <c r="N365" i="3"/>
  <c r="N357" i="3"/>
  <c r="U380" i="3"/>
  <c r="U372" i="3"/>
  <c r="U364" i="3"/>
  <c r="U356" i="3"/>
  <c r="U348" i="3"/>
  <c r="U340" i="3"/>
  <c r="U332" i="3"/>
  <c r="U324" i="3"/>
  <c r="U316" i="3"/>
  <c r="U308" i="3"/>
  <c r="U300" i="3"/>
  <c r="U292" i="3"/>
  <c r="U284" i="3"/>
  <c r="U276" i="3"/>
  <c r="U268" i="3"/>
  <c r="U260" i="3"/>
  <c r="U252" i="3"/>
  <c r="U244" i="3"/>
  <c r="U236" i="3"/>
  <c r="U228" i="3"/>
  <c r="U220" i="3"/>
  <c r="U212" i="3"/>
  <c r="U204" i="3"/>
  <c r="U196" i="3"/>
  <c r="U188" i="3"/>
  <c r="U180" i="3"/>
  <c r="U172" i="3"/>
  <c r="U164" i="3"/>
  <c r="U156" i="3"/>
  <c r="U148" i="3"/>
  <c r="U140" i="3"/>
  <c r="U132" i="3"/>
  <c r="U124" i="3"/>
  <c r="U116" i="3"/>
  <c r="U108" i="3"/>
  <c r="U100" i="3"/>
  <c r="U92" i="3"/>
  <c r="U84" i="3"/>
  <c r="U76" i="3"/>
  <c r="U68" i="3"/>
  <c r="U60" i="3"/>
  <c r="U52" i="3"/>
  <c r="U44" i="3"/>
  <c r="U36" i="3"/>
  <c r="N259" i="3"/>
  <c r="N634" i="3"/>
  <c r="N626" i="3"/>
  <c r="N618" i="3"/>
  <c r="N610" i="3"/>
  <c r="N602" i="3"/>
  <c r="N594" i="3"/>
  <c r="N586" i="3"/>
  <c r="N578" i="3"/>
  <c r="N570" i="3"/>
  <c r="N562" i="3"/>
  <c r="N554" i="3"/>
  <c r="N546" i="3"/>
  <c r="N538" i="3"/>
  <c r="N530" i="3"/>
  <c r="N522" i="3"/>
  <c r="N514" i="3"/>
  <c r="N506" i="3"/>
  <c r="N498" i="3"/>
  <c r="N490" i="3"/>
  <c r="N482" i="3"/>
  <c r="N474" i="3"/>
  <c r="N466" i="3"/>
  <c r="N458" i="3"/>
  <c r="N450" i="3"/>
  <c r="N442" i="3"/>
  <c r="N434" i="3"/>
  <c r="N426" i="3"/>
  <c r="N418" i="3"/>
  <c r="N410" i="3"/>
  <c r="N402" i="3"/>
  <c r="N394" i="3"/>
  <c r="N386" i="3"/>
  <c r="N378" i="3"/>
  <c r="N370" i="3"/>
  <c r="N362" i="3"/>
  <c r="N354" i="3"/>
  <c r="U395" i="3"/>
  <c r="U387" i="3"/>
  <c r="U379" i="3"/>
  <c r="U371" i="3"/>
  <c r="U363" i="3"/>
  <c r="U355" i="3"/>
  <c r="U347" i="3"/>
  <c r="U339" i="3"/>
  <c r="U331" i="3"/>
  <c r="U323" i="3"/>
  <c r="U315" i="3"/>
  <c r="U307" i="3"/>
  <c r="U299" i="3"/>
  <c r="U291" i="3"/>
  <c r="U283" i="3"/>
  <c r="U275" i="3"/>
  <c r="U267" i="3"/>
  <c r="U259" i="3"/>
  <c r="U251" i="3"/>
  <c r="U243" i="3"/>
  <c r="U235" i="3"/>
  <c r="U227" i="3"/>
  <c r="U219" i="3"/>
  <c r="U211" i="3"/>
  <c r="U203" i="3"/>
  <c r="U195" i="3"/>
  <c r="U187" i="3"/>
  <c r="U179" i="3"/>
  <c r="U171" i="3"/>
  <c r="U163" i="3"/>
  <c r="U155" i="3"/>
  <c r="U147" i="3"/>
  <c r="U139" i="3"/>
  <c r="U131" i="3"/>
  <c r="U123" i="3"/>
  <c r="U115" i="3"/>
  <c r="U107" i="3"/>
  <c r="U99" i="3"/>
  <c r="U91" i="3"/>
  <c r="U83" i="3"/>
  <c r="U75" i="3"/>
  <c r="U67" i="3"/>
  <c r="U59" i="3"/>
  <c r="U51" i="3"/>
  <c r="U43" i="3"/>
  <c r="U35" i="3"/>
  <c r="N673" i="3"/>
  <c r="N665" i="3"/>
  <c r="N657" i="3"/>
  <c r="N649" i="3"/>
  <c r="N641" i="3"/>
  <c r="N633" i="3"/>
  <c r="N625" i="3"/>
  <c r="N617" i="3"/>
  <c r="N609" i="3"/>
  <c r="N601" i="3"/>
  <c r="N593" i="3"/>
  <c r="N585" i="3"/>
  <c r="N577" i="3"/>
  <c r="N569" i="3"/>
  <c r="N561" i="3"/>
  <c r="N553" i="3"/>
  <c r="N545" i="3"/>
  <c r="N537" i="3"/>
  <c r="N529" i="3"/>
  <c r="N521" i="3"/>
  <c r="N513" i="3"/>
  <c r="N505" i="3"/>
  <c r="N497" i="3"/>
  <c r="N489" i="3"/>
  <c r="N481" i="3"/>
  <c r="N473" i="3"/>
  <c r="N465" i="3"/>
  <c r="N457" i="3"/>
  <c r="N449" i="3"/>
  <c r="N441" i="3"/>
  <c r="N433" i="3"/>
  <c r="N425" i="3"/>
  <c r="N417" i="3"/>
  <c r="N409" i="3"/>
  <c r="N401" i="3"/>
  <c r="N393" i="3"/>
  <c r="N385" i="3"/>
  <c r="N377" i="3"/>
  <c r="N369" i="3"/>
  <c r="N361" i="3"/>
  <c r="N353" i="3"/>
  <c r="U378" i="3"/>
  <c r="U370" i="3"/>
  <c r="U362" i="3"/>
  <c r="U354" i="3"/>
  <c r="U346" i="3"/>
  <c r="U338" i="3"/>
  <c r="U330" i="3"/>
  <c r="U322" i="3"/>
  <c r="U314" i="3"/>
  <c r="U306" i="3"/>
  <c r="U298" i="3"/>
  <c r="U290" i="3"/>
  <c r="U282" i="3"/>
  <c r="U274" i="3"/>
  <c r="U266" i="3"/>
  <c r="U258" i="3"/>
  <c r="U250" i="3"/>
  <c r="U242" i="3"/>
  <c r="U234" i="3"/>
  <c r="U226" i="3"/>
  <c r="U218" i="3"/>
  <c r="U210" i="3"/>
  <c r="U202" i="3"/>
  <c r="U194" i="3"/>
  <c r="U186" i="3"/>
  <c r="U178" i="3"/>
  <c r="U170" i="3"/>
  <c r="U162" i="3"/>
  <c r="U154" i="3"/>
  <c r="U146" i="3"/>
  <c r="U138" i="3"/>
  <c r="U130" i="3"/>
  <c r="U122" i="3"/>
  <c r="U114" i="3"/>
  <c r="U106" i="3"/>
  <c r="U98" i="3"/>
  <c r="U90" i="3"/>
  <c r="U82" i="3"/>
  <c r="U74" i="3"/>
  <c r="U66" i="3"/>
  <c r="U58" i="3"/>
  <c r="U50" i="3"/>
  <c r="U42" i="3"/>
  <c r="U34" i="3"/>
  <c r="N672" i="3"/>
  <c r="N664" i="3"/>
  <c r="N656" i="3"/>
  <c r="N648" i="3"/>
  <c r="N640" i="3"/>
  <c r="N632" i="3"/>
  <c r="N624" i="3"/>
  <c r="N616" i="3"/>
  <c r="N608" i="3"/>
  <c r="N600" i="3"/>
  <c r="N592" i="3"/>
  <c r="N584" i="3"/>
  <c r="N576" i="3"/>
  <c r="N568" i="3"/>
  <c r="N560" i="3"/>
  <c r="N552" i="3"/>
  <c r="N544" i="3"/>
  <c r="N536" i="3"/>
  <c r="N528" i="3"/>
  <c r="N520" i="3"/>
  <c r="N512" i="3"/>
  <c r="N504" i="3"/>
  <c r="N496" i="3"/>
  <c r="N488" i="3"/>
  <c r="N480" i="3"/>
  <c r="N472" i="3"/>
  <c r="N464" i="3"/>
  <c r="N456" i="3"/>
  <c r="N448" i="3"/>
  <c r="N440" i="3"/>
  <c r="N432" i="3"/>
  <c r="N424" i="3"/>
  <c r="N416" i="3"/>
  <c r="N408" i="3"/>
  <c r="N400" i="3"/>
  <c r="N392" i="3"/>
  <c r="N384" i="3"/>
  <c r="N376" i="3"/>
  <c r="N368" i="3"/>
  <c r="N360" i="3"/>
  <c r="N352" i="3"/>
  <c r="U313" i="3"/>
  <c r="U305" i="3"/>
  <c r="U297" i="3"/>
  <c r="U289" i="3"/>
  <c r="U281" i="3"/>
  <c r="U273" i="3"/>
  <c r="U265" i="3"/>
  <c r="U257" i="3"/>
  <c r="U249" i="3"/>
  <c r="U241" i="3"/>
  <c r="U233" i="3"/>
  <c r="U225" i="3"/>
  <c r="U217" i="3"/>
  <c r="U209" i="3"/>
  <c r="U201" i="3"/>
  <c r="U193" i="3"/>
  <c r="U185" i="3"/>
  <c r="U177" i="3"/>
  <c r="U169" i="3"/>
  <c r="U161" i="3"/>
  <c r="U153" i="3"/>
  <c r="U145" i="3"/>
  <c r="U137" i="3"/>
  <c r="U129" i="3"/>
  <c r="U121" i="3"/>
  <c r="U113" i="3"/>
  <c r="U105" i="3"/>
  <c r="U97" i="3"/>
  <c r="U89" i="3"/>
  <c r="U81" i="3"/>
  <c r="U73" i="3"/>
  <c r="U65" i="3"/>
  <c r="U57" i="3"/>
  <c r="U49" i="3"/>
  <c r="U41" i="3"/>
  <c r="U33" i="3"/>
  <c r="N639" i="3"/>
  <c r="N631" i="3"/>
  <c r="N623" i="3"/>
  <c r="N615" i="3"/>
  <c r="N607" i="3"/>
  <c r="N599" i="3"/>
  <c r="N591" i="3"/>
  <c r="N583" i="3"/>
  <c r="N575" i="3"/>
  <c r="N567" i="3"/>
  <c r="N559" i="3"/>
  <c r="N551" i="3"/>
  <c r="N543" i="3"/>
  <c r="N535" i="3"/>
  <c r="N527" i="3"/>
  <c r="N519" i="3"/>
  <c r="N511" i="3"/>
  <c r="N503" i="3"/>
  <c r="N495" i="3"/>
  <c r="N487" i="3"/>
  <c r="N479" i="3"/>
  <c r="N471" i="3"/>
  <c r="N463" i="3"/>
  <c r="N455" i="3"/>
  <c r="N447" i="3"/>
  <c r="N439" i="3"/>
  <c r="N431" i="3"/>
  <c r="N423" i="3"/>
  <c r="N415" i="3"/>
  <c r="N407" i="3"/>
  <c r="N399" i="3"/>
  <c r="N391" i="3"/>
  <c r="N383" i="3"/>
  <c r="N375" i="3"/>
  <c r="N367" i="3"/>
  <c r="N359" i="3"/>
  <c r="N351" i="3"/>
  <c r="U96" i="3"/>
  <c r="U88" i="3"/>
  <c r="U80" i="3"/>
  <c r="U72" i="3"/>
  <c r="U64" i="3"/>
  <c r="U56" i="3"/>
  <c r="U48" i="3"/>
  <c r="U40" i="3"/>
  <c r="U32" i="3"/>
  <c r="N345" i="3"/>
  <c r="N281" i="3"/>
  <c r="N274" i="3"/>
  <c r="N202" i="3"/>
  <c r="N177" i="3"/>
  <c r="N337" i="3"/>
  <c r="N329" i="3"/>
  <c r="N321" i="3"/>
  <c r="N313" i="3"/>
  <c r="N305" i="3"/>
  <c r="N297" i="3"/>
  <c r="N289" i="3"/>
  <c r="N273" i="3"/>
  <c r="N265" i="3"/>
  <c r="N257" i="3"/>
  <c r="N249" i="3"/>
  <c r="N241" i="3"/>
  <c r="N225" i="3"/>
  <c r="N217" i="3"/>
  <c r="N209" i="3"/>
  <c r="N201" i="3"/>
  <c r="N193" i="3"/>
  <c r="N185" i="3"/>
  <c r="N344" i="3"/>
  <c r="N336" i="3"/>
  <c r="N328" i="3"/>
  <c r="N320" i="3"/>
  <c r="N312" i="3"/>
  <c r="N304" i="3"/>
  <c r="N296" i="3"/>
  <c r="N288" i="3"/>
  <c r="N280" i="3"/>
  <c r="N272" i="3"/>
  <c r="N264" i="3"/>
  <c r="N256" i="3"/>
  <c r="N248" i="3"/>
  <c r="N240" i="3"/>
  <c r="N232" i="3"/>
  <c r="N224" i="3"/>
  <c r="N216" i="3"/>
  <c r="N208" i="3"/>
  <c r="N200" i="3"/>
  <c r="N192" i="3"/>
  <c r="N184" i="3"/>
  <c r="N176" i="3"/>
  <c r="N294" i="3"/>
  <c r="N262" i="3"/>
  <c r="N254" i="3"/>
  <c r="N222" i="3"/>
  <c r="N349" i="3"/>
  <c r="N341" i="3"/>
  <c r="N333" i="3"/>
  <c r="N325" i="3"/>
  <c r="N317" i="3"/>
  <c r="N309" i="3"/>
  <c r="N301" i="3"/>
  <c r="N293" i="3"/>
  <c r="N285" i="3"/>
  <c r="N277" i="3"/>
  <c r="N269" i="3"/>
  <c r="N261" i="3"/>
  <c r="N253" i="3"/>
  <c r="N245" i="3"/>
  <c r="N237" i="3"/>
  <c r="N229" i="3"/>
  <c r="N221" i="3"/>
  <c r="N350" i="3"/>
  <c r="N342" i="3"/>
  <c r="N334" i="3"/>
  <c r="N326" i="3"/>
  <c r="N318" i="3"/>
  <c r="N310" i="3"/>
  <c r="N302" i="3"/>
  <c r="N286" i="3"/>
  <c r="N278" i="3"/>
  <c r="N270" i="3"/>
  <c r="N246" i="3"/>
  <c r="N238" i="3"/>
  <c r="N230" i="3"/>
  <c r="N214" i="3"/>
  <c r="N206" i="3"/>
  <c r="N198" i="3"/>
  <c r="N190" i="3"/>
  <c r="N182" i="3"/>
  <c r="N174" i="3"/>
  <c r="N323" i="3"/>
  <c r="N315" i="3"/>
  <c r="N251" i="3"/>
  <c r="U422" i="3"/>
  <c r="U421" i="3"/>
  <c r="U418" i="3"/>
  <c r="U417" i="3"/>
  <c r="N346" i="3"/>
  <c r="N338" i="3"/>
  <c r="N330" i="3"/>
  <c r="N322" i="3"/>
  <c r="N314" i="3"/>
  <c r="N306" i="3"/>
  <c r="N298" i="3"/>
  <c r="N290" i="3"/>
  <c r="N282" i="3"/>
  <c r="N266" i="3"/>
  <c r="N258" i="3"/>
  <c r="N250" i="3"/>
  <c r="N242" i="3"/>
  <c r="N234" i="3"/>
  <c r="N226" i="3"/>
  <c r="U420" i="3"/>
  <c r="U416" i="3"/>
  <c r="U419" i="3"/>
  <c r="U415" i="3"/>
  <c r="U414" i="3"/>
  <c r="N195" i="3"/>
  <c r="N187" i="3"/>
  <c r="N218" i="3"/>
  <c r="N210" i="3"/>
  <c r="N194" i="3"/>
  <c r="N186" i="3"/>
  <c r="N178" i="3"/>
  <c r="N343" i="3"/>
  <c r="N327" i="3"/>
  <c r="N319" i="3"/>
  <c r="N311" i="3"/>
  <c r="N303" i="3"/>
  <c r="N287" i="3"/>
  <c r="N279" i="3"/>
  <c r="N271" i="3"/>
  <c r="N255" i="3"/>
  <c r="N247" i="3"/>
  <c r="N239" i="3"/>
  <c r="N231" i="3"/>
  <c r="N215" i="3"/>
  <c r="N207" i="3"/>
  <c r="N199" i="3"/>
  <c r="N191" i="3"/>
  <c r="N213" i="3"/>
  <c r="N205" i="3"/>
  <c r="N197" i="3"/>
  <c r="N189" i="3"/>
  <c r="N181" i="3"/>
  <c r="N175" i="3"/>
  <c r="N347" i="3"/>
  <c r="N339" i="3"/>
  <c r="N331" i="3"/>
  <c r="N307" i="3"/>
  <c r="N299" i="3"/>
  <c r="N291" i="3"/>
  <c r="N283" i="3"/>
  <c r="N275" i="3"/>
  <c r="N267" i="3"/>
  <c r="N243" i="3"/>
  <c r="N235" i="3"/>
  <c r="N227" i="3"/>
  <c r="N219" i="3"/>
  <c r="N211" i="3"/>
  <c r="N203" i="3"/>
  <c r="N179" i="3"/>
  <c r="N332" i="3"/>
  <c r="N284" i="3"/>
  <c r="N244" i="3"/>
  <c r="N220" i="3"/>
  <c r="N324" i="3"/>
  <c r="N252" i="3"/>
  <c r="N180" i="3"/>
  <c r="N348" i="3"/>
  <c r="N292" i="3"/>
  <c r="N260" i="3"/>
  <c r="N212" i="3"/>
  <c r="N316" i="3"/>
  <c r="N276" i="3"/>
  <c r="N228" i="3"/>
  <c r="N188" i="3"/>
  <c r="N308" i="3"/>
  <c r="N204" i="3"/>
  <c r="N340" i="3"/>
  <c r="N300" i="3"/>
  <c r="N268" i="3"/>
  <c r="N236" i="3"/>
  <c r="N196" i="3"/>
  <c r="AA2" i="4" l="1"/>
  <c r="AD2" i="4"/>
  <c r="AA3" i="4"/>
  <c r="AD3" i="4"/>
  <c r="AA4" i="4"/>
  <c r="AD4" i="4"/>
  <c r="AA5" i="4"/>
  <c r="AD5" i="4"/>
  <c r="AA6" i="4"/>
  <c r="AD6" i="4"/>
  <c r="AA7" i="4"/>
  <c r="AD7" i="4"/>
  <c r="AA8" i="4"/>
  <c r="AD8" i="4"/>
  <c r="AA9" i="4"/>
  <c r="AD9" i="4"/>
  <c r="AA10" i="4"/>
  <c r="AD10" i="4"/>
  <c r="AA11" i="4"/>
  <c r="AD11" i="4"/>
  <c r="AA12" i="4"/>
  <c r="AD12" i="4"/>
  <c r="AA13" i="4"/>
  <c r="AD13" i="4"/>
  <c r="AA14" i="4"/>
  <c r="AD14" i="4"/>
  <c r="AA15" i="4"/>
  <c r="AD15" i="4"/>
  <c r="AA16" i="4"/>
  <c r="AD16" i="4"/>
  <c r="AA17" i="4"/>
  <c r="AD17" i="4"/>
  <c r="AA18" i="4"/>
  <c r="AD18" i="4"/>
  <c r="AA19" i="4"/>
  <c r="AD19" i="4"/>
  <c r="AA20" i="4"/>
  <c r="AD20" i="4"/>
  <c r="AA21" i="4"/>
  <c r="AD21" i="4"/>
  <c r="AA22" i="4"/>
  <c r="AD22" i="4"/>
  <c r="AA23" i="4"/>
  <c r="AD23" i="4"/>
  <c r="AA24" i="4"/>
  <c r="AD24" i="4"/>
  <c r="AA25" i="4"/>
  <c r="AD25" i="4"/>
  <c r="AA26" i="4"/>
  <c r="AD26" i="4"/>
  <c r="AA27" i="4"/>
  <c r="AD27" i="4"/>
  <c r="AA28" i="4"/>
  <c r="AD28" i="4"/>
  <c r="AA29" i="4"/>
  <c r="AD29" i="4"/>
  <c r="AA30" i="4"/>
  <c r="AD30" i="4"/>
  <c r="AA31" i="4"/>
  <c r="AD31" i="4"/>
  <c r="AA32" i="4"/>
  <c r="AD32" i="4"/>
  <c r="AA33" i="4"/>
  <c r="AD33" i="4"/>
  <c r="AA34" i="4"/>
  <c r="AD34" i="4"/>
  <c r="AA35" i="4"/>
  <c r="AD35" i="4"/>
  <c r="AA36" i="4"/>
  <c r="AD36" i="4"/>
  <c r="AL36" i="4"/>
  <c r="AM36" i="4" a="1"/>
  <c r="AM36" i="4" s="1"/>
  <c r="AA37" i="4"/>
  <c r="AD37" i="4"/>
  <c r="AL37" i="4"/>
  <c r="AM37" i="4" a="1"/>
  <c r="AM37" i="4" s="1"/>
  <c r="AA38" i="4"/>
  <c r="AD38" i="4"/>
  <c r="AL38" i="4"/>
  <c r="AM38" i="4" a="1"/>
  <c r="AM38" i="4" s="1"/>
  <c r="AA39" i="4"/>
  <c r="AD39" i="4"/>
  <c r="AL39" i="4"/>
  <c r="AM39" i="4" a="1"/>
  <c r="AM39" i="4" s="1"/>
  <c r="AA40" i="4"/>
  <c r="AD40" i="4"/>
  <c r="AL40" i="4"/>
  <c r="AM40" i="4" a="1"/>
  <c r="AM40" i="4" s="1"/>
  <c r="AA41" i="4"/>
  <c r="AD41" i="4"/>
  <c r="AL41" i="4"/>
  <c r="AM41" i="4" a="1"/>
  <c r="AM41" i="4" s="1"/>
  <c r="AA42" i="4"/>
  <c r="AD42" i="4"/>
  <c r="AL42" i="4"/>
  <c r="AM42" i="4" a="1"/>
  <c r="AM42" i="4" s="1"/>
  <c r="AA43" i="4"/>
  <c r="AD43" i="4"/>
  <c r="AL43" i="4"/>
  <c r="AM43" i="4" a="1"/>
  <c r="AM43" i="4" s="1"/>
  <c r="AA44" i="4"/>
  <c r="AD44" i="4"/>
  <c r="AL44" i="4"/>
  <c r="AM44" i="4" a="1"/>
  <c r="AM44" i="4" s="1"/>
  <c r="AA45" i="4"/>
  <c r="AD45" i="4"/>
  <c r="AL45" i="4"/>
  <c r="AM45" i="4" a="1"/>
  <c r="AM45" i="4" s="1"/>
  <c r="AA46" i="4"/>
  <c r="AD46" i="4"/>
  <c r="AL46" i="4"/>
  <c r="AM46" i="4" a="1"/>
  <c r="AM46" i="4" s="1"/>
  <c r="AA47" i="4"/>
  <c r="AD47" i="4"/>
  <c r="AL47" i="4"/>
  <c r="AM47" i="4" a="1"/>
  <c r="AM47" i="4" s="1"/>
  <c r="AA48" i="4"/>
  <c r="AD48" i="4"/>
  <c r="AL48" i="4"/>
  <c r="AM48" i="4" a="1"/>
  <c r="AM48" i="4" s="1"/>
  <c r="AA49" i="4"/>
  <c r="AD49" i="4"/>
  <c r="AL49" i="4"/>
  <c r="AM49" i="4" a="1"/>
  <c r="AM49" i="4" s="1"/>
  <c r="AA50" i="4"/>
  <c r="AD50" i="4"/>
  <c r="AL50" i="4"/>
  <c r="AM50" i="4" a="1"/>
  <c r="AM50" i="4" s="1"/>
  <c r="AA51" i="4"/>
  <c r="AD51" i="4"/>
  <c r="AL51" i="4"/>
  <c r="AM51" i="4" a="1"/>
  <c r="AM51" i="4" s="1"/>
  <c r="AA52" i="4"/>
  <c r="AD52" i="4"/>
  <c r="AL52" i="4"/>
  <c r="AM52" i="4" a="1"/>
  <c r="AM52" i="4" s="1"/>
  <c r="AA53" i="4"/>
  <c r="AD53" i="4"/>
  <c r="AL53" i="4"/>
  <c r="AM53" i="4" a="1"/>
  <c r="AM53" i="4" s="1"/>
  <c r="AA54" i="4"/>
  <c r="AD54" i="4"/>
  <c r="AL54" i="4"/>
  <c r="AM54" i="4" a="1"/>
  <c r="AM54" i="4" s="1"/>
  <c r="AA55" i="4"/>
  <c r="AD55" i="4"/>
  <c r="AL55" i="4"/>
  <c r="AM55" i="4" a="1"/>
  <c r="AM55" i="4" s="1"/>
  <c r="AA56" i="4"/>
  <c r="AD56" i="4"/>
  <c r="AL56" i="4"/>
  <c r="AM56" i="4" a="1"/>
  <c r="AM56" i="4" s="1"/>
  <c r="AA57" i="4"/>
  <c r="AD57" i="4"/>
  <c r="AL57" i="4"/>
  <c r="AM57" i="4" a="1"/>
  <c r="AM57" i="4" s="1"/>
  <c r="AA58" i="4"/>
  <c r="AD58" i="4"/>
  <c r="AL58" i="4"/>
  <c r="AM58" i="4" a="1"/>
  <c r="AM58" i="4" s="1"/>
  <c r="AA59" i="4"/>
  <c r="AD59" i="4"/>
  <c r="AL59" i="4"/>
  <c r="AM59" i="4" a="1"/>
  <c r="AM59" i="4" s="1"/>
  <c r="AA60" i="4"/>
  <c r="AD60" i="4"/>
  <c r="AL60" i="4"/>
  <c r="AM60" i="4" a="1"/>
  <c r="AM60" i="4" s="1"/>
  <c r="AA61" i="4"/>
  <c r="AD61" i="4"/>
  <c r="AL61" i="4"/>
  <c r="AM61" i="4" a="1"/>
  <c r="AM61" i="4" s="1"/>
  <c r="AA62" i="4"/>
  <c r="AD62" i="4"/>
  <c r="AL62" i="4"/>
  <c r="AM62" i="4" a="1"/>
  <c r="AM62" i="4" s="1"/>
  <c r="AA63" i="4"/>
  <c r="AD63" i="4"/>
  <c r="AL63" i="4"/>
  <c r="AM63" i="4" a="1"/>
  <c r="AM63" i="4" s="1"/>
  <c r="AA64" i="4"/>
  <c r="AD64" i="4"/>
  <c r="AL64" i="4"/>
  <c r="AM64" i="4" a="1"/>
  <c r="AM64" i="4" s="1"/>
  <c r="AA65" i="4"/>
  <c r="AD65" i="4"/>
  <c r="AL65" i="4"/>
  <c r="AM65" i="4" a="1"/>
  <c r="AM65" i="4" s="1"/>
  <c r="AA66" i="4"/>
  <c r="AD66" i="4"/>
  <c r="AL66" i="4"/>
  <c r="AM66" i="4" a="1"/>
  <c r="AM66" i="4" s="1"/>
  <c r="AA67" i="4"/>
  <c r="AD67" i="4"/>
  <c r="AL67" i="4"/>
  <c r="AM67" i="4" a="1"/>
  <c r="AM67" i="4" s="1"/>
  <c r="AA68" i="4"/>
  <c r="AD68" i="4"/>
  <c r="AL68" i="4"/>
  <c r="AM68" i="4" a="1"/>
  <c r="AM68" i="4" s="1"/>
  <c r="AA69" i="4"/>
  <c r="AD69" i="4"/>
  <c r="AL69" i="4"/>
  <c r="AM69" i="4" a="1"/>
  <c r="AM69" i="4" s="1"/>
  <c r="AA70" i="4"/>
  <c r="AD70" i="4"/>
  <c r="AL70" i="4"/>
  <c r="AM70" i="4" a="1"/>
  <c r="AM70" i="4" s="1"/>
  <c r="AA71" i="4"/>
  <c r="AD71" i="4"/>
  <c r="AL71" i="4"/>
  <c r="AM71" i="4" a="1"/>
  <c r="AM71" i="4" s="1"/>
  <c r="AA72" i="4"/>
  <c r="AD72" i="4"/>
  <c r="AL72" i="4"/>
  <c r="AM72" i="4" a="1"/>
  <c r="AM72" i="4" s="1"/>
  <c r="AA73" i="4"/>
  <c r="AD73" i="4"/>
  <c r="AL73" i="4"/>
  <c r="AM73" i="4" a="1"/>
  <c r="AM73" i="4" s="1"/>
  <c r="AA74" i="4"/>
  <c r="AD74" i="4"/>
  <c r="AL74" i="4"/>
  <c r="AM74" i="4" a="1"/>
  <c r="AM74" i="4" s="1"/>
  <c r="AA75" i="4"/>
  <c r="AD75" i="4"/>
  <c r="AL75" i="4"/>
  <c r="AM75" i="4" a="1"/>
  <c r="AM75" i="4" s="1"/>
  <c r="AA76" i="4"/>
  <c r="AD76" i="4"/>
  <c r="AL76" i="4"/>
  <c r="AM76" i="4" a="1"/>
  <c r="AM76" i="4" s="1"/>
  <c r="AA77" i="4"/>
  <c r="AD77" i="4"/>
  <c r="AL77" i="4"/>
  <c r="AM77" i="4" a="1"/>
  <c r="AM77" i="4" s="1"/>
  <c r="AA78" i="4"/>
  <c r="AD78" i="4"/>
  <c r="AL78" i="4"/>
  <c r="AM78" i="4" a="1"/>
  <c r="AM78" i="4" s="1"/>
  <c r="AA79" i="4"/>
  <c r="AD79" i="4"/>
  <c r="AL79" i="4"/>
  <c r="AM79" i="4" a="1"/>
  <c r="AM79" i="4" s="1"/>
  <c r="AA80" i="4"/>
  <c r="AD80" i="4"/>
  <c r="AL80" i="4"/>
  <c r="AM80" i="4" a="1"/>
  <c r="AM80" i="4" s="1"/>
  <c r="AA81" i="4"/>
  <c r="AD81" i="4"/>
  <c r="AL81" i="4"/>
  <c r="AM81" i="4" a="1"/>
  <c r="AM81" i="4" s="1"/>
  <c r="AA82" i="4"/>
  <c r="AD82" i="4"/>
  <c r="AL82" i="4"/>
  <c r="AM82" i="4" a="1"/>
  <c r="AM82" i="4" s="1"/>
  <c r="AA83" i="4"/>
  <c r="AD83" i="4"/>
  <c r="AL83" i="4"/>
  <c r="AM83" i="4" a="1"/>
  <c r="AM83" i="4" s="1"/>
  <c r="AA84" i="4"/>
  <c r="AD84" i="4"/>
  <c r="AL84" i="4"/>
  <c r="AM84" i="4" a="1"/>
  <c r="AM84" i="4" s="1"/>
  <c r="AA85" i="4"/>
  <c r="AD85" i="4"/>
  <c r="AL85" i="4"/>
  <c r="AM85" i="4" a="1"/>
  <c r="AM85" i="4" s="1"/>
  <c r="AA86" i="4"/>
  <c r="AD86" i="4"/>
  <c r="AL86" i="4"/>
  <c r="AM86" i="4" a="1"/>
  <c r="AM86" i="4" s="1"/>
  <c r="AA87" i="4"/>
  <c r="AD87" i="4"/>
  <c r="AL87" i="4"/>
  <c r="AM87" i="4" a="1"/>
  <c r="AM87" i="4" s="1"/>
  <c r="AA88" i="4"/>
  <c r="AD88" i="4"/>
  <c r="AL88" i="4"/>
  <c r="AM88" i="4" a="1"/>
  <c r="AM88" i="4" s="1"/>
  <c r="AA89" i="4"/>
  <c r="AD89" i="4"/>
  <c r="AL89" i="4"/>
  <c r="AM89" i="4" a="1"/>
  <c r="AM89" i="4" s="1"/>
  <c r="AA90" i="4"/>
  <c r="AD90" i="4"/>
  <c r="AL90" i="4"/>
  <c r="AM90" i="4" a="1"/>
  <c r="AM90" i="4" s="1"/>
  <c r="AA91" i="4"/>
  <c r="AD91" i="4"/>
  <c r="AL91" i="4"/>
  <c r="AM91" i="4" a="1"/>
  <c r="AM91" i="4" s="1"/>
  <c r="AA92" i="4"/>
  <c r="AD92" i="4"/>
  <c r="AL92" i="4"/>
  <c r="AM92" i="4" a="1"/>
  <c r="AM92" i="4" s="1"/>
  <c r="AA93" i="4"/>
  <c r="AD93" i="4"/>
  <c r="AL93" i="4"/>
  <c r="AM93" i="4" a="1"/>
  <c r="AM93" i="4" s="1"/>
  <c r="AA94" i="4"/>
  <c r="AD94" i="4"/>
  <c r="AL94" i="4"/>
  <c r="AM94" i="4" a="1"/>
  <c r="AM94" i="4" s="1"/>
  <c r="AA95" i="4"/>
  <c r="AD95" i="4"/>
  <c r="AL95" i="4"/>
  <c r="AM95" i="4" a="1"/>
  <c r="AM95" i="4" s="1"/>
  <c r="AA96" i="4"/>
  <c r="AD96" i="4"/>
  <c r="AL96" i="4"/>
  <c r="AM96" i="4" a="1"/>
  <c r="AM96" i="4" s="1"/>
  <c r="AA97" i="4"/>
  <c r="AD97" i="4"/>
  <c r="AL97" i="4"/>
  <c r="AM97" i="4" a="1"/>
  <c r="AM97" i="4" s="1"/>
  <c r="AA98" i="4"/>
  <c r="AD98" i="4"/>
  <c r="AL98" i="4"/>
  <c r="AM98" i="4" a="1"/>
  <c r="AM98" i="4" s="1"/>
  <c r="AA99" i="4"/>
  <c r="AD99" i="4"/>
  <c r="AL99" i="4"/>
  <c r="AM99" i="4" a="1"/>
  <c r="AM99" i="4" s="1"/>
  <c r="AA100" i="4"/>
  <c r="AD100" i="4"/>
  <c r="AL100" i="4"/>
  <c r="AM100" i="4" a="1"/>
  <c r="AM100" i="4" s="1"/>
  <c r="AA101" i="4"/>
  <c r="AD101" i="4"/>
  <c r="AL101" i="4"/>
  <c r="AM101" i="4" a="1"/>
  <c r="AM101" i="4" s="1"/>
  <c r="AA102" i="4"/>
  <c r="AD102" i="4"/>
  <c r="AL102" i="4"/>
  <c r="AM102" i="4" a="1"/>
  <c r="AM102" i="4" s="1"/>
  <c r="AA103" i="4"/>
  <c r="AD103" i="4"/>
  <c r="AL103" i="4"/>
  <c r="AM103" i="4" a="1"/>
  <c r="AM103" i="4" s="1"/>
  <c r="AA104" i="4"/>
  <c r="AD104" i="4"/>
  <c r="AL104" i="4"/>
  <c r="AM104" i="4" a="1"/>
  <c r="AM104" i="4" s="1"/>
  <c r="AA105" i="4"/>
  <c r="AD105" i="4"/>
  <c r="AL105" i="4"/>
  <c r="AM105" i="4" a="1"/>
  <c r="AM105" i="4" s="1"/>
  <c r="AA106" i="4"/>
  <c r="AD106" i="4"/>
  <c r="AL106" i="4"/>
  <c r="AM106" i="4" a="1"/>
  <c r="AM106" i="4" s="1"/>
  <c r="AA107" i="4"/>
  <c r="AD107" i="4"/>
  <c r="AL107" i="4"/>
  <c r="AM107" i="4" a="1"/>
  <c r="AM107" i="4" s="1"/>
  <c r="AA108" i="4"/>
  <c r="AD108" i="4"/>
  <c r="AL108" i="4"/>
  <c r="AM108" i="4" a="1"/>
  <c r="AM108" i="4" s="1"/>
  <c r="AA109" i="4"/>
  <c r="AD109" i="4"/>
  <c r="AL109" i="4"/>
  <c r="AM109" i="4" a="1"/>
  <c r="AM109" i="4" s="1"/>
  <c r="AA110" i="4"/>
  <c r="AD110" i="4"/>
  <c r="AL110" i="4"/>
  <c r="AM110" i="4" a="1"/>
  <c r="AM110" i="4" s="1"/>
  <c r="AA111" i="4"/>
  <c r="AD111" i="4"/>
  <c r="AL111" i="4"/>
  <c r="AM111" i="4" a="1"/>
  <c r="AM111" i="4" s="1"/>
  <c r="AA112" i="4"/>
  <c r="AD112" i="4"/>
  <c r="AL112" i="4"/>
  <c r="AM112" i="4" a="1"/>
  <c r="AM112" i="4" s="1"/>
  <c r="AA113" i="4"/>
  <c r="AD113" i="4"/>
  <c r="AL113" i="4"/>
  <c r="AM113" i="4" a="1"/>
  <c r="AM113" i="4" s="1"/>
  <c r="AA114" i="4"/>
  <c r="AD114" i="4"/>
  <c r="AL114" i="4"/>
  <c r="AM114" i="4" a="1"/>
  <c r="AM114" i="4" s="1"/>
  <c r="AA115" i="4"/>
  <c r="AD115" i="4"/>
  <c r="AL115" i="4"/>
  <c r="AM115" i="4" a="1"/>
  <c r="AM115" i="4" s="1"/>
  <c r="AA116" i="4"/>
  <c r="AD116" i="4"/>
  <c r="AL116" i="4"/>
  <c r="AM116" i="4" a="1"/>
  <c r="AM116" i="4" s="1"/>
  <c r="AA117" i="4"/>
  <c r="AD117" i="4"/>
  <c r="AL117" i="4"/>
  <c r="AM117" i="4" a="1"/>
  <c r="AM117" i="4" s="1"/>
  <c r="AA118" i="4"/>
  <c r="AD118" i="4"/>
  <c r="AL118" i="4"/>
  <c r="AM118" i="4" a="1"/>
  <c r="AM118" i="4" s="1"/>
  <c r="AA119" i="4"/>
  <c r="AD119" i="4"/>
  <c r="AL119" i="4"/>
  <c r="AM119" i="4" a="1"/>
  <c r="AM119" i="4" s="1"/>
  <c r="AA120" i="4"/>
  <c r="AD120" i="4"/>
  <c r="AL120" i="4"/>
  <c r="AM120" i="4" a="1"/>
  <c r="AM120" i="4" s="1"/>
  <c r="AA121" i="4"/>
  <c r="AD121" i="4"/>
  <c r="AL121" i="4"/>
  <c r="AM121" i="4" a="1"/>
  <c r="AM121" i="4" s="1"/>
  <c r="AA122" i="4"/>
  <c r="AD122" i="4"/>
  <c r="AL122" i="4"/>
  <c r="AM122" i="4" a="1"/>
  <c r="AM122" i="4" s="1"/>
  <c r="AA123" i="4"/>
  <c r="AD123" i="4"/>
  <c r="AL123" i="4"/>
  <c r="AM123" i="4" a="1"/>
  <c r="AM123" i="4" s="1"/>
  <c r="AA124" i="4"/>
  <c r="AD124" i="4"/>
  <c r="AL124" i="4"/>
  <c r="AM124" i="4" a="1"/>
  <c r="AM124" i="4" s="1"/>
  <c r="AA125" i="4"/>
  <c r="AD125" i="4"/>
  <c r="AL125" i="4"/>
  <c r="AM125" i="4" a="1"/>
  <c r="AM125" i="4" s="1"/>
  <c r="AA126" i="4"/>
  <c r="AD126" i="4"/>
  <c r="AL126" i="4"/>
  <c r="AM126" i="4" a="1"/>
  <c r="AM126" i="4" s="1"/>
  <c r="AA127" i="4"/>
  <c r="AD127" i="4"/>
  <c r="AL127" i="4"/>
  <c r="AM127" i="4" a="1"/>
  <c r="AM127" i="4" s="1"/>
  <c r="AA128" i="4"/>
  <c r="AD128" i="4"/>
  <c r="AL128" i="4"/>
  <c r="AM128" i="4" a="1"/>
  <c r="AM128" i="4" s="1"/>
  <c r="AA129" i="4"/>
  <c r="AD129" i="4"/>
  <c r="AL129" i="4"/>
  <c r="AM129" i="4" a="1"/>
  <c r="AM129" i="4" s="1"/>
  <c r="AA130" i="4"/>
  <c r="AD130" i="4"/>
  <c r="AL130" i="4"/>
  <c r="AM130" i="4" a="1"/>
  <c r="AM130" i="4" s="1"/>
  <c r="AA131" i="4"/>
  <c r="AD131" i="4"/>
  <c r="AL131" i="4"/>
  <c r="AM131" i="4" a="1"/>
  <c r="AM131" i="4" s="1"/>
  <c r="AA132" i="4"/>
  <c r="AD132" i="4"/>
  <c r="AL132" i="4"/>
  <c r="AM132" i="4" a="1"/>
  <c r="AM132" i="4" s="1"/>
  <c r="AA133" i="4"/>
  <c r="AD133" i="4"/>
  <c r="AL133" i="4"/>
  <c r="AM133" i="4" a="1"/>
  <c r="AM133" i="4" s="1"/>
  <c r="AA134" i="4"/>
  <c r="AD134" i="4"/>
  <c r="AL134" i="4"/>
  <c r="AM134" i="4" a="1"/>
  <c r="AM134" i="4" s="1"/>
  <c r="AA135" i="4"/>
  <c r="AD135" i="4"/>
  <c r="AL135" i="4"/>
  <c r="AM135" i="4" a="1"/>
  <c r="AM135" i="4" s="1"/>
  <c r="AA136" i="4"/>
  <c r="AD136" i="4"/>
  <c r="AL136" i="4"/>
  <c r="AM136" i="4" a="1"/>
  <c r="AM136" i="4" s="1"/>
  <c r="AA137" i="4"/>
  <c r="AD137" i="4"/>
  <c r="AL137" i="4"/>
  <c r="AM137" i="4" a="1"/>
  <c r="AM137" i="4" s="1"/>
  <c r="AA138" i="4"/>
  <c r="AD138" i="4"/>
  <c r="AL138" i="4"/>
  <c r="AM138" i="4" a="1"/>
  <c r="AM138" i="4" s="1"/>
  <c r="AA139" i="4"/>
  <c r="AD139" i="4"/>
  <c r="AL139" i="4"/>
  <c r="AM139" i="4" a="1"/>
  <c r="AM139" i="4" s="1"/>
  <c r="AA140" i="4"/>
  <c r="AD140" i="4"/>
  <c r="AL140" i="4"/>
  <c r="AM140" i="4" a="1"/>
  <c r="AM140" i="4" s="1"/>
  <c r="AA141" i="4"/>
  <c r="AD141" i="4"/>
  <c r="AL141" i="4"/>
  <c r="AM141" i="4" a="1"/>
  <c r="AM141" i="4" s="1"/>
  <c r="AA142" i="4"/>
  <c r="AD142" i="4"/>
  <c r="AL142" i="4"/>
  <c r="AM142" i="4" a="1"/>
  <c r="AM142" i="4" s="1"/>
  <c r="AA143" i="4"/>
  <c r="AD143" i="4"/>
  <c r="AL143" i="4"/>
  <c r="AM143" i="4" a="1"/>
  <c r="AM143" i="4" s="1"/>
  <c r="AA144" i="4"/>
  <c r="AD144" i="4"/>
  <c r="AL144" i="4"/>
  <c r="AM144" i="4" a="1"/>
  <c r="AM144" i="4" s="1"/>
  <c r="AA145" i="4"/>
  <c r="AD145" i="4"/>
  <c r="AL145" i="4"/>
  <c r="AM145" i="4" a="1"/>
  <c r="AM145" i="4" s="1"/>
  <c r="AA146" i="4"/>
  <c r="AD146" i="4"/>
  <c r="AL146" i="4"/>
  <c r="AM146" i="4" a="1"/>
  <c r="AM146" i="4" s="1"/>
  <c r="AA147" i="4"/>
  <c r="AD147" i="4"/>
  <c r="AL147" i="4"/>
  <c r="AM147" i="4" a="1"/>
  <c r="AM147" i="4" s="1"/>
  <c r="AA148" i="4"/>
  <c r="AD148" i="4"/>
  <c r="AL148" i="4"/>
  <c r="AM148" i="4" a="1"/>
  <c r="AM148" i="4" s="1"/>
  <c r="AA149" i="4"/>
  <c r="AD149" i="4"/>
  <c r="AL149" i="4"/>
  <c r="AM149" i="4" a="1"/>
  <c r="AM149" i="4" s="1"/>
  <c r="AA150" i="4"/>
  <c r="AD150" i="4"/>
  <c r="AL150" i="4"/>
  <c r="AM150" i="4" a="1"/>
  <c r="AM150" i="4" s="1"/>
  <c r="AA151" i="4"/>
  <c r="AD151" i="4"/>
  <c r="AL151" i="4"/>
  <c r="AM151" i="4" a="1"/>
  <c r="AM151" i="4" s="1"/>
  <c r="AA152" i="4"/>
  <c r="AD152" i="4"/>
  <c r="AL152" i="4"/>
  <c r="AM152" i="4" a="1"/>
  <c r="AM152" i="4" s="1"/>
  <c r="AA153" i="4"/>
  <c r="AD153" i="4"/>
  <c r="AL153" i="4"/>
  <c r="AM153" i="4" a="1"/>
  <c r="AM153" i="4" s="1"/>
  <c r="AA154" i="4"/>
  <c r="AD154" i="4"/>
  <c r="AL154" i="4"/>
  <c r="AM154" i="4" a="1"/>
  <c r="AM154" i="4" s="1"/>
  <c r="AA155" i="4"/>
  <c r="AD155" i="4"/>
  <c r="AL155" i="4"/>
  <c r="AM155" i="4" a="1"/>
  <c r="AM155" i="4" s="1"/>
  <c r="AA156" i="4"/>
  <c r="AD156" i="4"/>
  <c r="AL156" i="4"/>
  <c r="AM156" i="4" a="1"/>
  <c r="AM156" i="4" s="1"/>
  <c r="AA157" i="4"/>
  <c r="AD157" i="4"/>
  <c r="AL157" i="4"/>
  <c r="AM157" i="4" a="1"/>
  <c r="AM157" i="4" s="1"/>
  <c r="AA158" i="4"/>
  <c r="AD158" i="4"/>
  <c r="AL158" i="4"/>
  <c r="AM158" i="4" a="1"/>
  <c r="AM158" i="4" s="1"/>
  <c r="AA159" i="4"/>
  <c r="AD159" i="4"/>
  <c r="AL159" i="4"/>
  <c r="AM159" i="4" a="1"/>
  <c r="AM159" i="4" s="1"/>
  <c r="AA160" i="4"/>
  <c r="AD160" i="4"/>
  <c r="AL160" i="4"/>
  <c r="AM160" i="4" a="1"/>
  <c r="AM160" i="4" s="1"/>
  <c r="AA161" i="4"/>
  <c r="AD161" i="4"/>
  <c r="AL161" i="4"/>
  <c r="AM161" i="4" a="1"/>
  <c r="AM161" i="4" s="1"/>
  <c r="AA162" i="4"/>
  <c r="AD162" i="4"/>
  <c r="AL162" i="4"/>
  <c r="AM162" i="4" a="1"/>
  <c r="AM162" i="4" s="1"/>
  <c r="AA163" i="4"/>
  <c r="AD163" i="4"/>
  <c r="AL163" i="4"/>
  <c r="AM163" i="4" a="1"/>
  <c r="AM163" i="4" s="1"/>
  <c r="AA164" i="4"/>
  <c r="AD164" i="4"/>
  <c r="AL164" i="4"/>
  <c r="AM164" i="4" a="1"/>
  <c r="AM164" i="4" s="1"/>
  <c r="AA165" i="4"/>
  <c r="AD165" i="4"/>
  <c r="AL165" i="4"/>
  <c r="AM165" i="4" a="1"/>
  <c r="AM165" i="4" s="1"/>
  <c r="AA166" i="4"/>
  <c r="AD166" i="4"/>
  <c r="AL166" i="4"/>
  <c r="AM166" i="4" a="1"/>
  <c r="AM166" i="4" s="1"/>
  <c r="AA167" i="4"/>
  <c r="AD167" i="4"/>
  <c r="AL167" i="4"/>
  <c r="AM167" i="4" a="1"/>
  <c r="AM167" i="4" s="1"/>
  <c r="AA168" i="4"/>
  <c r="AD168" i="4"/>
  <c r="AL168" i="4"/>
  <c r="AM168" i="4" a="1"/>
  <c r="AM168" i="4" s="1"/>
  <c r="AA169" i="4"/>
  <c r="AD169" i="4"/>
  <c r="AL169" i="4"/>
  <c r="AM169" i="4" a="1"/>
  <c r="AM169" i="4" s="1"/>
  <c r="AA170" i="4"/>
  <c r="AD170" i="4"/>
  <c r="AL170" i="4"/>
  <c r="AM170" i="4" a="1"/>
  <c r="AM170" i="4" s="1"/>
  <c r="AA171" i="4"/>
  <c r="AD171" i="4"/>
  <c r="AL171" i="4"/>
  <c r="AM171" i="4" a="1"/>
  <c r="AM171" i="4" s="1"/>
  <c r="AA172" i="4"/>
  <c r="AD172" i="4"/>
  <c r="AL172" i="4"/>
  <c r="AM172" i="4" a="1"/>
  <c r="AM172" i="4" s="1"/>
  <c r="AA173" i="4"/>
  <c r="AD173" i="4"/>
  <c r="AL173" i="4"/>
  <c r="AM173" i="4" a="1"/>
  <c r="AM173" i="4" s="1"/>
  <c r="AA174" i="4"/>
  <c r="AD174" i="4"/>
  <c r="AL174" i="4"/>
  <c r="AM174" i="4" a="1"/>
  <c r="AM174" i="4" s="1"/>
  <c r="AA175" i="4"/>
  <c r="AD175" i="4"/>
  <c r="AL175" i="4"/>
  <c r="AM175" i="4" a="1"/>
  <c r="AM175" i="4" s="1"/>
  <c r="AA176" i="4"/>
  <c r="AD176" i="4"/>
  <c r="AL176" i="4"/>
  <c r="AM176" i="4" a="1"/>
  <c r="AM176" i="4" s="1"/>
  <c r="AA177" i="4"/>
  <c r="AD177" i="4"/>
  <c r="AL177" i="4"/>
  <c r="AM177" i="4" a="1"/>
  <c r="AM177" i="4" s="1"/>
  <c r="AA178" i="4"/>
  <c r="AD178" i="4"/>
  <c r="AL178" i="4"/>
  <c r="AM178" i="4" a="1"/>
  <c r="AM178" i="4" s="1"/>
  <c r="AA179" i="4"/>
  <c r="AD179" i="4"/>
  <c r="AL179" i="4"/>
  <c r="AM179" i="4" a="1"/>
  <c r="AM179" i="4" s="1"/>
  <c r="AA180" i="4"/>
  <c r="AD180" i="4"/>
  <c r="AL180" i="4"/>
  <c r="AM180" i="4" a="1"/>
  <c r="AM180" i="4" s="1"/>
  <c r="AA181" i="4"/>
  <c r="AD181" i="4"/>
  <c r="AL181" i="4"/>
  <c r="AM181" i="4" a="1"/>
  <c r="AM181" i="4" s="1"/>
  <c r="AA182" i="4"/>
  <c r="AD182" i="4"/>
  <c r="AL182" i="4"/>
  <c r="AM182" i="4" a="1"/>
  <c r="AM182" i="4" s="1"/>
  <c r="AA183" i="4"/>
  <c r="AD183" i="4"/>
  <c r="AL183" i="4"/>
  <c r="AM183" i="4" a="1"/>
  <c r="AM183" i="4" s="1"/>
  <c r="AA184" i="4"/>
  <c r="AD184" i="4"/>
  <c r="AL184" i="4"/>
  <c r="AM184" i="4" a="1"/>
  <c r="AM184" i="4" s="1"/>
  <c r="AA185" i="4"/>
  <c r="AD185" i="4"/>
  <c r="AL185" i="4"/>
  <c r="AM185" i="4" a="1"/>
  <c r="AM185" i="4" s="1"/>
  <c r="AA186" i="4"/>
  <c r="AD186" i="4"/>
  <c r="AL186" i="4"/>
  <c r="AM186" i="4" a="1"/>
  <c r="AM186" i="4" s="1"/>
  <c r="AA187" i="4"/>
  <c r="AD187" i="4"/>
  <c r="AL187" i="4"/>
  <c r="AM187" i="4" a="1"/>
  <c r="AM187" i="4" s="1"/>
  <c r="AA188" i="4"/>
  <c r="AD188" i="4"/>
  <c r="AL188" i="4"/>
  <c r="AM188" i="4" a="1"/>
  <c r="AM188" i="4" s="1"/>
  <c r="AA189" i="4"/>
  <c r="AD189" i="4"/>
  <c r="AL189" i="4"/>
  <c r="AM189" i="4" a="1"/>
  <c r="AM189" i="4" s="1"/>
  <c r="AA190" i="4"/>
  <c r="AD190" i="4"/>
  <c r="AL190" i="4"/>
  <c r="AM190" i="4" a="1"/>
  <c r="AM190" i="4" s="1"/>
  <c r="AA191" i="4"/>
  <c r="AD191" i="4"/>
  <c r="AL191" i="4"/>
  <c r="AM191" i="4" a="1"/>
  <c r="AM191" i="4" s="1"/>
  <c r="AA192" i="4"/>
  <c r="AD192" i="4"/>
  <c r="AL192" i="4"/>
  <c r="AM192" i="4" a="1"/>
  <c r="AM192" i="4" s="1"/>
  <c r="AA193" i="4"/>
  <c r="AD193" i="4"/>
  <c r="AL193" i="4"/>
  <c r="AM193" i="4" a="1"/>
  <c r="AM193" i="4" s="1"/>
  <c r="AA194" i="4"/>
  <c r="AD194" i="4"/>
  <c r="AL194" i="4"/>
  <c r="AM194" i="4" a="1"/>
  <c r="AM194" i="4" s="1"/>
  <c r="AA195" i="4"/>
  <c r="AD195" i="4"/>
  <c r="AL195" i="4"/>
  <c r="AM195" i="4" a="1"/>
  <c r="AM195" i="4" s="1"/>
  <c r="AA196" i="4"/>
  <c r="AD196" i="4"/>
  <c r="AL196" i="4"/>
  <c r="AM196" i="4" a="1"/>
  <c r="AM196" i="4" s="1"/>
  <c r="AA197" i="4"/>
  <c r="AD197" i="4"/>
  <c r="AL197" i="4"/>
  <c r="AM197" i="4" a="1"/>
  <c r="AM197" i="4" s="1"/>
  <c r="AA198" i="4"/>
  <c r="AD198" i="4"/>
  <c r="AL198" i="4"/>
  <c r="AM198" i="4" a="1"/>
  <c r="AM198" i="4" s="1"/>
  <c r="AA199" i="4"/>
  <c r="AD199" i="4"/>
  <c r="AL199" i="4"/>
  <c r="AM199" i="4" a="1"/>
  <c r="AM199" i="4" s="1"/>
  <c r="AA200" i="4"/>
  <c r="AD200" i="4"/>
  <c r="AL200" i="4"/>
  <c r="AM200" i="4" a="1"/>
  <c r="AM200" i="4" s="1"/>
  <c r="AA201" i="4"/>
  <c r="AD201" i="4"/>
  <c r="AL201" i="4"/>
  <c r="AM201" i="4" a="1"/>
  <c r="AM201" i="4" s="1"/>
  <c r="AA202" i="4"/>
  <c r="AD202" i="4"/>
  <c r="AL202" i="4"/>
  <c r="AM202" i="4" a="1"/>
  <c r="AM202" i="4" s="1"/>
  <c r="AA203" i="4"/>
  <c r="AD203" i="4"/>
  <c r="AL203" i="4"/>
  <c r="AM203" i="4" a="1"/>
  <c r="AM203" i="4" s="1"/>
  <c r="AA204" i="4"/>
  <c r="AD204" i="4"/>
  <c r="AL204" i="4"/>
  <c r="AM204" i="4" a="1"/>
  <c r="AM204" i="4" s="1"/>
  <c r="AA205" i="4"/>
  <c r="AD205" i="4"/>
  <c r="AL205" i="4"/>
  <c r="AM205" i="4" a="1"/>
  <c r="AM205" i="4" s="1"/>
  <c r="AA206" i="4"/>
  <c r="AD206" i="4"/>
  <c r="AL206" i="4"/>
  <c r="AM206" i="4" a="1"/>
  <c r="AM206" i="4" s="1"/>
  <c r="AA207" i="4"/>
  <c r="AD207" i="4"/>
  <c r="AL207" i="4"/>
  <c r="AM207" i="4" a="1"/>
  <c r="AM207" i="4" s="1"/>
  <c r="AA208" i="4"/>
  <c r="AD208" i="4"/>
  <c r="AL208" i="4"/>
  <c r="AM208" i="4" a="1"/>
  <c r="AM208" i="4" s="1"/>
  <c r="AA209" i="4"/>
  <c r="AD209" i="4"/>
  <c r="AL209" i="4"/>
  <c r="AM209" i="4" a="1"/>
  <c r="AM209" i="4" s="1"/>
  <c r="AA210" i="4"/>
  <c r="AD210" i="4"/>
  <c r="AL210" i="4"/>
  <c r="AM210" i="4" a="1"/>
  <c r="AM210" i="4" s="1"/>
  <c r="AA211" i="4"/>
  <c r="AD211" i="4"/>
  <c r="AL211" i="4"/>
  <c r="AM211" i="4" a="1"/>
  <c r="AM211" i="4" s="1"/>
  <c r="AA212" i="4"/>
  <c r="AD212" i="4"/>
  <c r="AL212" i="4"/>
  <c r="AM212" i="4" a="1"/>
  <c r="AM212" i="4" s="1"/>
  <c r="AA213" i="4"/>
  <c r="AD213" i="4"/>
  <c r="AL213" i="4"/>
  <c r="AM213" i="4" a="1"/>
  <c r="AM213" i="4" s="1"/>
  <c r="AA214" i="4"/>
  <c r="AD214" i="4"/>
  <c r="AL214" i="4"/>
  <c r="AM214" i="4" a="1"/>
  <c r="AM214" i="4" s="1"/>
  <c r="AA215" i="4"/>
  <c r="AD215" i="4"/>
  <c r="AL215" i="4"/>
  <c r="AM215" i="4" a="1"/>
  <c r="AM215" i="4" s="1"/>
  <c r="AA216" i="4"/>
  <c r="AD216" i="4"/>
  <c r="AL216" i="4"/>
  <c r="AM216" i="4" a="1"/>
  <c r="AM216" i="4" s="1"/>
  <c r="AA217" i="4"/>
  <c r="AD217" i="4"/>
  <c r="AL217" i="4"/>
  <c r="AM217" i="4" a="1"/>
  <c r="AM217" i="4" s="1"/>
  <c r="AA218" i="4"/>
  <c r="AD218" i="4"/>
  <c r="AL218" i="4"/>
  <c r="AM218" i="4" a="1"/>
  <c r="AM218" i="4" s="1"/>
  <c r="AA219" i="4"/>
  <c r="AD219" i="4"/>
  <c r="AL219" i="4"/>
  <c r="AM219" i="4" a="1"/>
  <c r="AM219" i="4" s="1"/>
  <c r="AA220" i="4"/>
  <c r="AD220" i="4"/>
  <c r="AL220" i="4"/>
  <c r="AM220" i="4" a="1"/>
  <c r="AM220" i="4" s="1"/>
  <c r="AA221" i="4"/>
  <c r="AD221" i="4"/>
  <c r="AL221" i="4"/>
  <c r="AM221" i="4" a="1"/>
  <c r="AM221" i="4" s="1"/>
  <c r="AA222" i="4"/>
  <c r="AD222" i="4"/>
  <c r="AL222" i="4"/>
  <c r="AM222" i="4" a="1"/>
  <c r="AM222" i="4" s="1"/>
  <c r="AA223" i="4"/>
  <c r="AD223" i="4"/>
  <c r="AL223" i="4"/>
  <c r="AM223" i="4" a="1"/>
  <c r="AM223" i="4" s="1"/>
  <c r="AA224" i="4"/>
  <c r="AD224" i="4"/>
  <c r="AL224" i="4"/>
  <c r="AM224" i="4" a="1"/>
  <c r="AM224" i="4" s="1"/>
  <c r="AA225" i="4"/>
  <c r="AD225" i="4"/>
  <c r="AL225" i="4"/>
  <c r="AM225" i="4" a="1"/>
  <c r="AM225" i="4" s="1"/>
  <c r="AA226" i="4"/>
  <c r="AD226" i="4"/>
  <c r="AL226" i="4"/>
  <c r="AM226" i="4" a="1"/>
  <c r="AM226" i="4" s="1"/>
  <c r="AA227" i="4"/>
  <c r="AD227" i="4"/>
  <c r="AL227" i="4"/>
  <c r="AM227" i="4" a="1"/>
  <c r="AM227" i="4" s="1"/>
  <c r="AA228" i="4"/>
  <c r="AD228" i="4"/>
  <c r="AL228" i="4"/>
  <c r="AM228" i="4" a="1"/>
  <c r="AM228" i="4" s="1"/>
  <c r="AA229" i="4"/>
  <c r="AD229" i="4"/>
  <c r="AL229" i="4"/>
  <c r="AM229" i="4" a="1"/>
  <c r="AM229" i="4" s="1"/>
  <c r="AA230" i="4"/>
  <c r="AD230" i="4"/>
  <c r="AL230" i="4"/>
  <c r="AM230" i="4" a="1"/>
  <c r="AM230" i="4" s="1"/>
  <c r="AA231" i="4"/>
  <c r="AD231" i="4"/>
  <c r="AL231" i="4"/>
  <c r="AM231" i="4" a="1"/>
  <c r="AM231" i="4" s="1"/>
  <c r="AA232" i="4"/>
  <c r="AD232" i="4"/>
  <c r="AL232" i="4"/>
  <c r="AM232" i="4" a="1"/>
  <c r="AM232" i="4" s="1"/>
  <c r="AA233" i="4"/>
  <c r="AD233" i="4"/>
  <c r="AL233" i="4"/>
  <c r="AM233" i="4" a="1"/>
  <c r="AM233" i="4" s="1"/>
  <c r="AA234" i="4"/>
  <c r="AD234" i="4"/>
  <c r="AL234" i="4"/>
  <c r="AM234" i="4" a="1"/>
  <c r="AM234" i="4" s="1"/>
  <c r="AA235" i="4"/>
  <c r="AD235" i="4"/>
  <c r="AL235" i="4"/>
  <c r="AM235" i="4" a="1"/>
  <c r="AM235" i="4" s="1"/>
  <c r="AA236" i="4"/>
  <c r="AD236" i="4"/>
  <c r="AL236" i="4"/>
  <c r="AM236" i="4" a="1"/>
  <c r="AM236" i="4" s="1"/>
  <c r="AA237" i="4"/>
  <c r="AD237" i="4"/>
  <c r="AL237" i="4"/>
  <c r="AM237" i="4" a="1"/>
  <c r="AM237" i="4" s="1"/>
  <c r="AA238" i="4"/>
  <c r="AD238" i="4"/>
  <c r="AL238" i="4"/>
  <c r="AM238" i="4" a="1"/>
  <c r="AM238" i="4" s="1"/>
  <c r="AA239" i="4"/>
  <c r="AD239" i="4"/>
  <c r="AL239" i="4"/>
  <c r="AM239" i="4" a="1"/>
  <c r="AM239" i="4" s="1"/>
  <c r="AA240" i="4"/>
  <c r="AD240" i="4"/>
  <c r="AL240" i="4"/>
  <c r="AM240" i="4" a="1"/>
  <c r="AM240" i="4" s="1"/>
  <c r="AA241" i="4"/>
  <c r="AD241" i="4"/>
  <c r="AL241" i="4"/>
  <c r="AM241" i="4" a="1"/>
  <c r="AM241" i="4" s="1"/>
  <c r="AA242" i="4"/>
  <c r="AD242" i="4"/>
  <c r="AL242" i="4"/>
  <c r="AM242" i="4" a="1"/>
  <c r="AM242" i="4" s="1"/>
  <c r="AA243" i="4"/>
  <c r="AD243" i="4"/>
  <c r="AL243" i="4"/>
  <c r="AM243" i="4" a="1"/>
  <c r="AM243" i="4" s="1"/>
  <c r="AA244" i="4"/>
  <c r="AD244" i="4"/>
  <c r="AL244" i="4"/>
  <c r="AM244" i="4" a="1"/>
  <c r="AM244" i="4" s="1"/>
  <c r="AA245" i="4"/>
  <c r="AD245" i="4"/>
  <c r="AL245" i="4"/>
  <c r="AM245" i="4" a="1"/>
  <c r="AM245" i="4" s="1"/>
  <c r="AA246" i="4"/>
  <c r="AD246" i="4"/>
  <c r="AL246" i="4"/>
  <c r="AM246" i="4" a="1"/>
  <c r="AM246" i="4" s="1"/>
  <c r="AA247" i="4"/>
  <c r="AD247" i="4"/>
  <c r="AL247" i="4"/>
  <c r="AM247" i="4" a="1"/>
  <c r="AM247" i="4" s="1"/>
  <c r="AA248" i="4"/>
  <c r="AD248" i="4"/>
  <c r="AL248" i="4"/>
  <c r="AM248" i="4" a="1"/>
  <c r="AM248" i="4" s="1"/>
  <c r="AA249" i="4"/>
  <c r="AD249" i="4"/>
  <c r="AL249" i="4"/>
  <c r="AM249" i="4" a="1"/>
  <c r="AM249" i="4" s="1"/>
  <c r="AA250" i="4"/>
  <c r="AD250" i="4"/>
  <c r="AL250" i="4"/>
  <c r="AM250" i="4" a="1"/>
  <c r="AM250" i="4" s="1"/>
  <c r="AA251" i="4"/>
  <c r="AD251" i="4"/>
  <c r="AL251" i="4"/>
  <c r="AM251" i="4" a="1"/>
  <c r="AM251" i="4" s="1"/>
  <c r="AA252" i="4"/>
  <c r="AD252" i="4"/>
  <c r="AL252" i="4"/>
  <c r="AM252" i="4" a="1"/>
  <c r="AM252" i="4" s="1"/>
  <c r="AA253" i="4"/>
  <c r="AD253" i="4"/>
  <c r="AL253" i="4"/>
  <c r="AM253" i="4" a="1"/>
  <c r="AM253" i="4" s="1"/>
  <c r="AA254" i="4"/>
  <c r="AD254" i="4"/>
  <c r="AL254" i="4"/>
  <c r="AM254" i="4" a="1"/>
  <c r="AM254" i="4" s="1"/>
  <c r="AA255" i="4"/>
  <c r="AD255" i="4"/>
  <c r="AL255" i="4"/>
  <c r="AM255" i="4" a="1"/>
  <c r="AM255" i="4" s="1"/>
  <c r="AA256" i="4"/>
  <c r="AD256" i="4"/>
  <c r="AL256" i="4"/>
  <c r="AM256" i="4" a="1"/>
  <c r="AM256" i="4" s="1"/>
  <c r="AA257" i="4"/>
  <c r="AD257" i="4"/>
  <c r="AL257" i="4"/>
  <c r="AM257" i="4" a="1"/>
  <c r="AM257" i="4" s="1"/>
  <c r="AA258" i="4"/>
  <c r="AD258" i="4"/>
  <c r="AL258" i="4"/>
  <c r="AM258" i="4" a="1"/>
  <c r="AM258" i="4" s="1"/>
  <c r="AA259" i="4"/>
  <c r="AD259" i="4"/>
  <c r="AL259" i="4"/>
  <c r="AM259" i="4" a="1"/>
  <c r="AM259" i="4" s="1"/>
  <c r="AA260" i="4"/>
  <c r="AD260" i="4"/>
  <c r="AL260" i="4"/>
  <c r="AM260" i="4" a="1"/>
  <c r="AM260" i="4" s="1"/>
  <c r="AA261" i="4"/>
  <c r="AD261" i="4"/>
  <c r="AL261" i="4"/>
  <c r="AM261" i="4" a="1"/>
  <c r="AM261" i="4" s="1"/>
  <c r="AA262" i="4"/>
  <c r="AD262" i="4"/>
  <c r="AL262" i="4"/>
  <c r="AM262" i="4" a="1"/>
  <c r="AM262" i="4" s="1"/>
  <c r="AA263" i="4"/>
  <c r="AD263" i="4"/>
  <c r="AL263" i="4"/>
  <c r="AM263" i="4" a="1"/>
  <c r="AM263" i="4" s="1"/>
  <c r="AA264" i="4"/>
  <c r="AD264" i="4"/>
  <c r="AL264" i="4"/>
  <c r="AM264" i="4" a="1"/>
  <c r="AM264" i="4" s="1"/>
  <c r="AA265" i="4"/>
  <c r="AD265" i="4"/>
  <c r="AL265" i="4"/>
  <c r="AM265" i="4" a="1"/>
  <c r="AM265" i="4" s="1"/>
  <c r="AA266" i="4"/>
  <c r="AD266" i="4"/>
  <c r="AL266" i="4"/>
  <c r="AM266" i="4" a="1"/>
  <c r="AM266" i="4" s="1"/>
  <c r="AA267" i="4"/>
  <c r="AD267" i="4"/>
  <c r="AL267" i="4"/>
  <c r="AM267" i="4" a="1"/>
  <c r="AM267" i="4" s="1"/>
  <c r="AA268" i="4"/>
  <c r="AD268" i="4"/>
  <c r="AL268" i="4"/>
  <c r="AM268" i="4" a="1"/>
  <c r="AM268" i="4" s="1"/>
  <c r="AA269" i="4"/>
  <c r="AD269" i="4"/>
  <c r="AL269" i="4"/>
  <c r="AM269" i="4" a="1"/>
  <c r="AM269" i="4" s="1"/>
  <c r="AA270" i="4"/>
  <c r="AD270" i="4"/>
  <c r="AL270" i="4"/>
  <c r="AM270" i="4" a="1"/>
  <c r="AM270" i="4" s="1"/>
  <c r="AA271" i="4"/>
  <c r="AD271" i="4"/>
  <c r="AL271" i="4"/>
  <c r="AM271" i="4" a="1"/>
  <c r="AM271" i="4" s="1"/>
  <c r="AA272" i="4"/>
  <c r="AD272" i="4"/>
  <c r="AL272" i="4"/>
  <c r="AM272" i="4" a="1"/>
  <c r="AM272" i="4" s="1"/>
  <c r="AA273" i="4"/>
  <c r="AD273" i="4"/>
  <c r="AL273" i="4"/>
  <c r="AM273" i="4" a="1"/>
  <c r="AM273" i="4" s="1"/>
  <c r="AA274" i="4"/>
  <c r="AD274" i="4"/>
  <c r="AL274" i="4"/>
  <c r="AM274" i="4" a="1"/>
  <c r="AM274" i="4" s="1"/>
  <c r="AA275" i="4"/>
  <c r="AD275" i="4"/>
  <c r="AL275" i="4"/>
  <c r="AM275" i="4" a="1"/>
  <c r="AM275" i="4" s="1"/>
  <c r="AA276" i="4"/>
  <c r="AD276" i="4"/>
  <c r="AL276" i="4"/>
  <c r="AM276" i="4" a="1"/>
  <c r="AM276" i="4" s="1"/>
  <c r="AA277" i="4"/>
  <c r="AD277" i="4"/>
  <c r="AL277" i="4"/>
  <c r="AM277" i="4" a="1"/>
  <c r="AM277" i="4" s="1"/>
  <c r="AA278" i="4"/>
  <c r="AD278" i="4"/>
  <c r="AL278" i="4"/>
  <c r="AM278" i="4" a="1"/>
  <c r="AM278" i="4" s="1"/>
  <c r="AA279" i="4"/>
  <c r="AD279" i="4"/>
  <c r="AL279" i="4"/>
  <c r="AM279" i="4" a="1"/>
  <c r="AM279" i="4" s="1"/>
  <c r="AA280" i="4"/>
  <c r="AD280" i="4"/>
  <c r="AL280" i="4"/>
  <c r="AM280" i="4" a="1"/>
  <c r="AM280" i="4" s="1"/>
  <c r="AA281" i="4"/>
  <c r="AD281" i="4"/>
  <c r="AL281" i="4"/>
  <c r="AM281" i="4" a="1"/>
  <c r="AM281" i="4" s="1"/>
  <c r="AA282" i="4"/>
  <c r="AD282" i="4"/>
  <c r="AL282" i="4"/>
  <c r="AM282" i="4" a="1"/>
  <c r="AM282" i="4" s="1"/>
  <c r="AA283" i="4"/>
  <c r="AD283" i="4"/>
  <c r="AL283" i="4"/>
  <c r="AM283" i="4" a="1"/>
  <c r="AM283" i="4" s="1"/>
  <c r="AA284" i="4"/>
  <c r="AD284" i="4"/>
  <c r="AL284" i="4"/>
  <c r="AM284" i="4" a="1"/>
  <c r="AM284" i="4" s="1"/>
  <c r="AA285" i="4"/>
  <c r="AD285" i="4"/>
  <c r="AL285" i="4"/>
  <c r="AM285" i="4" a="1"/>
  <c r="AM285" i="4" s="1"/>
  <c r="AA286" i="4"/>
  <c r="AD286" i="4"/>
  <c r="AL286" i="4"/>
  <c r="AM286" i="4" a="1"/>
  <c r="AM286" i="4" s="1"/>
  <c r="AA287" i="4"/>
  <c r="AD287" i="4"/>
  <c r="AL287" i="4"/>
  <c r="AM287" i="4" a="1"/>
  <c r="AM287" i="4" s="1"/>
  <c r="AA288" i="4"/>
  <c r="AD288" i="4"/>
  <c r="AL288" i="4"/>
  <c r="AM288" i="4" a="1"/>
  <c r="AM288" i="4" s="1"/>
  <c r="AA289" i="4"/>
  <c r="AD289" i="4"/>
  <c r="AL289" i="4"/>
  <c r="AM289" i="4" a="1"/>
  <c r="AM289" i="4" s="1"/>
  <c r="AA290" i="4"/>
  <c r="AD290" i="4"/>
  <c r="AL290" i="4"/>
  <c r="AM290" i="4" a="1"/>
  <c r="AM290" i="4" s="1"/>
  <c r="AA291" i="4"/>
  <c r="AD291" i="4"/>
  <c r="AL291" i="4"/>
  <c r="AM291" i="4" a="1"/>
  <c r="AM291" i="4" s="1"/>
  <c r="AA292" i="4"/>
  <c r="AD292" i="4"/>
  <c r="AL292" i="4"/>
  <c r="AM292" i="4" a="1"/>
  <c r="AM292" i="4" s="1"/>
  <c r="AA293" i="4"/>
  <c r="AD293" i="4"/>
  <c r="AL293" i="4"/>
  <c r="AM293" i="4" a="1"/>
  <c r="AM293" i="4" s="1"/>
  <c r="AA294" i="4"/>
  <c r="AD294" i="4"/>
  <c r="AL294" i="4"/>
  <c r="AM294" i="4" a="1"/>
  <c r="AM294" i="4" s="1"/>
  <c r="AA295" i="4"/>
  <c r="AD295" i="4"/>
  <c r="AL295" i="4"/>
  <c r="AM295" i="4" a="1"/>
  <c r="AM295" i="4" s="1"/>
  <c r="AA296" i="4"/>
  <c r="AD296" i="4"/>
  <c r="AL296" i="4"/>
  <c r="AM296" i="4" a="1"/>
  <c r="AM296" i="4" s="1"/>
  <c r="AA297" i="4"/>
  <c r="AD297" i="4"/>
  <c r="AL297" i="4"/>
  <c r="AM297" i="4" a="1"/>
  <c r="AM297" i="4" s="1"/>
  <c r="AA298" i="4"/>
  <c r="AD298" i="4"/>
  <c r="AL298" i="4"/>
  <c r="AM298" i="4" a="1"/>
  <c r="AM298" i="4" s="1"/>
  <c r="AA299" i="4"/>
  <c r="AD299" i="4"/>
  <c r="AL299" i="4"/>
  <c r="AM299" i="4" a="1"/>
  <c r="AM299" i="4" s="1"/>
  <c r="AA300" i="4"/>
  <c r="AD300" i="4"/>
  <c r="AL300" i="4"/>
  <c r="AM300" i="4" a="1"/>
  <c r="AM300" i="4" s="1"/>
  <c r="AA301" i="4"/>
  <c r="AD301" i="4"/>
  <c r="AL301" i="4"/>
  <c r="AM301" i="4" a="1"/>
  <c r="AM301" i="4" s="1"/>
  <c r="AA302" i="4"/>
  <c r="AD302" i="4"/>
  <c r="AL302" i="4"/>
  <c r="AM302" i="4" a="1"/>
  <c r="AM302" i="4" s="1"/>
  <c r="AA303" i="4"/>
  <c r="AD303" i="4"/>
  <c r="AL303" i="4"/>
  <c r="AM303" i="4" a="1"/>
  <c r="AM303" i="4" s="1"/>
  <c r="AA304" i="4"/>
  <c r="AD304" i="4"/>
  <c r="AL304" i="4"/>
  <c r="AM304" i="4" a="1"/>
  <c r="AM304" i="4" s="1"/>
  <c r="AD305" i="4"/>
  <c r="AL305" i="4"/>
  <c r="AM305" i="4" a="1"/>
  <c r="AM305" i="4" s="1"/>
  <c r="AD306" i="4"/>
  <c r="AL306" i="4"/>
  <c r="AM306" i="4" a="1"/>
  <c r="AM306" i="4" s="1"/>
  <c r="AD307" i="4"/>
  <c r="AL307" i="4"/>
  <c r="AM307" i="4" a="1"/>
  <c r="AM307" i="4" s="1"/>
  <c r="AD308" i="4"/>
  <c r="AL308" i="4"/>
  <c r="AM308" i="4" a="1"/>
  <c r="AM308" i="4" s="1"/>
  <c r="AD309" i="4"/>
  <c r="AL309" i="4"/>
  <c r="AM309" i="4" a="1"/>
  <c r="AM309" i="4" s="1"/>
  <c r="AD310" i="4"/>
  <c r="AL310" i="4"/>
  <c r="AM310" i="4" a="1"/>
  <c r="AM310" i="4" s="1"/>
  <c r="AD311" i="4"/>
  <c r="AL311" i="4"/>
  <c r="AM311" i="4" a="1"/>
  <c r="AM311" i="4" s="1"/>
  <c r="AD312" i="4"/>
  <c r="AL312" i="4"/>
  <c r="AM312" i="4" a="1"/>
  <c r="AM312" i="4" s="1"/>
  <c r="AD313" i="4"/>
  <c r="AL313" i="4"/>
  <c r="AM313" i="4" a="1"/>
  <c r="AM313" i="4" s="1"/>
  <c r="AD314" i="4"/>
  <c r="AL314" i="4"/>
  <c r="AM314" i="4" a="1"/>
  <c r="AM314" i="4" s="1"/>
  <c r="AD315" i="4"/>
  <c r="AL315" i="4"/>
  <c r="AM315" i="4" a="1"/>
  <c r="AM315" i="4" s="1"/>
  <c r="AD316" i="4"/>
  <c r="AL316" i="4"/>
  <c r="AM316" i="4" a="1"/>
  <c r="AM316" i="4" s="1"/>
  <c r="AL317" i="4"/>
  <c r="AM317" i="4" a="1"/>
  <c r="AM317" i="4" s="1"/>
  <c r="AL318" i="4"/>
  <c r="AM318" i="4" a="1"/>
  <c r="AM318" i="4" s="1"/>
  <c r="AL319" i="4"/>
  <c r="AM319" i="4" a="1"/>
  <c r="AM319" i="4" s="1"/>
  <c r="AL320" i="4"/>
  <c r="AM320" i="4" a="1"/>
  <c r="AM320" i="4" s="1"/>
  <c r="AL321" i="4"/>
  <c r="AM321" i="4" a="1"/>
  <c r="AM321" i="4" s="1"/>
  <c r="AL322" i="4"/>
  <c r="AM322" i="4" a="1"/>
  <c r="AM322" i="4" s="1"/>
  <c r="AL323" i="4"/>
  <c r="AM323" i="4" a="1"/>
  <c r="AM323" i="4" s="1"/>
  <c r="AL324" i="4"/>
  <c r="AM324" i="4" a="1"/>
  <c r="AM324" i="4" s="1"/>
  <c r="AL325" i="4"/>
  <c r="AM325" i="4" a="1"/>
  <c r="AM325" i="4" s="1"/>
  <c r="AL326" i="4"/>
  <c r="AM326" i="4" a="1"/>
  <c r="AM326" i="4" s="1"/>
  <c r="AL327" i="4"/>
  <c r="AM327" i="4" a="1"/>
  <c r="AM327" i="4" s="1"/>
  <c r="AL328" i="4"/>
  <c r="AM328" i="4" a="1"/>
  <c r="AM328" i="4" s="1"/>
  <c r="AL329" i="4"/>
  <c r="AM329" i="4" a="1"/>
  <c r="AM329" i="4" s="1"/>
  <c r="AL330" i="4"/>
  <c r="AM330" i="4" a="1"/>
  <c r="AM330" i="4" s="1"/>
  <c r="AL331" i="4"/>
  <c r="AM331" i="4" a="1"/>
  <c r="AM331" i="4" s="1"/>
  <c r="AL332" i="4"/>
  <c r="AM332" i="4" a="1"/>
  <c r="AM332" i="4" s="1"/>
  <c r="AL333" i="4"/>
  <c r="AM333" i="4" a="1"/>
  <c r="AM333" i="4" s="1"/>
  <c r="AL334" i="4"/>
  <c r="AM334" i="4" a="1"/>
  <c r="AM334" i="4" s="1"/>
  <c r="AL335" i="4"/>
  <c r="AM335" i="4" a="1"/>
  <c r="AM335" i="4" s="1"/>
  <c r="AL336" i="4"/>
  <c r="AM336" i="4" a="1"/>
  <c r="AM336" i="4" s="1"/>
  <c r="AL337" i="4"/>
  <c r="AM337" i="4" a="1"/>
  <c r="AM337" i="4" s="1"/>
  <c r="AL338" i="4"/>
  <c r="AM338" i="4" a="1"/>
  <c r="AM338" i="4" s="1"/>
  <c r="AL339" i="4"/>
  <c r="AM339" i="4" a="1"/>
  <c r="AM339" i="4" s="1"/>
  <c r="AL340" i="4"/>
  <c r="AM340" i="4" a="1"/>
  <c r="AM340" i="4" s="1"/>
  <c r="AL341" i="4"/>
  <c r="AM341" i="4" a="1"/>
  <c r="AM341" i="4" s="1"/>
  <c r="AL342" i="4"/>
  <c r="AM342" i="4" a="1"/>
  <c r="AM342" i="4" s="1"/>
  <c r="AL343" i="4"/>
  <c r="AM343" i="4" a="1"/>
  <c r="AM343" i="4" s="1"/>
  <c r="AL344" i="4"/>
  <c r="AM344" i="4" a="1"/>
  <c r="AM344" i="4" s="1"/>
  <c r="AL345" i="4"/>
  <c r="AM345" i="4" a="1"/>
  <c r="AM345" i="4" s="1"/>
  <c r="AL346" i="4"/>
  <c r="AM346" i="4" a="1"/>
  <c r="AM346" i="4" s="1"/>
  <c r="AL347" i="4"/>
  <c r="AM347" i="4" a="1"/>
  <c r="AM347" i="4" s="1"/>
  <c r="AL348" i="4"/>
  <c r="AM348" i="4" a="1"/>
  <c r="AM348" i="4" s="1"/>
  <c r="AL349" i="4"/>
  <c r="AM349" i="4" a="1"/>
  <c r="AM349" i="4" s="1"/>
  <c r="AL350" i="4"/>
  <c r="AM350" i="4" a="1"/>
  <c r="AM350" i="4" s="1"/>
  <c r="AL351" i="4"/>
  <c r="AM351" i="4" a="1"/>
  <c r="AM351" i="4" s="1"/>
  <c r="AL352" i="4"/>
  <c r="AM352" i="4" a="1"/>
  <c r="AM352" i="4" s="1"/>
  <c r="AL353" i="4"/>
  <c r="AM353" i="4" a="1"/>
  <c r="AM353" i="4" s="1"/>
  <c r="AL354" i="4"/>
  <c r="AM354" i="4" a="1"/>
  <c r="AM354" i="4" s="1"/>
  <c r="AL355" i="4"/>
  <c r="AM355" i="4" a="1"/>
  <c r="AM355" i="4" s="1"/>
  <c r="AL356" i="4"/>
  <c r="AM356" i="4" a="1"/>
  <c r="AM356" i="4" s="1"/>
  <c r="AL357" i="4"/>
  <c r="AM357" i="4" a="1"/>
  <c r="AM357" i="4" s="1"/>
  <c r="AL358" i="4"/>
  <c r="AM358" i="4" a="1"/>
  <c r="AM358" i="4" s="1"/>
  <c r="AL359" i="4"/>
  <c r="AM359" i="4" a="1"/>
  <c r="AM359" i="4" s="1"/>
  <c r="AL360" i="4"/>
  <c r="AM360" i="4" a="1"/>
  <c r="AM360" i="4" s="1"/>
  <c r="AL361" i="4"/>
  <c r="AM361" i="4" a="1"/>
  <c r="AM361" i="4" s="1"/>
  <c r="AL362" i="4"/>
  <c r="AM362" i="4" a="1"/>
  <c r="AM362" i="4" s="1"/>
  <c r="AL363" i="4"/>
  <c r="AM363" i="4" a="1"/>
  <c r="AM363" i="4" s="1"/>
  <c r="AL364" i="4"/>
  <c r="AM364" i="4" a="1"/>
  <c r="AM364" i="4" s="1"/>
  <c r="AL365" i="4"/>
  <c r="AM365" i="4" a="1"/>
  <c r="AM365" i="4" s="1"/>
  <c r="AL366" i="4"/>
  <c r="AM366" i="4" a="1"/>
  <c r="AM366" i="4" s="1"/>
  <c r="AL367" i="4"/>
  <c r="AM367" i="4" a="1"/>
  <c r="AM367" i="4" s="1"/>
  <c r="AL368" i="4"/>
  <c r="AM368" i="4" a="1"/>
  <c r="AM368" i="4" s="1"/>
  <c r="AL369" i="4"/>
  <c r="AM369" i="4" a="1"/>
  <c r="AM369" i="4" s="1"/>
  <c r="AL370" i="4"/>
  <c r="AM370" i="4" a="1"/>
  <c r="AM370" i="4" s="1"/>
  <c r="AL371" i="4"/>
  <c r="AM371" i="4" a="1"/>
  <c r="AM371" i="4" s="1"/>
  <c r="AL372" i="4"/>
  <c r="AM372" i="4" a="1"/>
  <c r="AM372" i="4" s="1"/>
  <c r="AL373" i="4"/>
  <c r="AM373" i="4" a="1"/>
  <c r="AM373" i="4" s="1"/>
  <c r="AL374" i="4"/>
  <c r="AM374" i="4" a="1"/>
  <c r="AM374" i="4" s="1"/>
  <c r="AL375" i="4"/>
  <c r="AM375" i="4" a="1"/>
  <c r="AM375" i="4" s="1"/>
  <c r="AL376" i="4"/>
  <c r="AM376" i="4" a="1"/>
  <c r="AM376" i="4" s="1"/>
  <c r="AL377" i="4"/>
  <c r="AM377" i="4" a="1"/>
  <c r="AM377" i="4" s="1"/>
  <c r="AL378" i="4"/>
  <c r="AM378" i="4" a="1"/>
  <c r="AM378" i="4" s="1"/>
  <c r="AL379" i="4"/>
  <c r="AM379" i="4" a="1"/>
  <c r="AM379" i="4" s="1"/>
  <c r="AL380" i="4"/>
  <c r="AM380" i="4" a="1"/>
  <c r="AM380" i="4" s="1"/>
  <c r="AL381" i="4"/>
  <c r="AM381" i="4" a="1"/>
  <c r="AM381" i="4" s="1"/>
  <c r="AL382" i="4"/>
  <c r="AM382" i="4" a="1"/>
  <c r="AM382" i="4" s="1"/>
  <c r="AL383" i="4"/>
  <c r="AM383" i="4" a="1"/>
  <c r="AM383" i="4" s="1"/>
  <c r="AL384" i="4"/>
  <c r="AM384" i="4" a="1"/>
  <c r="AM384" i="4" s="1"/>
  <c r="AM385" i="4" a="1"/>
  <c r="AM385" i="4" s="1"/>
  <c r="AM386" i="4" a="1"/>
  <c r="AM386" i="4" s="1"/>
  <c r="AM387" i="4" a="1"/>
  <c r="AM387" i="4" s="1"/>
  <c r="AM388" i="4" a="1"/>
  <c r="AM388" i="4" s="1"/>
  <c r="AM389" i="4" a="1"/>
  <c r="AM389" i="4" s="1"/>
  <c r="AM390" i="4" a="1"/>
  <c r="AM390" i="4" s="1"/>
  <c r="AM391" i="4" a="1"/>
  <c r="AM391" i="4" s="1"/>
  <c r="AM392" i="4" a="1"/>
  <c r="AM392" i="4" s="1"/>
  <c r="AM393" i="4" a="1"/>
  <c r="AM393" i="4" s="1"/>
  <c r="AM394" i="4" a="1"/>
  <c r="AM394" i="4" s="1"/>
  <c r="AM395" i="4" a="1"/>
  <c r="AM395" i="4" s="1"/>
  <c r="AM396" i="4" a="1"/>
  <c r="AM396" i="4" s="1"/>
  <c r="AM397" i="4" a="1"/>
  <c r="AM397" i="4" s="1"/>
  <c r="AM398" i="4" a="1"/>
  <c r="AM398" i="4" s="1"/>
  <c r="AM399" i="4" a="1"/>
  <c r="AM399" i="4" s="1"/>
  <c r="AM400" i="4" a="1"/>
  <c r="AM400" i="4" s="1"/>
  <c r="AM401" i="4" a="1"/>
  <c r="AM401" i="4" s="1"/>
  <c r="AM402" i="4" a="1"/>
  <c r="AM402" i="4" s="1"/>
  <c r="AM403" i="4" a="1"/>
  <c r="AM403" i="4" s="1"/>
  <c r="AM404" i="4" a="1"/>
  <c r="AM404" i="4" s="1"/>
  <c r="AM405" i="4" a="1"/>
  <c r="AM405" i="4" s="1"/>
  <c r="AM406" i="4" a="1"/>
  <c r="AM406" i="4" s="1"/>
  <c r="AM407" i="4" a="1"/>
  <c r="AM407" i="4" s="1"/>
  <c r="AM408" i="4" a="1"/>
  <c r="AM408" i="4" s="1"/>
  <c r="AM409" i="4" a="1"/>
  <c r="AM409" i="4" s="1"/>
  <c r="AM410" i="4" a="1"/>
  <c r="AM410" i="4" s="1"/>
  <c r="AM411" i="4" a="1"/>
  <c r="AM411" i="4" s="1"/>
  <c r="AM412" i="4" a="1"/>
  <c r="AM412" i="4" s="1"/>
  <c r="AM413" i="4" a="1"/>
  <c r="AM413" i="4" s="1"/>
  <c r="AM414" i="4" a="1"/>
  <c r="AM414" i="4" s="1"/>
  <c r="AM415" i="4" a="1"/>
  <c r="AM415" i="4" s="1"/>
  <c r="AM416" i="4" a="1"/>
  <c r="AM416" i="4" s="1"/>
  <c r="AM417" i="4" a="1"/>
  <c r="AM417" i="4" s="1"/>
  <c r="AM418" i="4" a="1"/>
  <c r="AM418" i="4" s="1"/>
  <c r="AM419" i="4" a="1"/>
  <c r="AM419" i="4" s="1"/>
  <c r="AM420" i="4" a="1"/>
  <c r="AM420" i="4" s="1"/>
  <c r="AM421" i="4" a="1"/>
  <c r="AM421" i="4" s="1"/>
  <c r="AM422" i="4" a="1"/>
  <c r="AM422" i="4" s="1"/>
  <c r="AM423" i="4" a="1"/>
  <c r="AM423" i="4" s="1"/>
  <c r="AM424" i="4" a="1"/>
  <c r="AM424" i="4" s="1"/>
  <c r="AM425" i="4" a="1"/>
  <c r="AM425" i="4" s="1"/>
  <c r="AM426" i="4" a="1"/>
  <c r="AM426" i="4" s="1"/>
  <c r="AM427" i="4" a="1"/>
  <c r="AM427" i="4" s="1"/>
  <c r="AM428" i="4" a="1"/>
  <c r="AM428" i="4" s="1"/>
  <c r="AM429" i="4" a="1"/>
  <c r="AM429" i="4" s="1"/>
  <c r="AM430" i="4" a="1"/>
  <c r="AM430" i="4" s="1"/>
  <c r="AM431" i="4" a="1"/>
  <c r="AM431" i="4" s="1"/>
  <c r="AM432" i="4" a="1"/>
  <c r="AM432" i="4" s="1"/>
  <c r="AM433" i="4" a="1"/>
  <c r="AM433" i="4" s="1"/>
  <c r="AM434" i="4" a="1"/>
  <c r="AM434" i="4" s="1"/>
  <c r="AM435" i="4" a="1"/>
  <c r="AM435" i="4" s="1"/>
  <c r="AM436" i="4" a="1"/>
  <c r="AM436" i="4" s="1"/>
  <c r="AM437" i="4" a="1"/>
  <c r="AM437" i="4" s="1"/>
  <c r="AM438" i="4" a="1"/>
  <c r="AM438" i="4" s="1"/>
  <c r="AM439" i="4" a="1"/>
  <c r="AM439" i="4" s="1"/>
  <c r="AM440" i="4" a="1"/>
  <c r="AM440" i="4" s="1"/>
  <c r="AM441" i="4" a="1"/>
  <c r="AM441" i="4" s="1"/>
  <c r="AM442" i="4" a="1"/>
  <c r="AM442" i="4" s="1"/>
  <c r="AM443" i="4" a="1"/>
  <c r="AM443" i="4" s="1"/>
  <c r="AM444" i="4" a="1"/>
  <c r="AM444" i="4" s="1"/>
  <c r="AM445" i="4" a="1"/>
  <c r="AM445" i="4" s="1"/>
  <c r="AM446" i="4" a="1"/>
  <c r="AM446" i="4" s="1"/>
  <c r="AM447" i="4" a="1"/>
  <c r="AM447" i="4" s="1"/>
  <c r="AM448" i="4" a="1"/>
  <c r="AM448" i="4" s="1"/>
  <c r="AM449" i="4" a="1"/>
  <c r="AM449" i="4" s="1"/>
  <c r="AM450" i="4" a="1"/>
  <c r="AM450" i="4" s="1"/>
  <c r="AM451" i="4" a="1"/>
  <c r="AM451" i="4" s="1"/>
  <c r="AM452" i="4" a="1"/>
  <c r="AM452" i="4" s="1"/>
  <c r="AM453" i="4" a="1"/>
  <c r="AM453" i="4" s="1"/>
  <c r="AM454" i="4" a="1"/>
  <c r="AM454" i="4" s="1"/>
  <c r="AM455" i="4" a="1"/>
  <c r="AM455" i="4" s="1"/>
  <c r="AM456" i="4" a="1"/>
  <c r="AM456" i="4" s="1"/>
  <c r="AM457" i="4" a="1"/>
  <c r="AM457" i="4" s="1"/>
  <c r="AM458" i="4" a="1"/>
  <c r="AM458" i="4" s="1"/>
  <c r="AM459" i="4" a="1"/>
  <c r="AM459" i="4" s="1"/>
  <c r="AM460" i="4" a="1"/>
  <c r="AM460" i="4" s="1"/>
  <c r="AM461" i="4" a="1"/>
  <c r="AM461" i="4" s="1"/>
  <c r="AM462" i="4" a="1"/>
  <c r="AM462" i="4" s="1"/>
  <c r="AM463" i="4" a="1"/>
  <c r="AM463" i="4" s="1"/>
  <c r="AM464" i="4" a="1"/>
  <c r="AM464" i="4" s="1"/>
  <c r="AM465" i="4" a="1"/>
  <c r="AM465" i="4" s="1"/>
  <c r="AM466" i="4" a="1"/>
  <c r="AM466" i="4" s="1"/>
  <c r="AM467" i="4" a="1"/>
  <c r="AM467" i="4" s="1"/>
  <c r="AM468" i="4" a="1"/>
  <c r="AM468" i="4" s="1"/>
  <c r="AM469" i="4" a="1"/>
  <c r="AM469" i="4" s="1"/>
  <c r="AM470" i="4" a="1"/>
  <c r="AM470" i="4" s="1"/>
  <c r="AM471" i="4" a="1"/>
  <c r="AM471" i="4" s="1"/>
  <c r="AM472" i="4" a="1"/>
  <c r="AM472" i="4" s="1"/>
  <c r="AM473" i="4" a="1"/>
  <c r="AM473" i="4" s="1"/>
  <c r="AM474" i="4" a="1"/>
  <c r="AM474" i="4" s="1"/>
  <c r="AM475" i="4" a="1"/>
  <c r="AM475" i="4" s="1"/>
  <c r="AM476" i="4" a="1"/>
  <c r="AM476" i="4" s="1"/>
  <c r="AM477" i="4" a="1"/>
  <c r="AM477" i="4" s="1"/>
  <c r="AM478" i="4" a="1"/>
  <c r="AM478" i="4" s="1"/>
  <c r="AM479" i="4" a="1"/>
  <c r="AM479" i="4" s="1"/>
  <c r="AM480" i="4" a="1"/>
  <c r="AM480" i="4" s="1"/>
  <c r="AM481" i="4" a="1"/>
  <c r="AM481" i="4" s="1"/>
  <c r="AM482" i="4" a="1"/>
  <c r="AM482" i="4" s="1"/>
  <c r="AM483" i="4" a="1"/>
  <c r="AM483" i="4" s="1"/>
  <c r="AM484" i="4" a="1"/>
  <c r="AM484" i="4" s="1"/>
  <c r="AM485" i="4" a="1"/>
  <c r="AM485" i="4" s="1"/>
  <c r="AM486" i="4" a="1"/>
  <c r="AM486" i="4" s="1"/>
  <c r="AM487" i="4" a="1"/>
  <c r="AM487" i="4" s="1"/>
  <c r="AM488" i="4" a="1"/>
  <c r="AM488" i="4" s="1"/>
  <c r="AM489" i="4" a="1"/>
  <c r="AM489" i="4" s="1"/>
  <c r="AM490" i="4" a="1"/>
  <c r="AM490" i="4" s="1"/>
  <c r="AM491" i="4" a="1"/>
  <c r="AM491" i="4" s="1"/>
  <c r="AM492" i="4" a="1"/>
  <c r="AM492" i="4" s="1"/>
  <c r="AM493" i="4" a="1"/>
  <c r="AM493" i="4" s="1"/>
  <c r="AM494" i="4" a="1"/>
  <c r="AM494" i="4" s="1"/>
  <c r="AM495" i="4" a="1"/>
  <c r="AM495" i="4" s="1"/>
  <c r="AM496" i="4" a="1"/>
  <c r="AM496" i="4" s="1"/>
  <c r="AM497" i="4" a="1"/>
  <c r="AM497" i="4" s="1"/>
  <c r="AM498" i="4" a="1"/>
  <c r="AM498" i="4" s="1"/>
  <c r="AM499" i="4" a="1"/>
  <c r="AM499" i="4" s="1"/>
  <c r="AM500" i="4" a="1"/>
  <c r="AM500" i="4" s="1"/>
  <c r="AM501" i="4" a="1"/>
  <c r="AM501" i="4" s="1"/>
  <c r="AM502" i="4" a="1"/>
  <c r="AM502" i="4" s="1"/>
  <c r="AM503" i="4" a="1"/>
  <c r="AM503" i="4" s="1"/>
  <c r="AM504" i="4" a="1"/>
  <c r="AM504" i="4" s="1"/>
  <c r="AM505" i="4" a="1"/>
  <c r="AM505" i="4" s="1"/>
  <c r="AM506" i="4" a="1"/>
  <c r="AM506" i="4" s="1"/>
  <c r="AM507" i="4" a="1"/>
  <c r="AM507" i="4" s="1"/>
  <c r="AM508" i="4" a="1"/>
  <c r="AM508" i="4" s="1"/>
  <c r="AM509" i="4" a="1"/>
  <c r="AM509" i="4" s="1"/>
  <c r="AM510" i="4" a="1"/>
  <c r="AM510" i="4" s="1"/>
  <c r="AM511" i="4" a="1"/>
  <c r="AM511" i="4" s="1"/>
  <c r="AM512" i="4" a="1"/>
  <c r="AM512" i="4" s="1"/>
  <c r="AM513" i="4" a="1"/>
  <c r="AM513" i="4" s="1"/>
  <c r="AM514" i="4" a="1"/>
  <c r="AM514" i="4" s="1"/>
  <c r="AM515" i="4" a="1"/>
  <c r="AM515" i="4" s="1"/>
  <c r="AM516" i="4" a="1"/>
  <c r="AM516" i="4" s="1"/>
  <c r="AM517" i="4" a="1"/>
  <c r="AM517" i="4" s="1"/>
  <c r="AM518" i="4" a="1"/>
  <c r="AM518" i="4" s="1"/>
  <c r="AM519" i="4" a="1"/>
  <c r="AM519" i="4" s="1"/>
  <c r="AM520" i="4" a="1"/>
  <c r="AM520" i="4" s="1"/>
  <c r="AM521" i="4" a="1"/>
  <c r="AM521" i="4" s="1"/>
  <c r="AM522" i="4" a="1"/>
  <c r="AM522" i="4" s="1"/>
  <c r="AM523" i="4" a="1"/>
  <c r="AM523" i="4" s="1"/>
  <c r="AM524" i="4" a="1"/>
  <c r="AM524" i="4" s="1"/>
  <c r="AM525" i="4" a="1"/>
  <c r="AM525" i="4" s="1"/>
  <c r="AM526" i="4" a="1"/>
  <c r="AM526" i="4" s="1"/>
  <c r="AM527" i="4" a="1"/>
  <c r="AM527" i="4" s="1"/>
  <c r="AM528" i="4" a="1"/>
  <c r="AM528" i="4" s="1"/>
  <c r="AM529" i="4" a="1"/>
  <c r="AM529" i="4" s="1"/>
  <c r="AM530" i="4" a="1"/>
  <c r="AM530" i="4" s="1"/>
  <c r="AM531" i="4" a="1"/>
  <c r="AM531" i="4" s="1"/>
  <c r="AM532" i="4" a="1"/>
  <c r="AM532" i="4" s="1"/>
  <c r="AM533" i="4" a="1"/>
  <c r="AM533" i="4" s="1"/>
  <c r="AM534" i="4" a="1"/>
  <c r="AM534" i="4" s="1"/>
  <c r="AM535" i="4" a="1"/>
  <c r="AM535" i="4" s="1"/>
  <c r="AM536" i="4" a="1"/>
  <c r="AM536" i="4" s="1"/>
  <c r="AM537" i="4" a="1"/>
  <c r="AM537" i="4" s="1"/>
  <c r="AM538" i="4" a="1"/>
  <c r="AM538" i="4" s="1"/>
  <c r="AM539" i="4" a="1"/>
  <c r="AM539" i="4" s="1"/>
  <c r="AM540" i="4" a="1"/>
  <c r="AM540" i="4" s="1"/>
  <c r="AM541" i="4" a="1"/>
  <c r="AM541" i="4" s="1"/>
  <c r="AM542" i="4" a="1"/>
  <c r="AM542" i="4" s="1"/>
  <c r="AM543" i="4" a="1"/>
  <c r="AM543" i="4" s="1"/>
  <c r="AM544" i="4" a="1"/>
  <c r="AM544" i="4" s="1"/>
  <c r="AM545" i="4" a="1"/>
  <c r="AM545" i="4" s="1"/>
  <c r="AM546" i="4" a="1"/>
  <c r="AM546" i="4" s="1"/>
  <c r="AM547" i="4" a="1"/>
  <c r="AM547" i="4" s="1"/>
  <c r="AM548" i="4" a="1"/>
  <c r="AM548" i="4" s="1"/>
  <c r="AM549" i="4" a="1"/>
  <c r="AM549" i="4" s="1"/>
  <c r="AM550" i="4" a="1"/>
  <c r="AM550" i="4" s="1"/>
  <c r="AM551" i="4" a="1"/>
  <c r="AM551" i="4" s="1"/>
  <c r="AM552" i="4" a="1"/>
  <c r="AM552" i="4" s="1"/>
  <c r="AM553" i="4" a="1"/>
  <c r="AM553" i="4" s="1"/>
  <c r="AM554" i="4" a="1"/>
  <c r="AM554" i="4" s="1"/>
  <c r="AM555" i="4" a="1"/>
  <c r="AM555" i="4" s="1"/>
  <c r="AM556" i="4" a="1"/>
  <c r="AM556" i="4" s="1"/>
  <c r="AM557" i="4" a="1"/>
  <c r="AM557" i="4" s="1"/>
  <c r="AM558" i="4" a="1"/>
  <c r="AM558" i="4" s="1"/>
  <c r="AM559" i="4" a="1"/>
  <c r="AM559" i="4" s="1"/>
  <c r="AM560" i="4" a="1"/>
  <c r="AM560" i="4" s="1"/>
  <c r="AM561" i="4" a="1"/>
  <c r="AM561" i="4" s="1"/>
  <c r="AM562" i="4" a="1"/>
  <c r="AM562" i="4" s="1"/>
  <c r="AM563" i="4" a="1"/>
  <c r="AM563" i="4" s="1"/>
  <c r="AM564" i="4" a="1"/>
  <c r="AM564" i="4" s="1"/>
  <c r="AM565" i="4" a="1"/>
  <c r="AM565" i="4" s="1"/>
  <c r="AM566" i="4" a="1"/>
  <c r="AM566" i="4" s="1"/>
  <c r="AM567" i="4" a="1"/>
  <c r="AM567" i="4" s="1"/>
  <c r="AM568" i="4" a="1"/>
  <c r="AM568" i="4" s="1"/>
  <c r="AM569" i="4" a="1"/>
  <c r="AM569" i="4" s="1"/>
  <c r="AM570" i="4" a="1"/>
  <c r="AM570" i="4" s="1"/>
  <c r="AM571" i="4" a="1"/>
  <c r="AM571" i="4" s="1"/>
  <c r="AM572" i="4" a="1"/>
  <c r="AM572" i="4" s="1"/>
  <c r="AM573" i="4" a="1"/>
  <c r="AM573" i="4" s="1"/>
  <c r="AM574" i="4" a="1"/>
  <c r="AM574" i="4" s="1"/>
  <c r="AM575" i="4" a="1"/>
  <c r="AM575" i="4" s="1"/>
  <c r="AM576" i="4" a="1"/>
  <c r="AM576" i="4" s="1"/>
  <c r="AM577" i="4" a="1"/>
  <c r="AM577" i="4" s="1"/>
  <c r="AM578" i="4" a="1"/>
  <c r="AM578" i="4" s="1"/>
  <c r="AM579" i="4" a="1"/>
  <c r="AM579" i="4" s="1"/>
  <c r="AM580" i="4" a="1"/>
  <c r="AM580" i="4" s="1"/>
  <c r="AM581" i="4" a="1"/>
  <c r="AM581" i="4" s="1"/>
  <c r="AM582" i="4" a="1"/>
  <c r="AM582" i="4" s="1"/>
  <c r="AM583" i="4" a="1"/>
  <c r="AM583" i="4" s="1"/>
  <c r="AM584" i="4" a="1"/>
  <c r="AM584" i="4" s="1"/>
  <c r="AM585" i="4" a="1"/>
  <c r="AM585" i="4" s="1"/>
  <c r="AM586" i="4" a="1"/>
  <c r="AM586" i="4" s="1"/>
  <c r="AM587" i="4" a="1"/>
  <c r="AM587" i="4" s="1"/>
  <c r="AM588" i="4" a="1"/>
  <c r="AM588" i="4" s="1"/>
  <c r="AM589" i="4" a="1"/>
  <c r="AM589" i="4" s="1"/>
  <c r="AM590" i="4" a="1"/>
  <c r="AM590" i="4" s="1"/>
  <c r="AM591" i="4" a="1"/>
  <c r="AM591" i="4" s="1"/>
  <c r="AM592" i="4" a="1"/>
  <c r="AM592" i="4" s="1"/>
  <c r="AM593" i="4" a="1"/>
  <c r="AM593" i="4" s="1"/>
  <c r="AM594" i="4" a="1"/>
  <c r="AM594" i="4" s="1"/>
  <c r="AM595" i="4" a="1"/>
  <c r="AM595" i="4" s="1"/>
  <c r="AM596" i="4" a="1"/>
  <c r="AM596" i="4" s="1"/>
  <c r="AM597" i="4" a="1"/>
  <c r="AM597" i="4" s="1"/>
  <c r="AM598" i="4" a="1"/>
  <c r="AM598" i="4" s="1"/>
  <c r="AM599" i="4" a="1"/>
  <c r="AM599" i="4" s="1"/>
  <c r="AM600" i="4" a="1"/>
  <c r="AM600" i="4" s="1"/>
  <c r="AM601" i="4" a="1"/>
  <c r="AM601" i="4" s="1"/>
  <c r="AM602" i="4" a="1"/>
  <c r="AM602" i="4" s="1"/>
  <c r="AM603" i="4" a="1"/>
  <c r="AM603" i="4" s="1"/>
  <c r="AM604" i="4" a="1"/>
  <c r="AM604" i="4" s="1"/>
  <c r="AM605" i="4" a="1"/>
  <c r="AM605" i="4" s="1"/>
  <c r="AM606" i="4" a="1"/>
  <c r="AM606" i="4" s="1"/>
  <c r="AM607" i="4" a="1"/>
  <c r="AM607" i="4" s="1"/>
  <c r="AM608" i="4" a="1"/>
  <c r="AM608" i="4" s="1"/>
  <c r="AM609" i="4" a="1"/>
  <c r="AM609" i="4" s="1"/>
  <c r="AM610" i="4" a="1"/>
  <c r="AM610" i="4" s="1"/>
  <c r="AM611" i="4" a="1"/>
  <c r="AM611" i="4" s="1"/>
  <c r="AM612" i="4" a="1"/>
  <c r="AM612" i="4" s="1"/>
  <c r="AM613" i="4" a="1"/>
  <c r="AM613" i="4" s="1"/>
  <c r="AM614" i="4" a="1"/>
  <c r="AM614" i="4" s="1"/>
  <c r="AM615" i="4" a="1"/>
  <c r="AM615" i="4" s="1"/>
  <c r="AM616" i="4" a="1"/>
  <c r="AM616" i="4" s="1"/>
  <c r="AM617" i="4" a="1"/>
  <c r="AM617" i="4" s="1"/>
  <c r="AM618" i="4" a="1"/>
  <c r="AM618" i="4" s="1"/>
  <c r="AM619" i="4" a="1"/>
  <c r="AM619" i="4" s="1"/>
  <c r="AM620" i="4" a="1"/>
  <c r="AM620" i="4" s="1"/>
  <c r="AM621" i="4" a="1"/>
  <c r="AM621" i="4" s="1"/>
  <c r="AM622" i="4" a="1"/>
  <c r="AM622" i="4" s="1"/>
  <c r="AM623" i="4" a="1"/>
  <c r="AM623" i="4" s="1"/>
  <c r="AM624" i="4" a="1"/>
  <c r="AM624" i="4" s="1"/>
  <c r="AM625" i="4" a="1"/>
  <c r="AM625" i="4" s="1"/>
  <c r="AM626" i="4" a="1"/>
  <c r="AM626" i="4" s="1"/>
  <c r="AM627" i="4" a="1"/>
  <c r="AM627" i="4" s="1"/>
  <c r="AM628" i="4" a="1"/>
  <c r="AM628" i="4" s="1"/>
  <c r="AM629" i="4" a="1"/>
  <c r="AM629" i="4" s="1"/>
  <c r="AM630" i="4" a="1"/>
  <c r="AM630" i="4" s="1"/>
  <c r="AM631" i="4" a="1"/>
  <c r="AM631" i="4" s="1"/>
  <c r="AM632" i="4" a="1"/>
  <c r="AM632" i="4" s="1"/>
  <c r="AM633" i="4" a="1"/>
  <c r="AM633" i="4" s="1"/>
  <c r="AM634" i="4" a="1"/>
  <c r="AM634" i="4" s="1"/>
  <c r="AM635" i="4" a="1"/>
  <c r="AM635" i="4" s="1"/>
  <c r="AM636" i="4" a="1"/>
  <c r="AM636" i="4" s="1"/>
  <c r="AM637" i="4" a="1"/>
  <c r="AM637" i="4" s="1"/>
  <c r="AM638" i="4" a="1"/>
  <c r="AM638" i="4" s="1"/>
  <c r="AM639" i="4" a="1"/>
  <c r="AM639" i="4" s="1"/>
  <c r="AM640" i="4" a="1"/>
  <c r="AM640" i="4" s="1"/>
  <c r="AM641" i="4" a="1"/>
  <c r="AM641" i="4" s="1"/>
  <c r="AM642" i="4" a="1"/>
  <c r="AM642" i="4" s="1"/>
  <c r="AM643" i="4" a="1"/>
  <c r="AM643" i="4" s="1"/>
  <c r="AM644" i="4" a="1"/>
  <c r="AM644" i="4" s="1"/>
  <c r="AM645" i="4" a="1"/>
  <c r="AM645" i="4" s="1"/>
  <c r="AM646" i="4" a="1"/>
  <c r="AM646" i="4" s="1"/>
  <c r="AM647" i="4" a="1"/>
  <c r="AM647" i="4" s="1"/>
  <c r="AM648" i="4" a="1"/>
  <c r="AM648" i="4" s="1"/>
  <c r="AM649" i="4" a="1"/>
  <c r="AM649" i="4" s="1"/>
  <c r="AM650" i="4" a="1"/>
  <c r="AM650" i="4" s="1"/>
  <c r="AM651" i="4" a="1"/>
  <c r="AM651" i="4" s="1"/>
  <c r="AM652" i="4" a="1"/>
  <c r="AM652" i="4" s="1"/>
  <c r="AM653" i="4" a="1"/>
  <c r="AM653" i="4" s="1"/>
  <c r="AM654" i="4" a="1"/>
  <c r="AM654" i="4" s="1"/>
  <c r="AM655" i="4" a="1"/>
  <c r="AM655" i="4" s="1"/>
  <c r="AM656" i="4" a="1"/>
  <c r="AM656" i="4" s="1"/>
  <c r="AM657" i="4" a="1"/>
  <c r="AM657" i="4" s="1"/>
  <c r="AM658" i="4" a="1"/>
  <c r="AM658" i="4" s="1"/>
  <c r="AM659" i="4" a="1"/>
  <c r="AM659" i="4" s="1"/>
  <c r="AM660" i="4" a="1"/>
  <c r="AM660" i="4" s="1"/>
  <c r="AM661" i="4" a="1"/>
  <c r="AM661" i="4" s="1"/>
  <c r="AM662" i="4" a="1"/>
  <c r="AM662" i="4" s="1"/>
  <c r="AM663" i="4" a="1"/>
  <c r="AM663" i="4" s="1"/>
  <c r="AM664" i="4" a="1"/>
  <c r="AM664" i="4" s="1"/>
  <c r="AM665" i="4" a="1"/>
  <c r="AM665" i="4" s="1"/>
  <c r="Y39" i="3"/>
  <c r="AK2" i="4" l="1" a="1"/>
  <c r="AC304" i="4"/>
  <c r="AC303" i="4"/>
  <c r="AC301" i="4"/>
  <c r="AC299" i="4"/>
  <c r="AC297" i="4"/>
  <c r="AC295" i="4"/>
  <c r="AC293" i="4"/>
  <c r="AC291" i="4"/>
  <c r="AC289" i="4"/>
  <c r="AC287" i="4"/>
  <c r="AC285" i="4"/>
  <c r="AC283" i="4"/>
  <c r="AC281" i="4"/>
  <c r="AC279" i="4"/>
  <c r="AC277" i="4"/>
  <c r="AC275" i="4"/>
  <c r="AC273" i="4"/>
  <c r="AC271" i="4"/>
  <c r="AC269" i="4"/>
  <c r="AC267" i="4"/>
  <c r="AC265" i="4"/>
  <c r="AC263" i="4"/>
  <c r="AC261" i="4"/>
  <c r="AC259" i="4"/>
  <c r="AC257" i="4"/>
  <c r="AC255" i="4"/>
  <c r="AC302" i="4"/>
  <c r="AC300" i="4"/>
  <c r="AC298" i="4"/>
  <c r="AC296" i="4"/>
  <c r="AC294" i="4"/>
  <c r="AC292" i="4"/>
  <c r="AC290" i="4"/>
  <c r="AC288" i="4"/>
  <c r="AC286" i="4"/>
  <c r="AC284" i="4"/>
  <c r="AC282" i="4"/>
  <c r="AC280" i="4"/>
  <c r="AC278" i="4"/>
  <c r="AC276" i="4"/>
  <c r="AC274" i="4"/>
  <c r="AC272" i="4"/>
  <c r="AC270" i="4"/>
  <c r="AC268" i="4"/>
  <c r="AC266" i="4"/>
  <c r="AC264" i="4"/>
  <c r="AC262" i="4"/>
  <c r="AC260" i="4"/>
  <c r="AC258" i="4"/>
  <c r="AC256" i="4"/>
  <c r="AC254" i="4"/>
  <c r="AC584" i="4"/>
  <c r="AC675" i="4"/>
  <c r="AC748" i="4"/>
  <c r="AC821" i="4"/>
  <c r="AC894" i="4"/>
  <c r="AC963" i="4"/>
  <c r="AC1027" i="4"/>
  <c r="AC1091" i="4"/>
  <c r="AC1110" i="4"/>
  <c r="AC1119" i="4"/>
  <c r="AC1127" i="4"/>
  <c r="AC1135" i="4"/>
  <c r="AC1143" i="4"/>
  <c r="AC1151" i="4"/>
  <c r="AC1159" i="4"/>
  <c r="AC1167" i="4"/>
  <c r="AC1175" i="4"/>
  <c r="AC1183" i="4"/>
  <c r="AC1191" i="4"/>
  <c r="AC1199" i="4"/>
  <c r="AC1207" i="4"/>
  <c r="AC666" i="4"/>
  <c r="AC1109" i="4"/>
  <c r="AC1150" i="4"/>
  <c r="AC600" i="4"/>
  <c r="AC684" i="4"/>
  <c r="AC757" i="4"/>
  <c r="AC830" i="4"/>
  <c r="AC904" i="4"/>
  <c r="AC971" i="4"/>
  <c r="AC1035" i="4"/>
  <c r="AC1099" i="4"/>
  <c r="AC1111" i="4"/>
  <c r="AC1120" i="4"/>
  <c r="AC1128" i="4"/>
  <c r="AC1136" i="4"/>
  <c r="AC1144" i="4"/>
  <c r="AC1152" i="4"/>
  <c r="AC1160" i="4"/>
  <c r="AC1168" i="4"/>
  <c r="AC1176" i="4"/>
  <c r="AC1184" i="4"/>
  <c r="AC1192" i="4"/>
  <c r="AC1200" i="4"/>
  <c r="AC1208" i="4"/>
  <c r="AC1140" i="4"/>
  <c r="AC657" i="4"/>
  <c r="AC876" i="4"/>
  <c r="AC1117" i="4"/>
  <c r="AC1157" i="4"/>
  <c r="AC739" i="4"/>
  <c r="AC1083" i="4"/>
  <c r="AC1126" i="4"/>
  <c r="AC1166" i="4"/>
  <c r="AC1198" i="4"/>
  <c r="AC614" i="4"/>
  <c r="AC693" i="4"/>
  <c r="AC766" i="4"/>
  <c r="AC840" i="4"/>
  <c r="AC913" i="4"/>
  <c r="AC979" i="4"/>
  <c r="AC1043" i="4"/>
  <c r="AC1101" i="4"/>
  <c r="AC1112" i="4"/>
  <c r="AC1121" i="4"/>
  <c r="AC1129" i="4"/>
  <c r="AC1137" i="4"/>
  <c r="AC1145" i="4"/>
  <c r="AC1153" i="4"/>
  <c r="AC1161" i="4"/>
  <c r="AC1169" i="4"/>
  <c r="AC1177" i="4"/>
  <c r="AC1185" i="4"/>
  <c r="AC1193" i="4"/>
  <c r="AC1201" i="4"/>
  <c r="AC1209" i="4"/>
  <c r="AC721" i="4"/>
  <c r="AC867" i="4"/>
  <c r="AC1067" i="4"/>
  <c r="AC1116" i="4"/>
  <c r="AC1156" i="4"/>
  <c r="AC1164" i="4"/>
  <c r="AC1180" i="4"/>
  <c r="AC1196" i="4"/>
  <c r="AC803" i="4"/>
  <c r="AC1108" i="4"/>
  <c r="AC1133" i="4"/>
  <c r="AC1173" i="4"/>
  <c r="AC1189" i="4"/>
  <c r="AC1205" i="4"/>
  <c r="AC555" i="4"/>
  <c r="AC1019" i="4"/>
  <c r="AC1118" i="4"/>
  <c r="AC1174" i="4"/>
  <c r="AC627" i="4"/>
  <c r="AC702" i="4"/>
  <c r="AC776" i="4"/>
  <c r="AC849" i="4"/>
  <c r="AC922" i="4"/>
  <c r="AC987" i="4"/>
  <c r="AC1051" i="4"/>
  <c r="AC1102" i="4"/>
  <c r="AC1113" i="4"/>
  <c r="AC1122" i="4"/>
  <c r="AC1130" i="4"/>
  <c r="AC1138" i="4"/>
  <c r="AC1146" i="4"/>
  <c r="AC1154" i="4"/>
  <c r="AC1162" i="4"/>
  <c r="AC1170" i="4"/>
  <c r="AC1178" i="4"/>
  <c r="AC1186" i="4"/>
  <c r="AC1194" i="4"/>
  <c r="AC1202" i="4"/>
  <c r="AC1210" i="4"/>
  <c r="AC1131" i="4"/>
  <c r="AC1163" i="4"/>
  <c r="AC1171" i="4"/>
  <c r="AC1187" i="4"/>
  <c r="AC1203" i="4"/>
  <c r="AC1211" i="4"/>
  <c r="AC1124" i="4"/>
  <c r="AC491" i="4"/>
  <c r="AC1075" i="4"/>
  <c r="AC1125" i="4"/>
  <c r="AC1149" i="4"/>
  <c r="AC1213" i="4"/>
  <c r="AC955" i="4"/>
  <c r="AC1158" i="4"/>
  <c r="AC1206" i="4"/>
  <c r="AC363" i="4"/>
  <c r="AC638" i="4"/>
  <c r="AC712" i="4"/>
  <c r="AC785" i="4"/>
  <c r="AC858" i="4"/>
  <c r="AC931" i="4"/>
  <c r="AC995" i="4"/>
  <c r="AC1059" i="4"/>
  <c r="AC1105" i="4"/>
  <c r="AC1115" i="4"/>
  <c r="AC1123" i="4"/>
  <c r="AC1139" i="4"/>
  <c r="AC1147" i="4"/>
  <c r="AC1155" i="4"/>
  <c r="AC1179" i="4"/>
  <c r="AC1195" i="4"/>
  <c r="AC648" i="4"/>
  <c r="AC794" i="4"/>
  <c r="AC939" i="4"/>
  <c r="AC1003" i="4"/>
  <c r="AC1148" i="4"/>
  <c r="AC1172" i="4"/>
  <c r="AC1212" i="4"/>
  <c r="AC947" i="4"/>
  <c r="AC812" i="4"/>
  <c r="AC1134" i="4"/>
  <c r="AC1190" i="4"/>
  <c r="AB2" i="4" a="1"/>
  <c r="AC427" i="4"/>
  <c r="AC1107" i="4"/>
  <c r="AC1132" i="4"/>
  <c r="AC1188" i="4"/>
  <c r="AC1204" i="4"/>
  <c r="AC730" i="4"/>
  <c r="AC1011" i="4"/>
  <c r="AC1141" i="4"/>
  <c r="AC1165" i="4"/>
  <c r="AC1181" i="4"/>
  <c r="AC1197" i="4"/>
  <c r="AC885" i="4"/>
  <c r="AC1142" i="4"/>
  <c r="AC1182" i="4"/>
  <c r="AC759" i="4"/>
  <c r="AC1044" i="4"/>
  <c r="AC964" i="4"/>
  <c r="AC307" i="4"/>
  <c r="AC850" i="4"/>
  <c r="AC777" i="4"/>
  <c r="AC704" i="4"/>
  <c r="AC629" i="4"/>
  <c r="AC751" i="4"/>
  <c r="AC687" i="4"/>
  <c r="AC623" i="4"/>
  <c r="AC559" i="4"/>
  <c r="AC495" i="4"/>
  <c r="AC431" i="4"/>
  <c r="AC367" i="4"/>
  <c r="AC333" i="4"/>
  <c r="AC397" i="4"/>
  <c r="AC461" i="4"/>
  <c r="AC525" i="4"/>
  <c r="AC589" i="4"/>
  <c r="AC358" i="4"/>
  <c r="AC422" i="4"/>
  <c r="AC486" i="4"/>
  <c r="AC550" i="4"/>
  <c r="AC311" i="4"/>
  <c r="AC823" i="4"/>
  <c r="AC887" i="4"/>
  <c r="AC336" i="4"/>
  <c r="AC400" i="4"/>
  <c r="AC464" i="4"/>
  <c r="AC528" i="4"/>
  <c r="AC329" i="4"/>
  <c r="AC393" i="4"/>
  <c r="AC457" i="4"/>
  <c r="AC521" i="4"/>
  <c r="AC322" i="4"/>
  <c r="AC386" i="4"/>
  <c r="AC450" i="4"/>
  <c r="AC514" i="4"/>
  <c r="AC578" i="4"/>
  <c r="AC332" i="4"/>
  <c r="AC396" i="4"/>
  <c r="AC460" i="4"/>
  <c r="AC524" i="4"/>
  <c r="AC588" i="4"/>
  <c r="AC1106" i="4"/>
  <c r="AC1042" i="4"/>
  <c r="AC978" i="4"/>
  <c r="AC912" i="4"/>
  <c r="AC838" i="4"/>
  <c r="AC765" i="4"/>
  <c r="AC692" i="4"/>
  <c r="AC613" i="4"/>
  <c r="AC1097" i="4"/>
  <c r="AC1033" i="4"/>
  <c r="AC969" i="4"/>
  <c r="AC901" i="4"/>
  <c r="AC828" i="4"/>
  <c r="AC755" i="4"/>
  <c r="AC682" i="4"/>
  <c r="AC595" i="4"/>
  <c r="AC1096" i="4"/>
  <c r="AC1032" i="4"/>
  <c r="AC968" i="4"/>
  <c r="AC900" i="4"/>
  <c r="AC827" i="4"/>
  <c r="AC754" i="4"/>
  <c r="AC681" i="4"/>
  <c r="AC593" i="4"/>
  <c r="AC1095" i="4"/>
  <c r="AC1031" i="4"/>
  <c r="AC967" i="4"/>
  <c r="AC899" i="4"/>
  <c r="AC826" i="4"/>
  <c r="AC753" i="4"/>
  <c r="AC680" i="4"/>
  <c r="AC592" i="4"/>
  <c r="AC1086" i="4"/>
  <c r="AC1100" i="4"/>
  <c r="AC1036" i="4"/>
  <c r="AC956" i="4"/>
  <c r="AC1020" i="4"/>
  <c r="AC841" i="4"/>
  <c r="AC768" i="4"/>
  <c r="AC694" i="4"/>
  <c r="AC616" i="4"/>
  <c r="AC743" i="4"/>
  <c r="AC679" i="4"/>
  <c r="AC615" i="4"/>
  <c r="AC551" i="4"/>
  <c r="AC487" i="4"/>
  <c r="AC423" i="4"/>
  <c r="AC359" i="4"/>
  <c r="AC341" i="4"/>
  <c r="AC405" i="4"/>
  <c r="AC469" i="4"/>
  <c r="AC533" i="4"/>
  <c r="AC597" i="4"/>
  <c r="AC366" i="4"/>
  <c r="AC430" i="4"/>
  <c r="AC494" i="4"/>
  <c r="AC767" i="4"/>
  <c r="AC831" i="4"/>
  <c r="AC895" i="4"/>
  <c r="AC344" i="4"/>
  <c r="AC408" i="4"/>
  <c r="AC472" i="4"/>
  <c r="AC536" i="4"/>
  <c r="AC337" i="4"/>
  <c r="AC401" i="4"/>
  <c r="AC465" i="4"/>
  <c r="AC529" i="4"/>
  <c r="AC330" i="4"/>
  <c r="AC394" i="4"/>
  <c r="AC458" i="4"/>
  <c r="AC522" i="4"/>
  <c r="AC586" i="4"/>
  <c r="AC340" i="4"/>
  <c r="AC404" i="4"/>
  <c r="AC468" i="4"/>
  <c r="AC532" i="4"/>
  <c r="AC596" i="4"/>
  <c r="AC1098" i="4"/>
  <c r="AC1034" i="4"/>
  <c r="AC970" i="4"/>
  <c r="AC902" i="4"/>
  <c r="AC829" i="4"/>
  <c r="AC756" i="4"/>
  <c r="AC683" i="4"/>
  <c r="AC598" i="4"/>
  <c r="AC1089" i="4"/>
  <c r="AC1025" i="4"/>
  <c r="AC961" i="4"/>
  <c r="AC892" i="4"/>
  <c r="AC819" i="4"/>
  <c r="AC746" i="4"/>
  <c r="AC673" i="4"/>
  <c r="AC579" i="4"/>
  <c r="AC1088" i="4"/>
  <c r="AC1024" i="4"/>
  <c r="AC960" i="4"/>
  <c r="AC891" i="4"/>
  <c r="AC818" i="4"/>
  <c r="AC745" i="4"/>
  <c r="AC672" i="4"/>
  <c r="AC574" i="4"/>
  <c r="AC1087" i="4"/>
  <c r="AC1023" i="4"/>
  <c r="AC959" i="4"/>
  <c r="AC890" i="4"/>
  <c r="AC817" i="4"/>
  <c r="AC744" i="4"/>
  <c r="AC670" i="4"/>
  <c r="AC571" i="4"/>
  <c r="AC1078" i="4"/>
  <c r="AC1092" i="4"/>
  <c r="AC1028" i="4"/>
  <c r="AC940" i="4"/>
  <c r="AC988" i="4"/>
  <c r="AC832" i="4"/>
  <c r="AC758" i="4"/>
  <c r="AC685" i="4"/>
  <c r="AC601" i="4"/>
  <c r="AC735" i="4"/>
  <c r="AC671" i="4"/>
  <c r="AC607" i="4"/>
  <c r="AC543" i="4"/>
  <c r="AC479" i="4"/>
  <c r="AC415" i="4"/>
  <c r="AC351" i="4"/>
  <c r="AC349" i="4"/>
  <c r="AC413" i="4"/>
  <c r="AC477" i="4"/>
  <c r="AC541" i="4"/>
  <c r="AC605" i="4"/>
  <c r="AC310" i="4"/>
  <c r="AC374" i="4"/>
  <c r="AC438" i="4"/>
  <c r="AC502" i="4"/>
  <c r="AC775" i="4"/>
  <c r="AC839" i="4"/>
  <c r="AC903" i="4"/>
  <c r="AC352" i="4"/>
  <c r="AC416" i="4"/>
  <c r="AC480" i="4"/>
  <c r="AC544" i="4"/>
  <c r="AC345" i="4"/>
  <c r="AC409" i="4"/>
  <c r="AC473" i="4"/>
  <c r="AC537" i="4"/>
  <c r="AC338" i="4"/>
  <c r="AC402" i="4"/>
  <c r="AC466" i="4"/>
  <c r="AC530" i="4"/>
  <c r="AC594" i="4"/>
  <c r="AC348" i="4"/>
  <c r="AC412" i="4"/>
  <c r="AC476" i="4"/>
  <c r="AC540" i="4"/>
  <c r="AC604" i="4"/>
  <c r="AC1090" i="4"/>
  <c r="AC1026" i="4"/>
  <c r="AC962" i="4"/>
  <c r="AC893" i="4"/>
  <c r="AC820" i="4"/>
  <c r="AC747" i="4"/>
  <c r="AC674" i="4"/>
  <c r="AC582" i="4"/>
  <c r="AC1081" i="4"/>
  <c r="AC1017" i="4"/>
  <c r="AC953" i="4"/>
  <c r="AC883" i="4"/>
  <c r="AC810" i="4"/>
  <c r="AC737" i="4"/>
  <c r="AC664" i="4"/>
  <c r="AC539" i="4"/>
  <c r="AC1080" i="4"/>
  <c r="AC1016" i="4"/>
  <c r="AC952" i="4"/>
  <c r="AC882" i="4"/>
  <c r="AC809" i="4"/>
  <c r="AC736" i="4"/>
  <c r="AC662" i="4"/>
  <c r="AC531" i="4"/>
  <c r="AC1079" i="4"/>
  <c r="AC1015" i="4"/>
  <c r="AC951" i="4"/>
  <c r="AC881" i="4"/>
  <c r="AC808" i="4"/>
  <c r="AC734" i="4"/>
  <c r="AC661" i="4"/>
  <c r="AC523" i="4"/>
  <c r="AC1070" i="4"/>
  <c r="AC1006" i="4"/>
  <c r="AC1084" i="4"/>
  <c r="AC1012" i="4"/>
  <c r="AC932" i="4"/>
  <c r="AC948" i="4"/>
  <c r="AC822" i="4"/>
  <c r="AC749" i="4"/>
  <c r="AC676" i="4"/>
  <c r="AC585" i="4"/>
  <c r="AC727" i="4"/>
  <c r="AC663" i="4"/>
  <c r="AC599" i="4"/>
  <c r="AC535" i="4"/>
  <c r="AC471" i="4"/>
  <c r="AC407" i="4"/>
  <c r="AC343" i="4"/>
  <c r="AC357" i="4"/>
  <c r="AC421" i="4"/>
  <c r="AC485" i="4"/>
  <c r="AC549" i="4"/>
  <c r="AC318" i="4"/>
  <c r="AC382" i="4"/>
  <c r="AC446" i="4"/>
  <c r="AC510" i="4"/>
  <c r="AC783" i="4"/>
  <c r="AC847" i="4"/>
  <c r="AC911" i="4"/>
  <c r="AC360" i="4"/>
  <c r="AC424" i="4"/>
  <c r="AC488" i="4"/>
  <c r="AC552" i="4"/>
  <c r="AC353" i="4"/>
  <c r="AC417" i="4"/>
  <c r="AC481" i="4"/>
  <c r="AC545" i="4"/>
  <c r="AC346" i="4"/>
  <c r="AC410" i="4"/>
  <c r="AC474" i="4"/>
  <c r="AC538" i="4"/>
  <c r="AC602" i="4"/>
  <c r="AC356" i="4"/>
  <c r="AC420" i="4"/>
  <c r="AC484" i="4"/>
  <c r="AC548" i="4"/>
  <c r="AC612" i="4"/>
  <c r="AC1082" i="4"/>
  <c r="AC1018" i="4"/>
  <c r="AC954" i="4"/>
  <c r="AC884" i="4"/>
  <c r="AC811" i="4"/>
  <c r="AC738" i="4"/>
  <c r="AC665" i="4"/>
  <c r="AC547" i="4"/>
  <c r="AC1073" i="4"/>
  <c r="AC1009" i="4"/>
  <c r="AC945" i="4"/>
  <c r="AC874" i="4"/>
  <c r="AC801" i="4"/>
  <c r="AC728" i="4"/>
  <c r="AC654" i="4"/>
  <c r="AC475" i="4"/>
  <c r="AC1072" i="4"/>
  <c r="AC1008" i="4"/>
  <c r="AC944" i="4"/>
  <c r="AC873" i="4"/>
  <c r="AC800" i="4"/>
  <c r="AC726" i="4"/>
  <c r="AC653" i="4"/>
  <c r="AC467" i="4"/>
  <c r="AC1071" i="4"/>
  <c r="AC1007" i="4"/>
  <c r="AC943" i="4"/>
  <c r="AC872" i="4"/>
  <c r="AC798" i="4"/>
  <c r="AC725" i="4"/>
  <c r="AC652" i="4"/>
  <c r="AC459" i="4"/>
  <c r="AC1062" i="4"/>
  <c r="AC998" i="4"/>
  <c r="AC1076" i="4"/>
  <c r="AC1004" i="4"/>
  <c r="AC923" i="4"/>
  <c r="AC896" i="4"/>
  <c r="AC813" i="4"/>
  <c r="AC740" i="4"/>
  <c r="AC667" i="4"/>
  <c r="AC558" i="4"/>
  <c r="AC719" i="4"/>
  <c r="AC655" i="4"/>
  <c r="AC591" i="4"/>
  <c r="AC527" i="4"/>
  <c r="AC463" i="4"/>
  <c r="AC399" i="4"/>
  <c r="AC335" i="4"/>
  <c r="AC365" i="4"/>
  <c r="AC429" i="4"/>
  <c r="AC493" i="4"/>
  <c r="AC557" i="4"/>
  <c r="AC326" i="4"/>
  <c r="AC390" i="4"/>
  <c r="AC454" i="4"/>
  <c r="AC518" i="4"/>
  <c r="AC791" i="4"/>
  <c r="AC855" i="4"/>
  <c r="AC919" i="4"/>
  <c r="AC368" i="4"/>
  <c r="AC432" i="4"/>
  <c r="AC496" i="4"/>
  <c r="AC560" i="4"/>
  <c r="AC361" i="4"/>
  <c r="AC425" i="4"/>
  <c r="AC489" i="4"/>
  <c r="AC553" i="4"/>
  <c r="AC354" i="4"/>
  <c r="AC418" i="4"/>
  <c r="AC482" i="4"/>
  <c r="AC546" i="4"/>
  <c r="AC610" i="4"/>
  <c r="AC364" i="4"/>
  <c r="AC428" i="4"/>
  <c r="AC492" i="4"/>
  <c r="AC556" i="4"/>
  <c r="AC620" i="4"/>
  <c r="AC1074" i="4"/>
  <c r="AC1010" i="4"/>
  <c r="AC946" i="4"/>
  <c r="AC875" i="4"/>
  <c r="AC802" i="4"/>
  <c r="AC729" i="4"/>
  <c r="AC656" i="4"/>
  <c r="AC483" i="4"/>
  <c r="AC1065" i="4"/>
  <c r="AC1001" i="4"/>
  <c r="AC937" i="4"/>
  <c r="AC865" i="4"/>
  <c r="AC792" i="4"/>
  <c r="AC718" i="4"/>
  <c r="AC645" i="4"/>
  <c r="AC411" i="4"/>
  <c r="AC1064" i="4"/>
  <c r="AC1000" i="4"/>
  <c r="AC936" i="4"/>
  <c r="AC864" i="4"/>
  <c r="AC790" i="4"/>
  <c r="AC717" i="4"/>
  <c r="AC644" i="4"/>
  <c r="AC403" i="4"/>
  <c r="AC1068" i="4"/>
  <c r="AC996" i="4"/>
  <c r="AC914" i="4"/>
  <c r="AC877" i="4"/>
  <c r="AC804" i="4"/>
  <c r="AC731" i="4"/>
  <c r="AC658" i="4"/>
  <c r="AC499" i="4"/>
  <c r="AC711" i="4"/>
  <c r="AC647" i="4"/>
  <c r="AC583" i="4"/>
  <c r="AC519" i="4"/>
  <c r="AC455" i="4"/>
  <c r="AC391" i="4"/>
  <c r="AC327" i="4"/>
  <c r="AC309" i="4"/>
  <c r="AC373" i="4"/>
  <c r="AC437" i="4"/>
  <c r="AC501" i="4"/>
  <c r="AC565" i="4"/>
  <c r="AC334" i="4"/>
  <c r="AC398" i="4"/>
  <c r="AC462" i="4"/>
  <c r="AC526" i="4"/>
  <c r="AC799" i="4"/>
  <c r="AC863" i="4"/>
  <c r="AC927" i="4"/>
  <c r="AC312" i="4"/>
  <c r="AC376" i="4"/>
  <c r="AC440" i="4"/>
  <c r="AC504" i="4"/>
  <c r="AC568" i="4"/>
  <c r="AC305" i="4"/>
  <c r="AC369" i="4"/>
  <c r="AC433" i="4"/>
  <c r="AC497" i="4"/>
  <c r="AC561" i="4"/>
  <c r="AC362" i="4"/>
  <c r="AC426" i="4"/>
  <c r="AC490" i="4"/>
  <c r="AC554" i="4"/>
  <c r="AC618" i="4"/>
  <c r="AC308" i="4"/>
  <c r="AC372" i="4"/>
  <c r="AC436" i="4"/>
  <c r="AC500" i="4"/>
  <c r="AC564" i="4"/>
  <c r="AC628" i="4"/>
  <c r="AC1066" i="4"/>
  <c r="AC1002" i="4"/>
  <c r="AC938" i="4"/>
  <c r="AC866" i="4"/>
  <c r="AC793" i="4"/>
  <c r="AC720" i="4"/>
  <c r="AC646" i="4"/>
  <c r="AC419" i="4"/>
  <c r="AC1057" i="4"/>
  <c r="AC993" i="4"/>
  <c r="AC929" i="4"/>
  <c r="AC856" i="4"/>
  <c r="AC782" i="4"/>
  <c r="AC709" i="4"/>
  <c r="AC635" i="4"/>
  <c r="AC347" i="4"/>
  <c r="AC1056" i="4"/>
  <c r="AC992" i="4"/>
  <c r="AC928" i="4"/>
  <c r="AC854" i="4"/>
  <c r="AC781" i="4"/>
  <c r="AC708" i="4"/>
  <c r="AC634" i="4"/>
  <c r="AC339" i="4"/>
  <c r="AC1055" i="4"/>
  <c r="AC991" i="4"/>
  <c r="AC926" i="4"/>
  <c r="AC1052" i="4"/>
  <c r="AC972" i="4"/>
  <c r="AC886" i="4"/>
  <c r="AC859" i="4"/>
  <c r="AC786" i="4"/>
  <c r="AC713" i="4"/>
  <c r="AC640" i="4"/>
  <c r="AC371" i="4"/>
  <c r="AC695" i="4"/>
  <c r="AC631" i="4"/>
  <c r="AC567" i="4"/>
  <c r="AC503" i="4"/>
  <c r="AC439" i="4"/>
  <c r="AC375" i="4"/>
  <c r="AC325" i="4"/>
  <c r="AC389" i="4"/>
  <c r="AC453" i="4"/>
  <c r="AC517" i="4"/>
  <c r="AC581" i="4"/>
  <c r="AC350" i="4"/>
  <c r="AC414" i="4"/>
  <c r="AC478" i="4"/>
  <c r="AC542" i="4"/>
  <c r="AC815" i="4"/>
  <c r="AC879" i="4"/>
  <c r="AC328" i="4"/>
  <c r="AC392" i="4"/>
  <c r="AC456" i="4"/>
  <c r="AC520" i="4"/>
  <c r="AC321" i="4"/>
  <c r="AC385" i="4"/>
  <c r="AC449" i="4"/>
  <c r="AC513" i="4"/>
  <c r="AC577" i="4"/>
  <c r="AC314" i="4"/>
  <c r="AC378" i="4"/>
  <c r="AC442" i="4"/>
  <c r="AC506" i="4"/>
  <c r="AC570" i="4"/>
  <c r="AC324" i="4"/>
  <c r="AC388" i="4"/>
  <c r="AC452" i="4"/>
  <c r="AC516" i="4"/>
  <c r="AC580" i="4"/>
  <c r="AC1114" i="4"/>
  <c r="AC1050" i="4"/>
  <c r="AC986" i="4"/>
  <c r="AC921" i="4"/>
  <c r="AC848" i="4"/>
  <c r="AC774" i="4"/>
  <c r="AC701" i="4"/>
  <c r="AC625" i="4"/>
  <c r="AC1041" i="4"/>
  <c r="AC977" i="4"/>
  <c r="AC910" i="4"/>
  <c r="AC837" i="4"/>
  <c r="AC764" i="4"/>
  <c r="AC691" i="4"/>
  <c r="AC611" i="4"/>
  <c r="AC1104" i="4"/>
  <c r="AC1040" i="4"/>
  <c r="AC976" i="4"/>
  <c r="AC909" i="4"/>
  <c r="AC1060" i="4"/>
  <c r="AC703" i="4"/>
  <c r="AC381" i="4"/>
  <c r="AC534" i="4"/>
  <c r="AC512" i="4"/>
  <c r="AC370" i="4"/>
  <c r="AC508" i="4"/>
  <c r="AC710" i="4"/>
  <c r="AC700" i="4"/>
  <c r="AC772" i="4"/>
  <c r="AC1063" i="4"/>
  <c r="AC908" i="4"/>
  <c r="AC762" i="4"/>
  <c r="AC608" i="4"/>
  <c r="AC1030" i="4"/>
  <c r="AC950" i="4"/>
  <c r="AC880" i="4"/>
  <c r="AC806" i="4"/>
  <c r="AC733" i="4"/>
  <c r="AC660" i="4"/>
  <c r="AC515" i="4"/>
  <c r="AC1069" i="4"/>
  <c r="AC1005" i="4"/>
  <c r="AC941" i="4"/>
  <c r="AC869" i="4"/>
  <c r="AC796" i="4"/>
  <c r="AC723" i="4"/>
  <c r="AC650" i="4"/>
  <c r="AC443" i="4"/>
  <c r="AC380" i="4"/>
  <c r="AC780" i="4"/>
  <c r="AC678" i="4"/>
  <c r="AC888" i="4"/>
  <c r="AC980" i="4"/>
  <c r="AC639" i="4"/>
  <c r="AC445" i="4"/>
  <c r="AC576" i="4"/>
  <c r="AC434" i="4"/>
  <c r="AC572" i="4"/>
  <c r="AC637" i="4"/>
  <c r="AC624" i="4"/>
  <c r="AC763" i="4"/>
  <c r="AC1047" i="4"/>
  <c r="AC862" i="4"/>
  <c r="AC716" i="4"/>
  <c r="AC395" i="4"/>
  <c r="AC1022" i="4"/>
  <c r="AC942" i="4"/>
  <c r="AC870" i="4"/>
  <c r="AC797" i="4"/>
  <c r="AC724" i="4"/>
  <c r="AC651" i="4"/>
  <c r="AC451" i="4"/>
  <c r="AC1061" i="4"/>
  <c r="AC997" i="4"/>
  <c r="AC933" i="4"/>
  <c r="AC860" i="4"/>
  <c r="AC787" i="4"/>
  <c r="AC714" i="4"/>
  <c r="AC641" i="4"/>
  <c r="AC379" i="4"/>
  <c r="AC384" i="4"/>
  <c r="AC633" i="4"/>
  <c r="AC966" i="4"/>
  <c r="AC1021" i="4"/>
  <c r="AC905" i="4"/>
  <c r="AC575" i="4"/>
  <c r="AC509" i="4"/>
  <c r="AC807" i="4"/>
  <c r="AC313" i="4"/>
  <c r="AC498" i="4"/>
  <c r="AC636" i="4"/>
  <c r="AC355" i="4"/>
  <c r="AC699" i="4"/>
  <c r="AC1039" i="4"/>
  <c r="AC853" i="4"/>
  <c r="AC707" i="4"/>
  <c r="AC331" i="4"/>
  <c r="AC1014" i="4"/>
  <c r="AC934" i="4"/>
  <c r="AC861" i="4"/>
  <c r="AC788" i="4"/>
  <c r="AC715" i="4"/>
  <c r="AC642" i="4"/>
  <c r="AC387" i="4"/>
  <c r="AC1053" i="4"/>
  <c r="AC989" i="4"/>
  <c r="AC924" i="4"/>
  <c r="AC851" i="4"/>
  <c r="AC778" i="4"/>
  <c r="AC705" i="4"/>
  <c r="AC630" i="4"/>
  <c r="AC315" i="4"/>
  <c r="AC569" i="4"/>
  <c r="AC935" i="4"/>
  <c r="AC825" i="4"/>
  <c r="AC741" i="4"/>
  <c r="AC868" i="4"/>
  <c r="AC511" i="4"/>
  <c r="AC573" i="4"/>
  <c r="AC871" i="4"/>
  <c r="AC377" i="4"/>
  <c r="AC562" i="4"/>
  <c r="AC1058" i="4"/>
  <c r="AC1049" i="4"/>
  <c r="AC1048" i="4"/>
  <c r="AC690" i="4"/>
  <c r="AC999" i="4"/>
  <c r="AC844" i="4"/>
  <c r="AC698" i="4"/>
  <c r="AC990" i="4"/>
  <c r="AC925" i="4"/>
  <c r="AC852" i="4"/>
  <c r="AC779" i="4"/>
  <c r="AC706" i="4"/>
  <c r="AC632" i="4"/>
  <c r="AC323" i="4"/>
  <c r="AC1045" i="4"/>
  <c r="AC981" i="4"/>
  <c r="AC915" i="4"/>
  <c r="AC842" i="4"/>
  <c r="AC769" i="4"/>
  <c r="AC696" i="4"/>
  <c r="AC617" i="4"/>
  <c r="AC319" i="4"/>
  <c r="AC846" i="4"/>
  <c r="AC898" i="4"/>
  <c r="AC668" i="4"/>
  <c r="AC795" i="4"/>
  <c r="AC447" i="4"/>
  <c r="AC441" i="4"/>
  <c r="AC626" i="4"/>
  <c r="AC994" i="4"/>
  <c r="AC985" i="4"/>
  <c r="AC984" i="4"/>
  <c r="AC622" i="4"/>
  <c r="AC983" i="4"/>
  <c r="AC835" i="4"/>
  <c r="AC689" i="4"/>
  <c r="AC1094" i="4"/>
  <c r="AC982" i="4"/>
  <c r="AC916" i="4"/>
  <c r="AC843" i="4"/>
  <c r="AC770" i="4"/>
  <c r="AC697" i="4"/>
  <c r="AC619" i="4"/>
  <c r="AC1037" i="4"/>
  <c r="AC973" i="4"/>
  <c r="AC906" i="4"/>
  <c r="AC833" i="4"/>
  <c r="AC760" i="4"/>
  <c r="AC686" i="4"/>
  <c r="AC603" i="4"/>
  <c r="AC406" i="4"/>
  <c r="AC845" i="4"/>
  <c r="AC1085" i="4"/>
  <c r="AC563" i="4"/>
  <c r="AC722" i="4"/>
  <c r="AC383" i="4"/>
  <c r="AC342" i="4"/>
  <c r="AC320" i="4"/>
  <c r="AC505" i="4"/>
  <c r="AC316" i="4"/>
  <c r="AC930" i="4"/>
  <c r="AC920" i="4"/>
  <c r="AC918" i="4"/>
  <c r="AC609" i="4"/>
  <c r="AC975" i="4"/>
  <c r="AC789" i="4"/>
  <c r="AC643" i="4"/>
  <c r="AC1054" i="4"/>
  <c r="AC974" i="4"/>
  <c r="AC907" i="4"/>
  <c r="AC834" i="4"/>
  <c r="AC761" i="4"/>
  <c r="AC688" i="4"/>
  <c r="AC606" i="4"/>
  <c r="AC1093" i="4"/>
  <c r="AC1029" i="4"/>
  <c r="AC965" i="4"/>
  <c r="AC897" i="4"/>
  <c r="AC824" i="4"/>
  <c r="AC750" i="4"/>
  <c r="AC677" i="4"/>
  <c r="AC587" i="4"/>
  <c r="AC649" i="4"/>
  <c r="AC857" i="4"/>
  <c r="AC1046" i="4"/>
  <c r="AC752" i="4"/>
  <c r="AC957" i="4"/>
  <c r="AC435" i="4"/>
  <c r="AC317" i="4"/>
  <c r="AC470" i="4"/>
  <c r="AC448" i="4"/>
  <c r="AC306" i="4"/>
  <c r="AC444" i="4"/>
  <c r="AC784" i="4"/>
  <c r="AC773" i="4"/>
  <c r="AC836" i="4"/>
  <c r="AC1103" i="4"/>
  <c r="AC917" i="4"/>
  <c r="AC771" i="4"/>
  <c r="AC621" i="4"/>
  <c r="AC1038" i="4"/>
  <c r="AC958" i="4"/>
  <c r="AC889" i="4"/>
  <c r="AC816" i="4"/>
  <c r="AC742" i="4"/>
  <c r="AC669" i="4"/>
  <c r="AC566" i="4"/>
  <c r="AC1077" i="4"/>
  <c r="AC1013" i="4"/>
  <c r="AC949" i="4"/>
  <c r="AC878" i="4"/>
  <c r="AC805" i="4"/>
  <c r="AC732" i="4"/>
  <c r="AC659" i="4"/>
  <c r="AC507" i="4"/>
  <c r="AC590" i="4"/>
  <c r="AC814" i="4"/>
  <c r="AC184" i="4"/>
  <c r="AC248" i="4"/>
  <c r="AC240" i="4"/>
  <c r="AC231" i="4"/>
  <c r="AC228" i="4"/>
  <c r="AC225" i="4"/>
  <c r="AC215" i="4"/>
  <c r="AC212" i="4"/>
  <c r="AC209" i="4"/>
  <c r="AC199" i="4"/>
  <c r="AC196" i="4"/>
  <c r="AC193" i="4"/>
  <c r="AC183" i="4"/>
  <c r="AC180" i="4"/>
  <c r="AC177" i="4"/>
  <c r="AC173" i="4"/>
  <c r="AC152" i="4"/>
  <c r="AC251" i="4"/>
  <c r="AC243" i="4"/>
  <c r="AC163" i="4"/>
  <c r="AC156" i="4"/>
  <c r="AC96" i="4"/>
  <c r="AC246" i="4"/>
  <c r="AC238" i="4"/>
  <c r="AC232" i="4"/>
  <c r="AC216" i="4"/>
  <c r="AC200" i="4"/>
  <c r="AC106" i="4"/>
  <c r="AC131" i="4"/>
  <c r="AC155" i="4"/>
  <c r="AC174" i="4"/>
  <c r="AC182" i="4"/>
  <c r="AC190" i="4"/>
  <c r="AC198" i="4"/>
  <c r="AC206" i="4"/>
  <c r="AC214" i="4"/>
  <c r="AC222" i="4"/>
  <c r="AC230" i="4"/>
  <c r="AC147" i="4"/>
  <c r="AC123" i="4"/>
  <c r="AC179" i="4"/>
  <c r="AC187" i="4"/>
  <c r="AC195" i="4"/>
  <c r="AC203" i="4"/>
  <c r="AC211" i="4"/>
  <c r="AC219" i="4"/>
  <c r="AC227" i="4"/>
  <c r="AC235" i="4"/>
  <c r="AC139" i="4"/>
  <c r="AC171" i="4"/>
  <c r="AC249" i="4"/>
  <c r="AC241" i="4"/>
  <c r="AC229" i="4"/>
  <c r="AC226" i="4"/>
  <c r="AC213" i="4"/>
  <c r="AC210" i="4"/>
  <c r="AC197" i="4"/>
  <c r="AC194" i="4"/>
  <c r="AC181" i="4"/>
  <c r="AC178" i="4"/>
  <c r="AC112" i="4"/>
  <c r="AC109" i="4"/>
  <c r="AC252" i="4"/>
  <c r="AC244" i="4"/>
  <c r="AC236" i="4"/>
  <c r="AC233" i="4"/>
  <c r="AC223" i="4"/>
  <c r="AC220" i="4"/>
  <c r="AC217" i="4"/>
  <c r="AC207" i="4"/>
  <c r="AC204" i="4"/>
  <c r="AC201" i="4"/>
  <c r="AC191" i="4"/>
  <c r="AC188" i="4"/>
  <c r="AC185" i="4"/>
  <c r="AC175" i="4"/>
  <c r="AC118" i="4"/>
  <c r="AC247" i="4"/>
  <c r="AC239" i="4"/>
  <c r="AC250" i="4"/>
  <c r="AC242" i="4"/>
  <c r="AC224" i="4"/>
  <c r="AC208" i="4"/>
  <c r="AC192" i="4"/>
  <c r="AC176" i="4"/>
  <c r="AC101" i="4"/>
  <c r="AC253" i="4"/>
  <c r="AC245" i="4"/>
  <c r="AC237" i="4"/>
  <c r="AC234" i="4"/>
  <c r="AC221" i="4"/>
  <c r="AC218" i="4"/>
  <c r="AC205" i="4"/>
  <c r="AC202" i="4"/>
  <c r="AC189" i="4"/>
  <c r="AC186" i="4"/>
  <c r="AC170" i="4"/>
  <c r="AC138" i="4"/>
  <c r="AC135" i="4"/>
  <c r="AC132" i="4"/>
  <c r="AC128" i="4"/>
  <c r="AC164" i="4"/>
  <c r="AC160" i="4"/>
  <c r="AC157" i="4"/>
  <c r="AC122" i="4"/>
  <c r="AC119" i="4"/>
  <c r="AC116" i="4"/>
  <c r="AC107" i="4"/>
  <c r="AC100" i="4"/>
  <c r="AC146" i="4"/>
  <c r="AC110" i="4"/>
  <c r="AC104" i="4"/>
  <c r="AC172" i="4"/>
  <c r="AC168" i="4"/>
  <c r="AC140" i="4"/>
  <c r="AC136" i="4"/>
  <c r="AC126" i="4"/>
  <c r="AC57" i="4"/>
  <c r="AC154" i="4"/>
  <c r="AC120" i="4"/>
  <c r="AC117" i="4"/>
  <c r="AC114" i="4"/>
  <c r="AC111" i="4"/>
  <c r="AC108" i="4"/>
  <c r="AC74" i="4"/>
  <c r="AC91" i="4"/>
  <c r="AC99" i="4"/>
  <c r="AC105" i="4"/>
  <c r="AC113" i="4"/>
  <c r="AC121" i="4"/>
  <c r="AC129" i="4"/>
  <c r="AC137" i="4"/>
  <c r="AC145" i="4"/>
  <c r="AC153" i="4"/>
  <c r="AC161" i="4"/>
  <c r="AC169" i="4"/>
  <c r="AC83" i="4"/>
  <c r="AC103" i="4"/>
  <c r="AC143" i="4"/>
  <c r="AC151" i="4"/>
  <c r="AC159" i="4"/>
  <c r="AC167" i="4"/>
  <c r="AC134" i="4"/>
  <c r="AC142" i="4"/>
  <c r="AC150" i="4"/>
  <c r="AC158" i="4"/>
  <c r="AC166" i="4"/>
  <c r="AC125" i="4"/>
  <c r="AC133" i="4"/>
  <c r="AC141" i="4"/>
  <c r="AC149" i="4"/>
  <c r="AC165" i="4"/>
  <c r="AC67" i="4"/>
  <c r="AC148" i="4"/>
  <c r="AC144" i="4"/>
  <c r="AC130" i="4"/>
  <c r="AC127" i="4"/>
  <c r="AC124" i="4"/>
  <c r="AC162" i="4"/>
  <c r="AC115" i="4"/>
  <c r="AC75" i="4"/>
  <c r="AC78" i="4"/>
  <c r="AC71" i="4"/>
  <c r="AC37" i="4"/>
  <c r="AC82" i="4"/>
  <c r="AC54" i="4"/>
  <c r="AC102" i="4"/>
  <c r="AC86" i="4"/>
  <c r="AC79" i="4"/>
  <c r="AC58" i="4"/>
  <c r="AC90" i="4"/>
  <c r="AC55" i="4"/>
  <c r="AC30" i="4"/>
  <c r="AC65" i="4"/>
  <c r="AC73" i="4"/>
  <c r="AC81" i="4"/>
  <c r="AC89" i="4"/>
  <c r="AC97" i="4"/>
  <c r="AC29" i="4"/>
  <c r="AC56" i="4"/>
  <c r="AC64" i="4"/>
  <c r="AC72" i="4"/>
  <c r="AC80" i="4"/>
  <c r="AC88" i="4"/>
  <c r="AC47" i="4"/>
  <c r="AC52" i="4"/>
  <c r="AC53" i="4"/>
  <c r="AC61" i="4"/>
  <c r="AC69" i="4"/>
  <c r="AC77" i="4"/>
  <c r="AC85" i="4"/>
  <c r="AC93" i="4"/>
  <c r="AC45" i="4"/>
  <c r="AC60" i="4"/>
  <c r="AC68" i="4"/>
  <c r="AC76" i="4"/>
  <c r="AC84" i="4"/>
  <c r="AC92" i="4"/>
  <c r="AC6" i="4"/>
  <c r="AC98" i="4"/>
  <c r="AC94" i="4"/>
  <c r="AC87" i="4"/>
  <c r="AC62" i="4"/>
  <c r="AC59" i="4"/>
  <c r="AC35" i="4"/>
  <c r="AC66" i="4"/>
  <c r="AC40" i="4"/>
  <c r="AC95" i="4"/>
  <c r="AC70" i="4"/>
  <c r="AC63" i="4"/>
  <c r="AC51" i="4"/>
  <c r="AC22" i="4"/>
  <c r="AC16" i="4"/>
  <c r="AC12" i="4"/>
  <c r="AC32" i="4"/>
  <c r="AC27" i="4"/>
  <c r="AC17" i="4"/>
  <c r="AC13" i="4"/>
  <c r="AC41" i="4"/>
  <c r="AC7" i="4"/>
  <c r="AC46" i="4"/>
  <c r="AC23" i="4"/>
  <c r="AC18" i="4"/>
  <c r="AC14" i="4"/>
  <c r="AC48" i="4"/>
  <c r="AC33" i="4"/>
  <c r="AC8" i="4"/>
  <c r="AC11" i="4"/>
  <c r="AC19" i="4"/>
  <c r="AC31" i="4"/>
  <c r="AC39" i="4"/>
  <c r="AC26" i="4"/>
  <c r="AC34" i="4"/>
  <c r="AC42" i="4"/>
  <c r="AC28" i="4"/>
  <c r="AC36" i="4"/>
  <c r="AC44" i="4"/>
  <c r="AC3" i="4"/>
  <c r="AC43" i="4"/>
  <c r="AC38" i="4"/>
  <c r="AC24" i="4"/>
  <c r="AC20" i="4"/>
  <c r="AC9" i="4"/>
  <c r="AC5" i="4"/>
  <c r="AC50" i="4"/>
  <c r="AC49" i="4"/>
  <c r="AC25" i="4"/>
  <c r="AC21" i="4"/>
  <c r="AC15" i="4"/>
  <c r="AC10" i="4"/>
  <c r="AC4" i="4"/>
  <c r="AO2" i="4" a="1"/>
  <c r="AO2" i="4" s="1"/>
  <c r="AC2" i="4"/>
  <c r="U423" i="3"/>
  <c r="U424" i="3"/>
  <c r="U425" i="3"/>
  <c r="U426" i="3"/>
  <c r="K2" i="3"/>
  <c r="L2" i="3"/>
  <c r="O2" i="3"/>
  <c r="M2" i="3"/>
  <c r="R2" i="3" s="1" a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O173" i="3"/>
  <c r="L173" i="3"/>
  <c r="K173" i="3"/>
  <c r="O172" i="3"/>
  <c r="L172" i="3"/>
  <c r="K172" i="3"/>
  <c r="O171" i="3"/>
  <c r="L171" i="3"/>
  <c r="K171" i="3"/>
  <c r="O170" i="3"/>
  <c r="L170" i="3"/>
  <c r="K170" i="3"/>
  <c r="O169" i="3"/>
  <c r="L169" i="3"/>
  <c r="K169" i="3"/>
  <c r="O168" i="3"/>
  <c r="K168" i="3"/>
  <c r="O167" i="3"/>
  <c r="K167" i="3"/>
  <c r="O166" i="3"/>
  <c r="U29" i="3" l="1"/>
  <c r="U28" i="3"/>
  <c r="R2" i="3"/>
  <c r="U3" i="3"/>
  <c r="U11" i="3"/>
  <c r="U19" i="3"/>
  <c r="U27" i="3"/>
  <c r="U4" i="3"/>
  <c r="U12" i="3"/>
  <c r="U20" i="3"/>
  <c r="U5" i="3"/>
  <c r="U13" i="3"/>
  <c r="U21" i="3"/>
  <c r="U6" i="3"/>
  <c r="U14" i="3"/>
  <c r="U22" i="3"/>
  <c r="U7" i="3"/>
  <c r="U15" i="3"/>
  <c r="U23" i="3"/>
  <c r="U8" i="3"/>
  <c r="U16" i="3"/>
  <c r="U24" i="3"/>
  <c r="U9" i="3"/>
  <c r="U10" i="3"/>
  <c r="U17" i="3"/>
  <c r="U18" i="3"/>
  <c r="U25" i="3"/>
  <c r="U26" i="3"/>
  <c r="AE27" i="4" a="1"/>
  <c r="AE27" i="4" s="1"/>
  <c r="AE28" i="4" a="1"/>
  <c r="AE28" i="4" s="1"/>
  <c r="AE29" i="4" a="1"/>
  <c r="AE29" i="4" s="1"/>
  <c r="AE30" i="4" a="1"/>
  <c r="AE30" i="4" s="1"/>
  <c r="AE31" i="4" a="1"/>
  <c r="AE31" i="4" s="1"/>
  <c r="AE32" i="4" a="1"/>
  <c r="AE32" i="4" s="1"/>
  <c r="AE33" i="4" a="1"/>
  <c r="AE33" i="4" s="1"/>
  <c r="AE34" i="4" a="1"/>
  <c r="AE34" i="4" s="1"/>
  <c r="AE35" i="4" a="1"/>
  <c r="AE35" i="4" s="1"/>
  <c r="AM31" i="4" a="1"/>
  <c r="AM31" i="4" s="1"/>
  <c r="AM33" i="4" a="1"/>
  <c r="AM33" i="4" s="1"/>
  <c r="AM35" i="4" a="1"/>
  <c r="AM35" i="4" s="1"/>
  <c r="AL30" i="4"/>
  <c r="AL32" i="4"/>
  <c r="AL34" i="4"/>
  <c r="AM30" i="4" a="1"/>
  <c r="AM30" i="4" s="1"/>
  <c r="AM32" i="4" a="1"/>
  <c r="AM32" i="4" s="1"/>
  <c r="AM34" i="4" a="1"/>
  <c r="AM34" i="4" s="1"/>
  <c r="AL31" i="4"/>
  <c r="AL33" i="4"/>
  <c r="AL35" i="4"/>
  <c r="AK2" i="4"/>
  <c r="AP27" i="4" s="1"/>
  <c r="AL29" i="4"/>
  <c r="AM29" i="4" a="1"/>
  <c r="AM29" i="4" s="1"/>
  <c r="AB2" i="4"/>
  <c r="AM25" i="4" a="1"/>
  <c r="AM25" i="4" s="1"/>
  <c r="AL27" i="4"/>
  <c r="AL24" i="4"/>
  <c r="AM27" i="4" a="1"/>
  <c r="AM27" i="4" s="1"/>
  <c r="AL23" i="4"/>
  <c r="AM26" i="4" a="1"/>
  <c r="AM26" i="4" s="1"/>
  <c r="AM24" i="4" a="1"/>
  <c r="AM24" i="4" s="1"/>
  <c r="AL26" i="4"/>
  <c r="AM23" i="4" a="1"/>
  <c r="AM23" i="4" s="1"/>
  <c r="AL28" i="4"/>
  <c r="AL25" i="4"/>
  <c r="AM28" i="4" a="1"/>
  <c r="AM28" i="4" s="1"/>
  <c r="AE24" i="4" a="1"/>
  <c r="AE24" i="4" s="1"/>
  <c r="AE26" i="4" a="1"/>
  <c r="AE26" i="4" s="1"/>
  <c r="AE23" i="4" a="1"/>
  <c r="AE23" i="4" s="1"/>
  <c r="AE25" i="4" a="1"/>
  <c r="AE25" i="4" s="1"/>
  <c r="AM8" i="4" a="1"/>
  <c r="AM8" i="4" s="1"/>
  <c r="AL13" i="4"/>
  <c r="AM16" i="4" a="1"/>
  <c r="AM16" i="4" s="1"/>
  <c r="AL21" i="4"/>
  <c r="AL10" i="4"/>
  <c r="AM13" i="4" a="1"/>
  <c r="AM13" i="4" s="1"/>
  <c r="AL18" i="4"/>
  <c r="AM21" i="4" a="1"/>
  <c r="AM21" i="4" s="1"/>
  <c r="AM10" i="4" a="1"/>
  <c r="AM10" i="4" s="1"/>
  <c r="AL15" i="4"/>
  <c r="AM18" i="4" a="1"/>
  <c r="AM18" i="4" s="1"/>
  <c r="AL12" i="4"/>
  <c r="AM15" i="4" a="1"/>
  <c r="AM15" i="4" s="1"/>
  <c r="AL20" i="4"/>
  <c r="AL9" i="4"/>
  <c r="AM12" i="4" a="1"/>
  <c r="AM12" i="4" s="1"/>
  <c r="AL17" i="4"/>
  <c r="AM20" i="4" a="1"/>
  <c r="AM20" i="4" s="1"/>
  <c r="AM9" i="4" a="1"/>
  <c r="AM9" i="4" s="1"/>
  <c r="AL14" i="4"/>
  <c r="AM17" i="4" a="1"/>
  <c r="AM17" i="4" s="1"/>
  <c r="AL22" i="4"/>
  <c r="AL11" i="4"/>
  <c r="AM14" i="4" a="1"/>
  <c r="AM14" i="4" s="1"/>
  <c r="AL19" i="4"/>
  <c r="AM22" i="4" a="1"/>
  <c r="AM22" i="4" s="1"/>
  <c r="AL8" i="4"/>
  <c r="AM11" i="4" a="1"/>
  <c r="AM11" i="4" s="1"/>
  <c r="AL16" i="4"/>
  <c r="AM19" i="4" a="1"/>
  <c r="AM19" i="4" s="1"/>
  <c r="AE10" i="4" a="1"/>
  <c r="AE10" i="4" s="1"/>
  <c r="AE18" i="4" a="1"/>
  <c r="AE18" i="4" s="1"/>
  <c r="AE15" i="4" a="1"/>
  <c r="AE15" i="4" s="1"/>
  <c r="AE12" i="4" a="1"/>
  <c r="AE12" i="4" s="1"/>
  <c r="AE20" i="4" a="1"/>
  <c r="AE20" i="4" s="1"/>
  <c r="AE9" i="4" a="1"/>
  <c r="AE9" i="4" s="1"/>
  <c r="AE17" i="4" a="1"/>
  <c r="AE17" i="4" s="1"/>
  <c r="AE14" i="4" a="1"/>
  <c r="AE14" i="4" s="1"/>
  <c r="AE22" i="4" a="1"/>
  <c r="AE22" i="4" s="1"/>
  <c r="AE11" i="4" a="1"/>
  <c r="AE11" i="4" s="1"/>
  <c r="AE19" i="4" a="1"/>
  <c r="AE19" i="4" s="1"/>
  <c r="AE8" i="4" a="1"/>
  <c r="AE8" i="4" s="1"/>
  <c r="AE16" i="4" a="1"/>
  <c r="AE16" i="4" s="1"/>
  <c r="AE13" i="4" a="1"/>
  <c r="AE13" i="4" s="1"/>
  <c r="AE21" i="4" a="1"/>
  <c r="AE21" i="4" s="1"/>
  <c r="AM5" i="4" a="1"/>
  <c r="AM5" i="4" s="1"/>
  <c r="AL7" i="4"/>
  <c r="AL4" i="4"/>
  <c r="AM7" i="4" a="1"/>
  <c r="AM7" i="4" s="1"/>
  <c r="AM4" i="4" a="1"/>
  <c r="AM4" i="4" s="1"/>
  <c r="AL6" i="4"/>
  <c r="AL3" i="4"/>
  <c r="AM6" i="4" a="1"/>
  <c r="AM6" i="4" s="1"/>
  <c r="AM3" i="4" a="1"/>
  <c r="AM3" i="4" s="1"/>
  <c r="AL5" i="4"/>
  <c r="AE2" i="4" a="1"/>
  <c r="AE2" i="4" s="1"/>
  <c r="AE7" i="4" a="1"/>
  <c r="AE7" i="4" s="1"/>
  <c r="AE4" i="4" a="1"/>
  <c r="AE4" i="4" s="1"/>
  <c r="AE6" i="4" a="1"/>
  <c r="AE6" i="4" s="1"/>
  <c r="AE5" i="4" a="1"/>
  <c r="AE5" i="4" s="1"/>
  <c r="N104" i="3"/>
  <c r="N88" i="3"/>
  <c r="N80" i="3"/>
  <c r="N148" i="3"/>
  <c r="N75" i="3"/>
  <c r="N87" i="3"/>
  <c r="N83" i="3"/>
  <c r="N78" i="3"/>
  <c r="N86" i="3"/>
  <c r="N81" i="3"/>
  <c r="N82" i="3"/>
  <c r="N74" i="3"/>
  <c r="N89" i="3"/>
  <c r="N113" i="3"/>
  <c r="N108" i="3"/>
  <c r="N124" i="3"/>
  <c r="N126" i="3"/>
  <c r="N128" i="3"/>
  <c r="N132" i="3"/>
  <c r="N140" i="3"/>
  <c r="N142" i="3"/>
  <c r="N144" i="3"/>
  <c r="N36" i="3"/>
  <c r="N18" i="3"/>
  <c r="N6" i="3"/>
  <c r="N2" i="3"/>
  <c r="N12" i="3"/>
  <c r="N8" i="3"/>
  <c r="N3" i="3"/>
  <c r="N19" i="3"/>
  <c r="N11" i="3"/>
  <c r="N7" i="3"/>
  <c r="N16" i="3"/>
  <c r="N15" i="3"/>
  <c r="N5" i="3"/>
  <c r="N17" i="3"/>
  <c r="N14" i="3"/>
  <c r="N9" i="3"/>
  <c r="N13" i="3"/>
  <c r="N10" i="3"/>
  <c r="N4" i="3"/>
  <c r="N27" i="3"/>
  <c r="N35" i="3"/>
  <c r="N22" i="3"/>
  <c r="N20" i="3"/>
  <c r="N90" i="3"/>
  <c r="N92" i="3"/>
  <c r="N94" i="3"/>
  <c r="N96" i="3"/>
  <c r="N21" i="3"/>
  <c r="N44" i="3"/>
  <c r="N70" i="3"/>
  <c r="N110" i="3"/>
  <c r="N156" i="3"/>
  <c r="N160" i="3"/>
  <c r="N34" i="3"/>
  <c r="N28" i="3"/>
  <c r="N105" i="3"/>
  <c r="N107" i="3"/>
  <c r="N123" i="3"/>
  <c r="N135" i="3"/>
  <c r="N141" i="3"/>
  <c r="N149" i="3"/>
  <c r="N153" i="3"/>
  <c r="N163" i="3"/>
  <c r="N167" i="3"/>
  <c r="N171" i="3"/>
  <c r="N173" i="3"/>
  <c r="N129" i="3"/>
  <c r="N23" i="3"/>
  <c r="N43" i="3"/>
  <c r="N47" i="3"/>
  <c r="N49" i="3"/>
  <c r="N51" i="3"/>
  <c r="N55" i="3"/>
  <c r="N59" i="3"/>
  <c r="N63" i="3"/>
  <c r="N67" i="3"/>
  <c r="N69" i="3"/>
  <c r="N116" i="3"/>
  <c r="N118" i="3"/>
  <c r="N120" i="3"/>
  <c r="N155" i="3"/>
  <c r="N26" i="3"/>
  <c r="N93" i="3"/>
  <c r="N97" i="3"/>
  <c r="N101" i="3"/>
  <c r="N134" i="3"/>
  <c r="N41" i="3"/>
  <c r="N39" i="3"/>
  <c r="N50" i="3"/>
  <c r="N52" i="3"/>
  <c r="N56" i="3"/>
  <c r="N60" i="3"/>
  <c r="N62" i="3"/>
  <c r="N64" i="3"/>
  <c r="N68" i="3"/>
  <c r="N115" i="3"/>
  <c r="N119" i="3"/>
  <c r="N150" i="3"/>
  <c r="N158" i="3"/>
  <c r="N172" i="3"/>
  <c r="N32" i="3"/>
  <c r="N37" i="3"/>
  <c r="N40" i="3"/>
  <c r="N38" i="3"/>
  <c r="N31" i="3"/>
  <c r="N25" i="3"/>
  <c r="N29" i="3"/>
  <c r="N30" i="3"/>
  <c r="N24" i="3"/>
  <c r="N33" i="3"/>
  <c r="N169" i="3"/>
  <c r="N54" i="3"/>
  <c r="N71" i="3"/>
  <c r="N73" i="3"/>
  <c r="N109" i="3"/>
  <c r="N137" i="3"/>
  <c r="N139" i="3"/>
  <c r="N145" i="3"/>
  <c r="N147" i="3"/>
  <c r="N100" i="3"/>
  <c r="N102" i="3"/>
  <c r="N164" i="3"/>
  <c r="N166" i="3"/>
  <c r="N168" i="3"/>
  <c r="N170" i="3"/>
  <c r="N65" i="3"/>
  <c r="N84" i="3"/>
  <c r="N91" i="3"/>
  <c r="N95" i="3"/>
  <c r="N112" i="3"/>
  <c r="N121" i="3"/>
  <c r="N136" i="3"/>
  <c r="N159" i="3"/>
  <c r="N99" i="3"/>
  <c r="N42" i="3"/>
  <c r="N46" i="3"/>
  <c r="N57" i="3"/>
  <c r="N72" i="3"/>
  <c r="N76" i="3"/>
  <c r="N114" i="3"/>
  <c r="N127" i="3"/>
  <c r="N131" i="3"/>
  <c r="N152" i="3"/>
  <c r="N161" i="3"/>
  <c r="N48" i="3"/>
  <c r="N133" i="3"/>
  <c r="N154" i="3"/>
  <c r="N45" i="3"/>
  <c r="N66" i="3"/>
  <c r="N85" i="3"/>
  <c r="N111" i="3"/>
  <c r="N130" i="3"/>
  <c r="N151" i="3"/>
  <c r="N61" i="3"/>
  <c r="N106" i="3"/>
  <c r="N125" i="3"/>
  <c r="N146" i="3"/>
  <c r="N165" i="3"/>
  <c r="N58" i="3"/>
  <c r="N77" i="3"/>
  <c r="N103" i="3"/>
  <c r="N122" i="3"/>
  <c r="N143" i="3"/>
  <c r="N162" i="3"/>
  <c r="N53" i="3"/>
  <c r="N79" i="3"/>
  <c r="N98" i="3"/>
  <c r="N117" i="3"/>
  <c r="N138" i="3"/>
  <c r="N157" i="3"/>
  <c r="S2" i="3" l="1" a="1"/>
  <c r="U2" i="3"/>
  <c r="AP35" i="4"/>
  <c r="AP43" i="4"/>
  <c r="AP51" i="4"/>
  <c r="AP59" i="4"/>
  <c r="AP67" i="4"/>
  <c r="AP75" i="4"/>
  <c r="AP83" i="4"/>
  <c r="AP91" i="4"/>
  <c r="AP99" i="4"/>
  <c r="AP107" i="4"/>
  <c r="AP115" i="4"/>
  <c r="AP123" i="4"/>
  <c r="AP131" i="4"/>
  <c r="AP139" i="4"/>
  <c r="AP147" i="4"/>
  <c r="AP155" i="4"/>
  <c r="AP163" i="4"/>
  <c r="AP171" i="4"/>
  <c r="AP179" i="4"/>
  <c r="AP187" i="4"/>
  <c r="AP195" i="4"/>
  <c r="AP203" i="4"/>
  <c r="AP211" i="4"/>
  <c r="AP219" i="4"/>
  <c r="AP227" i="4"/>
  <c r="AP235" i="4"/>
  <c r="AP243" i="4"/>
  <c r="AP251" i="4"/>
  <c r="AP259" i="4"/>
  <c r="AP267" i="4"/>
  <c r="AP275" i="4"/>
  <c r="AP283" i="4"/>
  <c r="AP291" i="4"/>
  <c r="AP299" i="4"/>
  <c r="AP307" i="4"/>
  <c r="AP315" i="4"/>
  <c r="AP323" i="4"/>
  <c r="AP331" i="4"/>
  <c r="AP339" i="4"/>
  <c r="AP347" i="4"/>
  <c r="AP355" i="4"/>
  <c r="AP363" i="4"/>
  <c r="AP371" i="4"/>
  <c r="AP379" i="4"/>
  <c r="AP387" i="4"/>
  <c r="AP395" i="4"/>
  <c r="AP403" i="4"/>
  <c r="AP411" i="4"/>
  <c r="AP419" i="4"/>
  <c r="AP427" i="4"/>
  <c r="AP435" i="4"/>
  <c r="AP443" i="4"/>
  <c r="AP451" i="4"/>
  <c r="AP459" i="4"/>
  <c r="AP467" i="4"/>
  <c r="AP475" i="4"/>
  <c r="AP483" i="4"/>
  <c r="AP491" i="4"/>
  <c r="AP499" i="4"/>
  <c r="AP507" i="4"/>
  <c r="AP515" i="4"/>
  <c r="AP523" i="4"/>
  <c r="AP531" i="4"/>
  <c r="AP539" i="4"/>
  <c r="AP547" i="4"/>
  <c r="AP555" i="4"/>
  <c r="AP563" i="4"/>
  <c r="AP571" i="4"/>
  <c r="AP579" i="4"/>
  <c r="AP587" i="4"/>
  <c r="AP595" i="4"/>
  <c r="AP603" i="4"/>
  <c r="AP611" i="4"/>
  <c r="AP619" i="4"/>
  <c r="AP627" i="4"/>
  <c r="AP635" i="4"/>
  <c r="AP643" i="4"/>
  <c r="AP651" i="4"/>
  <c r="AP659" i="4"/>
  <c r="AP667" i="4"/>
  <c r="AP675" i="4"/>
  <c r="AP683" i="4"/>
  <c r="AP691" i="4"/>
  <c r="AP28" i="4"/>
  <c r="AP36" i="4"/>
  <c r="AP44" i="4"/>
  <c r="AP52" i="4"/>
  <c r="AP60" i="4"/>
  <c r="AP68" i="4"/>
  <c r="AP76" i="4"/>
  <c r="AP84" i="4"/>
  <c r="AP92" i="4"/>
  <c r="AP100" i="4"/>
  <c r="AP108" i="4"/>
  <c r="AP116" i="4"/>
  <c r="AP124" i="4"/>
  <c r="AP132" i="4"/>
  <c r="AP140" i="4"/>
  <c r="AP148" i="4"/>
  <c r="AP156" i="4"/>
  <c r="AP164" i="4"/>
  <c r="AP172" i="4"/>
  <c r="AP180" i="4"/>
  <c r="AP188" i="4"/>
  <c r="AP196" i="4"/>
  <c r="AP204" i="4"/>
  <c r="AP212" i="4"/>
  <c r="AP220" i="4"/>
  <c r="AP228" i="4"/>
  <c r="AP236" i="4"/>
  <c r="AP244" i="4"/>
  <c r="AP252" i="4"/>
  <c r="AP260" i="4"/>
  <c r="AP268" i="4"/>
  <c r="AP276" i="4"/>
  <c r="AP284" i="4"/>
  <c r="AP292" i="4"/>
  <c r="AP300" i="4"/>
  <c r="AP308" i="4"/>
  <c r="AP316" i="4"/>
  <c r="AP324" i="4"/>
  <c r="AP332" i="4"/>
  <c r="AP340" i="4"/>
  <c r="AP348" i="4"/>
  <c r="AP356" i="4"/>
  <c r="AP364" i="4"/>
  <c r="AP372" i="4"/>
  <c r="AP380" i="4"/>
  <c r="AP388" i="4"/>
  <c r="AP396" i="4"/>
  <c r="AP404" i="4"/>
  <c r="AP412" i="4"/>
  <c r="AP420" i="4"/>
  <c r="AP428" i="4"/>
  <c r="AP436" i="4"/>
  <c r="AP444" i="4"/>
  <c r="AP452" i="4"/>
  <c r="AP460" i="4"/>
  <c r="AP468" i="4"/>
  <c r="AP476" i="4"/>
  <c r="AP484" i="4"/>
  <c r="AP492" i="4"/>
  <c r="AP500" i="4"/>
  <c r="AP508" i="4"/>
  <c r="AP516" i="4"/>
  <c r="AP524" i="4"/>
  <c r="AP532" i="4"/>
  <c r="AP540" i="4"/>
  <c r="AP548" i="4"/>
  <c r="AP556" i="4"/>
  <c r="AP564" i="4"/>
  <c r="AP572" i="4"/>
  <c r="AP580" i="4"/>
  <c r="AP588" i="4"/>
  <c r="AP596" i="4"/>
  <c r="AP604" i="4"/>
  <c r="AP612" i="4"/>
  <c r="AP620" i="4"/>
  <c r="AP628" i="4"/>
  <c r="AP636" i="4"/>
  <c r="AP644" i="4"/>
  <c r="AP652" i="4"/>
  <c r="AP660" i="4"/>
  <c r="AP668" i="4"/>
  <c r="AP29" i="4"/>
  <c r="AP37" i="4"/>
  <c r="AP45" i="4"/>
  <c r="AP53" i="4"/>
  <c r="AP61" i="4"/>
  <c r="AP69" i="4"/>
  <c r="AP77" i="4"/>
  <c r="AP85" i="4"/>
  <c r="AP93" i="4"/>
  <c r="AP101" i="4"/>
  <c r="AP109" i="4"/>
  <c r="AP117" i="4"/>
  <c r="AP125" i="4"/>
  <c r="AP133" i="4"/>
  <c r="AP141" i="4"/>
  <c r="AP149" i="4"/>
  <c r="AP157" i="4"/>
  <c r="AP165" i="4"/>
  <c r="AP173" i="4"/>
  <c r="AP181" i="4"/>
  <c r="AP189" i="4"/>
  <c r="AP197" i="4"/>
  <c r="AP205" i="4"/>
  <c r="AP213" i="4"/>
  <c r="AP221" i="4"/>
  <c r="AP229" i="4"/>
  <c r="AP237" i="4"/>
  <c r="AP245" i="4"/>
  <c r="AP253" i="4"/>
  <c r="AP261" i="4"/>
  <c r="AP269" i="4"/>
  <c r="AP277" i="4"/>
  <c r="AP285" i="4"/>
  <c r="AP293" i="4"/>
  <c r="AP301" i="4"/>
  <c r="AP309" i="4"/>
  <c r="AP317" i="4"/>
  <c r="AP325" i="4"/>
  <c r="AP333" i="4"/>
  <c r="AP341" i="4"/>
  <c r="AP349" i="4"/>
  <c r="AP357" i="4"/>
  <c r="AP365" i="4"/>
  <c r="AP373" i="4"/>
  <c r="AP381" i="4"/>
  <c r="AP389" i="4"/>
  <c r="AP397" i="4"/>
  <c r="AP405" i="4"/>
  <c r="AP413" i="4"/>
  <c r="AP421" i="4"/>
  <c r="AP429" i="4"/>
  <c r="AP437" i="4"/>
  <c r="AP445" i="4"/>
  <c r="AP453" i="4"/>
  <c r="AP461" i="4"/>
  <c r="AP469" i="4"/>
  <c r="AP477" i="4"/>
  <c r="AP485" i="4"/>
  <c r="AP493" i="4"/>
  <c r="AP501" i="4"/>
  <c r="AP509" i="4"/>
  <c r="AP517" i="4"/>
  <c r="AP525" i="4"/>
  <c r="AP533" i="4"/>
  <c r="AP541" i="4"/>
  <c r="AP549" i="4"/>
  <c r="AP557" i="4"/>
  <c r="AP565" i="4"/>
  <c r="AP573" i="4"/>
  <c r="AP581" i="4"/>
  <c r="AP589" i="4"/>
  <c r="AP597" i="4"/>
  <c r="AP605" i="4"/>
  <c r="AP613" i="4"/>
  <c r="AP621" i="4"/>
  <c r="AP629" i="4"/>
  <c r="AP637" i="4"/>
  <c r="AP645" i="4"/>
  <c r="AP653" i="4"/>
  <c r="AP661" i="4"/>
  <c r="AP669" i="4"/>
  <c r="AP677" i="4"/>
  <c r="AP685" i="4"/>
  <c r="AP30" i="4"/>
  <c r="AP38" i="4"/>
  <c r="AP46" i="4"/>
  <c r="AP54" i="4"/>
  <c r="AP62" i="4"/>
  <c r="AP70" i="4"/>
  <c r="AP78" i="4"/>
  <c r="AP86" i="4"/>
  <c r="AP94" i="4"/>
  <c r="AP102" i="4"/>
  <c r="AP110" i="4"/>
  <c r="AP118" i="4"/>
  <c r="AP126" i="4"/>
  <c r="AP134" i="4"/>
  <c r="AP142" i="4"/>
  <c r="AP150" i="4"/>
  <c r="AP158" i="4"/>
  <c r="AP166" i="4"/>
  <c r="AP174" i="4"/>
  <c r="AP182" i="4"/>
  <c r="AP190" i="4"/>
  <c r="AP198" i="4"/>
  <c r="AP206" i="4"/>
  <c r="AP214" i="4"/>
  <c r="AP222" i="4"/>
  <c r="AP230" i="4"/>
  <c r="AP238" i="4"/>
  <c r="AP246" i="4"/>
  <c r="AP254" i="4"/>
  <c r="AP262" i="4"/>
  <c r="AP270" i="4"/>
  <c r="AP278" i="4"/>
  <c r="AP286" i="4"/>
  <c r="AP294" i="4"/>
  <c r="AP302" i="4"/>
  <c r="AP310" i="4"/>
  <c r="AP318" i="4"/>
  <c r="AP326" i="4"/>
  <c r="AP334" i="4"/>
  <c r="AP342" i="4"/>
  <c r="AP350" i="4"/>
  <c r="AP358" i="4"/>
  <c r="AP366" i="4"/>
  <c r="AP374" i="4"/>
  <c r="AP382" i="4"/>
  <c r="AP390" i="4"/>
  <c r="AP398" i="4"/>
  <c r="AP406" i="4"/>
  <c r="AP414" i="4"/>
  <c r="AP422" i="4"/>
  <c r="AP430" i="4"/>
  <c r="AP438" i="4"/>
  <c r="AP446" i="4"/>
  <c r="AP454" i="4"/>
  <c r="AP462" i="4"/>
  <c r="AP470" i="4"/>
  <c r="AP478" i="4"/>
  <c r="AP486" i="4"/>
  <c r="AP494" i="4"/>
  <c r="AP502" i="4"/>
  <c r="AP510" i="4"/>
  <c r="AP518" i="4"/>
  <c r="AP526" i="4"/>
  <c r="AP534" i="4"/>
  <c r="AP542" i="4"/>
  <c r="AP550" i="4"/>
  <c r="AP558" i="4"/>
  <c r="AP566" i="4"/>
  <c r="AP574" i="4"/>
  <c r="AP582" i="4"/>
  <c r="AP590" i="4"/>
  <c r="AP598" i="4"/>
  <c r="AP606" i="4"/>
  <c r="AP614" i="4"/>
  <c r="AP622" i="4"/>
  <c r="AP630" i="4"/>
  <c r="AP638" i="4"/>
  <c r="AP646" i="4"/>
  <c r="AP654" i="4"/>
  <c r="AP662" i="4"/>
  <c r="AP670" i="4"/>
  <c r="AP678" i="4"/>
  <c r="AP686" i="4"/>
  <c r="AP694" i="4"/>
  <c r="AP32" i="4"/>
  <c r="AP40" i="4"/>
  <c r="AP48" i="4"/>
  <c r="AP56" i="4"/>
  <c r="AP64" i="4"/>
  <c r="AP72" i="4"/>
  <c r="AP80" i="4"/>
  <c r="AP88" i="4"/>
  <c r="AP96" i="4"/>
  <c r="AP104" i="4"/>
  <c r="AP112" i="4"/>
  <c r="AP120" i="4"/>
  <c r="AP128" i="4"/>
  <c r="AP136" i="4"/>
  <c r="AP144" i="4"/>
  <c r="AP152" i="4"/>
  <c r="AP160" i="4"/>
  <c r="AP168" i="4"/>
  <c r="AP176" i="4"/>
  <c r="AP184" i="4"/>
  <c r="AP192" i="4"/>
  <c r="AP200" i="4"/>
  <c r="AP208" i="4"/>
  <c r="AP216" i="4"/>
  <c r="AP224" i="4"/>
  <c r="AP232" i="4"/>
  <c r="AP240" i="4"/>
  <c r="AP248" i="4"/>
  <c r="AP256" i="4"/>
  <c r="AP264" i="4"/>
  <c r="AP272" i="4"/>
  <c r="AP280" i="4"/>
  <c r="AP288" i="4"/>
  <c r="AP296" i="4"/>
  <c r="AP304" i="4"/>
  <c r="AP312" i="4"/>
  <c r="AP320" i="4"/>
  <c r="AP328" i="4"/>
  <c r="AP336" i="4"/>
  <c r="AP344" i="4"/>
  <c r="AP352" i="4"/>
  <c r="AP360" i="4"/>
  <c r="AP368" i="4"/>
  <c r="AP376" i="4"/>
  <c r="AP384" i="4"/>
  <c r="AP392" i="4"/>
  <c r="AP400" i="4"/>
  <c r="AP408" i="4"/>
  <c r="AP416" i="4"/>
  <c r="AP424" i="4"/>
  <c r="AP432" i="4"/>
  <c r="AP440" i="4"/>
  <c r="AP448" i="4"/>
  <c r="AP456" i="4"/>
  <c r="AP464" i="4"/>
  <c r="AP472" i="4"/>
  <c r="AP480" i="4"/>
  <c r="AP488" i="4"/>
  <c r="AP496" i="4"/>
  <c r="AP504" i="4"/>
  <c r="AP512" i="4"/>
  <c r="AP520" i="4"/>
  <c r="AP528" i="4"/>
  <c r="AP536" i="4"/>
  <c r="AP544" i="4"/>
  <c r="AP552" i="4"/>
  <c r="AP560" i="4"/>
  <c r="AP568" i="4"/>
  <c r="AP576" i="4"/>
  <c r="AP584" i="4"/>
  <c r="AP592" i="4"/>
  <c r="AP600" i="4"/>
  <c r="AP608" i="4"/>
  <c r="AP616" i="4"/>
  <c r="AP624" i="4"/>
  <c r="AP632" i="4"/>
  <c r="AP640" i="4"/>
  <c r="AP648" i="4"/>
  <c r="AP656" i="4"/>
  <c r="AP664" i="4"/>
  <c r="AP672" i="4"/>
  <c r="AP680" i="4"/>
  <c r="AP688" i="4"/>
  <c r="AP696" i="4"/>
  <c r="AP704" i="4"/>
  <c r="AP33" i="4"/>
  <c r="AP41" i="4"/>
  <c r="AP49" i="4"/>
  <c r="AP57" i="4"/>
  <c r="AP65" i="4"/>
  <c r="AP73" i="4"/>
  <c r="AP81" i="4"/>
  <c r="AP89" i="4"/>
  <c r="AP97" i="4"/>
  <c r="AP105" i="4"/>
  <c r="AP113" i="4"/>
  <c r="AP121" i="4"/>
  <c r="AP129" i="4"/>
  <c r="AP137" i="4"/>
  <c r="AP145" i="4"/>
  <c r="AP153" i="4"/>
  <c r="AP161" i="4"/>
  <c r="AP169" i="4"/>
  <c r="AP177" i="4"/>
  <c r="AP185" i="4"/>
  <c r="AP193" i="4"/>
  <c r="AP201" i="4"/>
  <c r="AP209" i="4"/>
  <c r="AP217" i="4"/>
  <c r="AP225" i="4"/>
  <c r="AP233" i="4"/>
  <c r="AP241" i="4"/>
  <c r="AP249" i="4"/>
  <c r="AP257" i="4"/>
  <c r="AP265" i="4"/>
  <c r="AP273" i="4"/>
  <c r="AP281" i="4"/>
  <c r="AP289" i="4"/>
  <c r="AP297" i="4"/>
  <c r="AP305" i="4"/>
  <c r="AP313" i="4"/>
  <c r="AP321" i="4"/>
  <c r="AP329" i="4"/>
  <c r="AP337" i="4"/>
  <c r="AP345" i="4"/>
  <c r="AP353" i="4"/>
  <c r="AP361" i="4"/>
  <c r="AP369" i="4"/>
  <c r="AP377" i="4"/>
  <c r="AP385" i="4"/>
  <c r="AP393" i="4"/>
  <c r="AP401" i="4"/>
  <c r="AP409" i="4"/>
  <c r="AP417" i="4"/>
  <c r="AP425" i="4"/>
  <c r="AP433" i="4"/>
  <c r="AP441" i="4"/>
  <c r="AP449" i="4"/>
  <c r="AP457" i="4"/>
  <c r="AP465" i="4"/>
  <c r="AP473" i="4"/>
  <c r="AP481" i="4"/>
  <c r="AP489" i="4"/>
  <c r="AP497" i="4"/>
  <c r="AP505" i="4"/>
  <c r="AP513" i="4"/>
  <c r="AP521" i="4"/>
  <c r="AP529" i="4"/>
  <c r="AP537" i="4"/>
  <c r="AP545" i="4"/>
  <c r="AP553" i="4"/>
  <c r="AP561" i="4"/>
  <c r="AP569" i="4"/>
  <c r="AP577" i="4"/>
  <c r="AP585" i="4"/>
  <c r="AP593" i="4"/>
  <c r="AP601" i="4"/>
  <c r="AP609" i="4"/>
  <c r="AP617" i="4"/>
  <c r="AP625" i="4"/>
  <c r="AP633" i="4"/>
  <c r="AP641" i="4"/>
  <c r="AP649" i="4"/>
  <c r="AP657" i="4"/>
  <c r="AP665" i="4"/>
  <c r="AP673" i="4"/>
  <c r="AP31" i="4"/>
  <c r="AP63" i="4"/>
  <c r="AP95" i="4"/>
  <c r="AP127" i="4"/>
  <c r="AP159" i="4"/>
  <c r="AP191" i="4"/>
  <c r="AP223" i="4"/>
  <c r="AP255" i="4"/>
  <c r="AP287" i="4"/>
  <c r="AP319" i="4"/>
  <c r="AP351" i="4"/>
  <c r="AP383" i="4"/>
  <c r="AP415" i="4"/>
  <c r="AP447" i="4"/>
  <c r="AP479" i="4"/>
  <c r="AP511" i="4"/>
  <c r="AP543" i="4"/>
  <c r="AP575" i="4"/>
  <c r="AP607" i="4"/>
  <c r="AP639" i="4"/>
  <c r="AP671" i="4"/>
  <c r="AP689" i="4"/>
  <c r="AP700" i="4"/>
  <c r="AP709" i="4"/>
  <c r="AP717" i="4"/>
  <c r="AP725" i="4"/>
  <c r="AP733" i="4"/>
  <c r="AP741" i="4"/>
  <c r="AP749" i="4"/>
  <c r="AP757" i="4"/>
  <c r="AP765" i="4"/>
  <c r="AP773" i="4"/>
  <c r="AP781" i="4"/>
  <c r="AP789" i="4"/>
  <c r="AP797" i="4"/>
  <c r="AP805" i="4"/>
  <c r="AP813" i="4"/>
  <c r="AP821" i="4"/>
  <c r="AP829" i="4"/>
  <c r="AP837" i="4"/>
  <c r="AP845" i="4"/>
  <c r="AP853" i="4"/>
  <c r="AP861" i="4"/>
  <c r="AP869" i="4"/>
  <c r="AP877" i="4"/>
  <c r="AP885" i="4"/>
  <c r="AP893" i="4"/>
  <c r="AP901" i="4"/>
  <c r="AP909" i="4"/>
  <c r="AP917" i="4"/>
  <c r="AP925" i="4"/>
  <c r="AP933" i="4"/>
  <c r="AP941" i="4"/>
  <c r="AP949" i="4"/>
  <c r="AP957" i="4"/>
  <c r="AP965" i="4"/>
  <c r="AP973" i="4"/>
  <c r="AP981" i="4"/>
  <c r="AP989" i="4"/>
  <c r="AP997" i="4"/>
  <c r="AP1005" i="4"/>
  <c r="AP1013" i="4"/>
  <c r="AP1021" i="4"/>
  <c r="AP1029" i="4"/>
  <c r="AP1037" i="4"/>
  <c r="AP1045" i="4"/>
  <c r="AP1053" i="4"/>
  <c r="AP1061" i="4"/>
  <c r="AP1069" i="4"/>
  <c r="AP1077" i="4"/>
  <c r="AP34" i="4"/>
  <c r="AP66" i="4"/>
  <c r="AP98" i="4"/>
  <c r="AP130" i="4"/>
  <c r="AP162" i="4"/>
  <c r="AP194" i="4"/>
  <c r="AP226" i="4"/>
  <c r="AP258" i="4"/>
  <c r="AP290" i="4"/>
  <c r="AP322" i="4"/>
  <c r="AP354" i="4"/>
  <c r="AP386" i="4"/>
  <c r="AP418" i="4"/>
  <c r="AP450" i="4"/>
  <c r="AP482" i="4"/>
  <c r="AP514" i="4"/>
  <c r="AP546" i="4"/>
  <c r="AP578" i="4"/>
  <c r="AP610" i="4"/>
  <c r="AP642" i="4"/>
  <c r="AP674" i="4"/>
  <c r="AP690" i="4"/>
  <c r="AP701" i="4"/>
  <c r="AP710" i="4"/>
  <c r="AP718" i="4"/>
  <c r="AP726" i="4"/>
  <c r="AP734" i="4"/>
  <c r="AP742" i="4"/>
  <c r="AP750" i="4"/>
  <c r="AP758" i="4"/>
  <c r="AP766" i="4"/>
  <c r="AP774" i="4"/>
  <c r="AP782" i="4"/>
  <c r="AP790" i="4"/>
  <c r="AP798" i="4"/>
  <c r="AP806" i="4"/>
  <c r="AP814" i="4"/>
  <c r="AP822" i="4"/>
  <c r="AP830" i="4"/>
  <c r="AP838" i="4"/>
  <c r="AP846" i="4"/>
  <c r="AP854" i="4"/>
  <c r="AP862" i="4"/>
  <c r="AP870" i="4"/>
  <c r="AP878" i="4"/>
  <c r="AP886" i="4"/>
  <c r="AP894" i="4"/>
  <c r="AP902" i="4"/>
  <c r="AP910" i="4"/>
  <c r="AP918" i="4"/>
  <c r="AP926" i="4"/>
  <c r="AP934" i="4"/>
  <c r="AP942" i="4"/>
  <c r="AP950" i="4"/>
  <c r="AP958" i="4"/>
  <c r="AP966" i="4"/>
  <c r="AP974" i="4"/>
  <c r="AP982" i="4"/>
  <c r="AP990" i="4"/>
  <c r="AP998" i="4"/>
  <c r="AP1006" i="4"/>
  <c r="AP1014" i="4"/>
  <c r="AP1022" i="4"/>
  <c r="AP1030" i="4"/>
  <c r="AP39" i="4"/>
  <c r="AP71" i="4"/>
  <c r="AP103" i="4"/>
  <c r="AP135" i="4"/>
  <c r="AP167" i="4"/>
  <c r="AP199" i="4"/>
  <c r="AP231" i="4"/>
  <c r="AP263" i="4"/>
  <c r="AP295" i="4"/>
  <c r="AP327" i="4"/>
  <c r="AP359" i="4"/>
  <c r="AP391" i="4"/>
  <c r="AP423" i="4"/>
  <c r="AP455" i="4"/>
  <c r="AP487" i="4"/>
  <c r="AP519" i="4"/>
  <c r="AP551" i="4"/>
  <c r="AP583" i="4"/>
  <c r="AP615" i="4"/>
  <c r="AP647" i="4"/>
  <c r="AP676" i="4"/>
  <c r="AP692" i="4"/>
  <c r="AP702" i="4"/>
  <c r="AP711" i="4"/>
  <c r="AP719" i="4"/>
  <c r="AP727" i="4"/>
  <c r="AP735" i="4"/>
  <c r="AP743" i="4"/>
  <c r="AP751" i="4"/>
  <c r="AP759" i="4"/>
  <c r="AP767" i="4"/>
  <c r="AP775" i="4"/>
  <c r="AP783" i="4"/>
  <c r="AP791" i="4"/>
  <c r="AP799" i="4"/>
  <c r="AP807" i="4"/>
  <c r="AP815" i="4"/>
  <c r="AP823" i="4"/>
  <c r="AP831" i="4"/>
  <c r="AP839" i="4"/>
  <c r="AP847" i="4"/>
  <c r="AP855" i="4"/>
  <c r="AP863" i="4"/>
  <c r="AP871" i="4"/>
  <c r="AP879" i="4"/>
  <c r="AP887" i="4"/>
  <c r="AP895" i="4"/>
  <c r="AP903" i="4"/>
  <c r="AP911" i="4"/>
  <c r="AP919" i="4"/>
  <c r="AP927" i="4"/>
  <c r="AP935" i="4"/>
  <c r="AP943" i="4"/>
  <c r="AP951" i="4"/>
  <c r="AP959" i="4"/>
  <c r="AP967" i="4"/>
  <c r="AP975" i="4"/>
  <c r="AP983" i="4"/>
  <c r="AP991" i="4"/>
  <c r="AP999" i="4"/>
  <c r="AP1007" i="4"/>
  <c r="AP1015" i="4"/>
  <c r="AP1023" i="4"/>
  <c r="AP1031" i="4"/>
  <c r="AP1039" i="4"/>
  <c r="AP1047" i="4"/>
  <c r="AP1055" i="4"/>
  <c r="AP1063" i="4"/>
  <c r="AP1071" i="4"/>
  <c r="AP1079" i="4"/>
  <c r="AP42" i="4"/>
  <c r="AP74" i="4"/>
  <c r="AP106" i="4"/>
  <c r="AP138" i="4"/>
  <c r="AP170" i="4"/>
  <c r="AP202" i="4"/>
  <c r="AP234" i="4"/>
  <c r="AP266" i="4"/>
  <c r="AP298" i="4"/>
  <c r="AP330" i="4"/>
  <c r="AP362" i="4"/>
  <c r="AP394" i="4"/>
  <c r="AP426" i="4"/>
  <c r="AP458" i="4"/>
  <c r="AP490" i="4"/>
  <c r="AP522" i="4"/>
  <c r="AP47" i="4"/>
  <c r="AP79" i="4"/>
  <c r="AP111" i="4"/>
  <c r="AP143" i="4"/>
  <c r="AP175" i="4"/>
  <c r="AP207" i="4"/>
  <c r="AP239" i="4"/>
  <c r="AP271" i="4"/>
  <c r="AP303" i="4"/>
  <c r="AP335" i="4"/>
  <c r="AP367" i="4"/>
  <c r="AP399" i="4"/>
  <c r="AP431" i="4"/>
  <c r="AP463" i="4"/>
  <c r="AP495" i="4"/>
  <c r="AP527" i="4"/>
  <c r="AP559" i="4"/>
  <c r="AP591" i="4"/>
  <c r="AP623" i="4"/>
  <c r="AP655" i="4"/>
  <c r="AP681" i="4"/>
  <c r="AP695" i="4"/>
  <c r="AP705" i="4"/>
  <c r="AP713" i="4"/>
  <c r="AP721" i="4"/>
  <c r="AP729" i="4"/>
  <c r="AP737" i="4"/>
  <c r="AP745" i="4"/>
  <c r="AP753" i="4"/>
  <c r="AP761" i="4"/>
  <c r="AP769" i="4"/>
  <c r="AP777" i="4"/>
  <c r="AP785" i="4"/>
  <c r="AP793" i="4"/>
  <c r="AP801" i="4"/>
  <c r="AP809" i="4"/>
  <c r="AP817" i="4"/>
  <c r="AP825" i="4"/>
  <c r="AP833" i="4"/>
  <c r="AP841" i="4"/>
  <c r="AP849" i="4"/>
  <c r="AP857" i="4"/>
  <c r="AP865" i="4"/>
  <c r="AP873" i="4"/>
  <c r="AP881" i="4"/>
  <c r="AP889" i="4"/>
  <c r="AP897" i="4"/>
  <c r="AP905" i="4"/>
  <c r="AP913" i="4"/>
  <c r="AP921" i="4"/>
  <c r="AP929" i="4"/>
  <c r="AP937" i="4"/>
  <c r="AP945" i="4"/>
  <c r="AP953" i="4"/>
  <c r="AP961" i="4"/>
  <c r="AP969" i="4"/>
  <c r="AP977" i="4"/>
  <c r="AP985" i="4"/>
  <c r="AP993" i="4"/>
  <c r="AP1001" i="4"/>
  <c r="AP1009" i="4"/>
  <c r="AP1017" i="4"/>
  <c r="AP1025" i="4"/>
  <c r="AP1033" i="4"/>
  <c r="AP1041" i="4"/>
  <c r="AP1049" i="4"/>
  <c r="AP1057" i="4"/>
  <c r="AP1065" i="4"/>
  <c r="AP1073" i="4"/>
  <c r="AP50" i="4"/>
  <c r="AP82" i="4"/>
  <c r="AP114" i="4"/>
  <c r="AP146" i="4"/>
  <c r="AP178" i="4"/>
  <c r="AP210" i="4"/>
  <c r="AP242" i="4"/>
  <c r="AP274" i="4"/>
  <c r="AP306" i="4"/>
  <c r="AP338" i="4"/>
  <c r="AP370" i="4"/>
  <c r="AP402" i="4"/>
  <c r="AP434" i="4"/>
  <c r="AP466" i="4"/>
  <c r="AP498" i="4"/>
  <c r="AP530" i="4"/>
  <c r="AP562" i="4"/>
  <c r="AP594" i="4"/>
  <c r="AP626" i="4"/>
  <c r="AP658" i="4"/>
  <c r="AP682" i="4"/>
  <c r="AP697" i="4"/>
  <c r="AP706" i="4"/>
  <c r="AP714" i="4"/>
  <c r="AP722" i="4"/>
  <c r="AP730" i="4"/>
  <c r="AP738" i="4"/>
  <c r="AP746" i="4"/>
  <c r="AP754" i="4"/>
  <c r="AP762" i="4"/>
  <c r="AP770" i="4"/>
  <c r="AP778" i="4"/>
  <c r="AP786" i="4"/>
  <c r="AP794" i="4"/>
  <c r="AP802" i="4"/>
  <c r="AP810" i="4"/>
  <c r="AP818" i="4"/>
  <c r="AP826" i="4"/>
  <c r="AP834" i="4"/>
  <c r="AP842" i="4"/>
  <c r="AP850" i="4"/>
  <c r="AP858" i="4"/>
  <c r="AP866" i="4"/>
  <c r="AP874" i="4"/>
  <c r="AP882" i="4"/>
  <c r="AP890" i="4"/>
  <c r="AP898" i="4"/>
  <c r="AP906" i="4"/>
  <c r="AP914" i="4"/>
  <c r="AP922" i="4"/>
  <c r="AP930" i="4"/>
  <c r="AP938" i="4"/>
  <c r="AP946" i="4"/>
  <c r="AP954" i="4"/>
  <c r="AP962" i="4"/>
  <c r="AP970" i="4"/>
  <c r="AP978" i="4"/>
  <c r="AP986" i="4"/>
  <c r="AP994" i="4"/>
  <c r="AP1002" i="4"/>
  <c r="AP1010" i="4"/>
  <c r="AP1018" i="4"/>
  <c r="AP1026" i="4"/>
  <c r="AP1034" i="4"/>
  <c r="AP1042" i="4"/>
  <c r="AP1050" i="4"/>
  <c r="AP1058" i="4"/>
  <c r="AP1066" i="4"/>
  <c r="AP1074" i="4"/>
  <c r="AP58" i="4"/>
  <c r="AP90" i="4"/>
  <c r="AP122" i="4"/>
  <c r="AP154" i="4"/>
  <c r="AP186" i="4"/>
  <c r="AP218" i="4"/>
  <c r="AP250" i="4"/>
  <c r="AP282" i="4"/>
  <c r="AP314" i="4"/>
  <c r="AP346" i="4"/>
  <c r="AP378" i="4"/>
  <c r="AP410" i="4"/>
  <c r="AP442" i="4"/>
  <c r="AP474" i="4"/>
  <c r="AP506" i="4"/>
  <c r="AP538" i="4"/>
  <c r="AP570" i="4"/>
  <c r="AP602" i="4"/>
  <c r="AP634" i="4"/>
  <c r="AP666" i="4"/>
  <c r="AP687" i="4"/>
  <c r="AP699" i="4"/>
  <c r="AP708" i="4"/>
  <c r="AP716" i="4"/>
  <c r="AP724" i="4"/>
  <c r="AP732" i="4"/>
  <c r="AP740" i="4"/>
  <c r="AP748" i="4"/>
  <c r="AP756" i="4"/>
  <c r="AP764" i="4"/>
  <c r="AP772" i="4"/>
  <c r="AP780" i="4"/>
  <c r="AP788" i="4"/>
  <c r="AP796" i="4"/>
  <c r="AP804" i="4"/>
  <c r="AP812" i="4"/>
  <c r="AP820" i="4"/>
  <c r="AP828" i="4"/>
  <c r="AP836" i="4"/>
  <c r="AP844" i="4"/>
  <c r="AP852" i="4"/>
  <c r="AP860" i="4"/>
  <c r="AP868" i="4"/>
  <c r="AP876" i="4"/>
  <c r="AP884" i="4"/>
  <c r="AP892" i="4"/>
  <c r="AP900" i="4"/>
  <c r="AP908" i="4"/>
  <c r="AP916" i="4"/>
  <c r="AP924" i="4"/>
  <c r="AP932" i="4"/>
  <c r="AP940" i="4"/>
  <c r="AP948" i="4"/>
  <c r="AP956" i="4"/>
  <c r="AP964" i="4"/>
  <c r="AP972" i="4"/>
  <c r="AP980" i="4"/>
  <c r="AP988" i="4"/>
  <c r="AP996" i="4"/>
  <c r="AP1004" i="4"/>
  <c r="AP1012" i="4"/>
  <c r="AP1020" i="4"/>
  <c r="AP1028" i="4"/>
  <c r="AP1036" i="4"/>
  <c r="AP1044" i="4"/>
  <c r="AP1052" i="4"/>
  <c r="AP1060" i="4"/>
  <c r="AP1068" i="4"/>
  <c r="AP1076" i="4"/>
  <c r="AP55" i="4"/>
  <c r="AP311" i="4"/>
  <c r="AP554" i="4"/>
  <c r="AP679" i="4"/>
  <c r="AP720" i="4"/>
  <c r="AP752" i="4"/>
  <c r="AP784" i="4"/>
  <c r="AP816" i="4"/>
  <c r="AP848" i="4"/>
  <c r="AP880" i="4"/>
  <c r="AP912" i="4"/>
  <c r="AP944" i="4"/>
  <c r="AP976" i="4"/>
  <c r="AP1008" i="4"/>
  <c r="AP1038" i="4"/>
  <c r="AP1059" i="4"/>
  <c r="AP1080" i="4"/>
  <c r="AP87" i="4"/>
  <c r="AP343" i="4"/>
  <c r="AP567" i="4"/>
  <c r="AP684" i="4"/>
  <c r="AP723" i="4"/>
  <c r="AP755" i="4"/>
  <c r="AP787" i="4"/>
  <c r="AP819" i="4"/>
  <c r="AP851" i="4"/>
  <c r="AP883" i="4"/>
  <c r="AP915" i="4"/>
  <c r="AP947" i="4"/>
  <c r="AP979" i="4"/>
  <c r="AP1011" i="4"/>
  <c r="AP1040" i="4"/>
  <c r="AP1062" i="4"/>
  <c r="AP119" i="4"/>
  <c r="AP375" i="4"/>
  <c r="AP586" i="4"/>
  <c r="AP693" i="4"/>
  <c r="AP728" i="4"/>
  <c r="AP760" i="4"/>
  <c r="AP792" i="4"/>
  <c r="AP824" i="4"/>
  <c r="AP856" i="4"/>
  <c r="AP888" i="4"/>
  <c r="AP920" i="4"/>
  <c r="AP952" i="4"/>
  <c r="AP984" i="4"/>
  <c r="AP1016" i="4"/>
  <c r="AP1043" i="4"/>
  <c r="AP1064" i="4"/>
  <c r="AP151" i="4"/>
  <c r="AP407" i="4"/>
  <c r="AP599" i="4"/>
  <c r="AP698" i="4"/>
  <c r="AP731" i="4"/>
  <c r="AP763" i="4"/>
  <c r="AP795" i="4"/>
  <c r="AP827" i="4"/>
  <c r="AP859" i="4"/>
  <c r="AP891" i="4"/>
  <c r="AP923" i="4"/>
  <c r="AP955" i="4"/>
  <c r="AP987" i="4"/>
  <c r="AP1019" i="4"/>
  <c r="AP1046" i="4"/>
  <c r="AP1067" i="4"/>
  <c r="AP215" i="4"/>
  <c r="AP471" i="4"/>
  <c r="AP631" i="4"/>
  <c r="AP707" i="4"/>
  <c r="AP739" i="4"/>
  <c r="AP771" i="4"/>
  <c r="AP803" i="4"/>
  <c r="AP835" i="4"/>
  <c r="AP867" i="4"/>
  <c r="AP899" i="4"/>
  <c r="AP931" i="4"/>
  <c r="AP963" i="4"/>
  <c r="AP995" i="4"/>
  <c r="AP1027" i="4"/>
  <c r="AP1051" i="4"/>
  <c r="AP1072" i="4"/>
  <c r="AP247" i="4"/>
  <c r="AP503" i="4"/>
  <c r="AP650" i="4"/>
  <c r="AP712" i="4"/>
  <c r="AP744" i="4"/>
  <c r="AP776" i="4"/>
  <c r="AP808" i="4"/>
  <c r="AP840" i="4"/>
  <c r="AP872" i="4"/>
  <c r="AP904" i="4"/>
  <c r="AP936" i="4"/>
  <c r="AP968" i="4"/>
  <c r="AP1000" i="4"/>
  <c r="AP1032" i="4"/>
  <c r="AP1054" i="4"/>
  <c r="AP1075" i="4"/>
  <c r="AP183" i="4"/>
  <c r="AP736" i="4"/>
  <c r="AP864" i="4"/>
  <c r="AP992" i="4"/>
  <c r="AP279" i="4"/>
  <c r="AP747" i="4"/>
  <c r="AP875" i="4"/>
  <c r="AP1003" i="4"/>
  <c r="AP439" i="4"/>
  <c r="AP768" i="4"/>
  <c r="AP896" i="4"/>
  <c r="AP1024" i="4"/>
  <c r="AP535" i="4"/>
  <c r="AP779" i="4"/>
  <c r="AP907" i="4"/>
  <c r="AP1035" i="4"/>
  <c r="AP663" i="4"/>
  <c r="AP811" i="4"/>
  <c r="AP939" i="4"/>
  <c r="AP1056" i="4"/>
  <c r="AP703" i="4"/>
  <c r="AP832" i="4"/>
  <c r="AP960" i="4"/>
  <c r="AP1070" i="4"/>
  <c r="AP618" i="4"/>
  <c r="AP715" i="4"/>
  <c r="AP800" i="4"/>
  <c r="AP843" i="4"/>
  <c r="AP928" i="4"/>
  <c r="AP971" i="4"/>
  <c r="AP1048" i="4"/>
  <c r="AP1078" i="4"/>
  <c r="AO34" i="4" a="1"/>
  <c r="AO34" i="4" s="1"/>
  <c r="AO98" i="4" a="1"/>
  <c r="AO98" i="4" s="1"/>
  <c r="AO52" i="4" a="1"/>
  <c r="AO52" i="4" s="1"/>
  <c r="AO116" i="4" a="1"/>
  <c r="AO116" i="4" s="1"/>
  <c r="AO54" i="4" a="1"/>
  <c r="AO54" i="4" s="1"/>
  <c r="AO63" i="4" a="1"/>
  <c r="AO63" i="4" s="1"/>
  <c r="AO127" i="4" a="1"/>
  <c r="AO127" i="4" s="1"/>
  <c r="AO104" i="4" a="1"/>
  <c r="AO104" i="4" s="1"/>
  <c r="AO185" i="4" a="1"/>
  <c r="AO185" i="4" s="1"/>
  <c r="AO249" i="4" a="1"/>
  <c r="AO249" i="4" s="1"/>
  <c r="AO313" i="4" a="1"/>
  <c r="AO313" i="4" s="1"/>
  <c r="AO374" i="4" a="1"/>
  <c r="AO374" i="4" s="1"/>
  <c r="AO428" i="4" a="1"/>
  <c r="AO428" i="4" s="1"/>
  <c r="AO48" i="4" a="1"/>
  <c r="AO48" i="4" s="1"/>
  <c r="AO154" i="4" a="1"/>
  <c r="AO154" i="4" s="1"/>
  <c r="AO218" i="4" a="1"/>
  <c r="AO218" i="4" s="1"/>
  <c r="AO282" i="4" a="1"/>
  <c r="AO282" i="4" s="1"/>
  <c r="AO346" i="4" a="1"/>
  <c r="AO346" i="4" s="1"/>
  <c r="AO407" i="4" a="1"/>
  <c r="AO407" i="4" s="1"/>
  <c r="AO49" i="4" a="1"/>
  <c r="AO49" i="4" s="1"/>
  <c r="AO155" i="4" a="1"/>
  <c r="AO155" i="4" s="1"/>
  <c r="AO219" i="4" a="1"/>
  <c r="AO219" i="4" s="1"/>
  <c r="AO283" i="4" a="1"/>
  <c r="AO283" i="4" s="1"/>
  <c r="AO347" i="4" a="1"/>
  <c r="AO347" i="4" s="1"/>
  <c r="AO419" i="4" a="1"/>
  <c r="AO419" i="4" s="1"/>
  <c r="AO474" i="4" a="1"/>
  <c r="AO474" i="4" s="1"/>
  <c r="AO536" i="4" a="1"/>
  <c r="AO536" i="4" s="1"/>
  <c r="AO121" i="4" a="1"/>
  <c r="AO121" i="4" s="1"/>
  <c r="AO196" i="4" a="1"/>
  <c r="AO196" i="4" s="1"/>
  <c r="AO260" i="4" a="1"/>
  <c r="AO260" i="4" s="1"/>
  <c r="AO324" i="4" a="1"/>
  <c r="AO324" i="4" s="1"/>
  <c r="AO391" i="4" a="1"/>
  <c r="AO391" i="4" s="1"/>
  <c r="AO468" i="4" a="1"/>
  <c r="AO468" i="4" s="1"/>
  <c r="AO526" i="4" a="1"/>
  <c r="AO526" i="4" s="1"/>
  <c r="AO99" i="4" a="1"/>
  <c r="AO99" i="4" s="1"/>
  <c r="AO182" i="4" a="1"/>
  <c r="AO182" i="4" s="1"/>
  <c r="AO246" i="4" a="1"/>
  <c r="AO246" i="4" s="1"/>
  <c r="AO310" i="4" a="1"/>
  <c r="AO310" i="4" s="1"/>
  <c r="AO372" i="4" a="1"/>
  <c r="AO372" i="4" s="1"/>
  <c r="AO432" i="4" a="1"/>
  <c r="AO432" i="4" s="1"/>
  <c r="AO493" i="4" a="1"/>
  <c r="AO493" i="4" s="1"/>
  <c r="AO57" i="4" a="1"/>
  <c r="AO57" i="4" s="1"/>
  <c r="AO159" i="4" a="1"/>
  <c r="AO159" i="4" s="1"/>
  <c r="AO223" i="4" a="1"/>
  <c r="AO223" i="4" s="1"/>
  <c r="AO287" i="4" a="1"/>
  <c r="AO287" i="4" s="1"/>
  <c r="AO351" i="4" a="1"/>
  <c r="AO351" i="4" s="1"/>
  <c r="AO416" i="4" a="1"/>
  <c r="AO416" i="4" s="1"/>
  <c r="AO494" i="4" a="1"/>
  <c r="AO494" i="4" s="1"/>
  <c r="AO544" i="4" a="1"/>
  <c r="AO544" i="4" s="1"/>
  <c r="AO277" i="4" a="1"/>
  <c r="AO277" i="4" s="1"/>
  <c r="AO519" i="4" a="1"/>
  <c r="AO519" i="4" s="1"/>
  <c r="AO613" i="4" a="1"/>
  <c r="AO613" i="4" s="1"/>
  <c r="AO673" i="4" a="1"/>
  <c r="AO673" i="4" s="1"/>
  <c r="AO741" i="4" a="1"/>
  <c r="AO741" i="4" s="1"/>
  <c r="AO794" i="4" a="1"/>
  <c r="AO794" i="4" s="1"/>
  <c r="AO102" i="4" a="1"/>
  <c r="AO102" i="4" s="1"/>
  <c r="AO373" i="4" a="1"/>
  <c r="AO373" i="4" s="1"/>
  <c r="AO559" i="4" a="1"/>
  <c r="AO559" i="4" s="1"/>
  <c r="AO608" i="4" a="1"/>
  <c r="AO608" i="4" s="1"/>
  <c r="AO684" i="4" a="1"/>
  <c r="AO684" i="4" s="1"/>
  <c r="AO735" i="4" a="1"/>
  <c r="AO735" i="4" s="1"/>
  <c r="AO788" i="4" a="1"/>
  <c r="AO788" i="4" s="1"/>
  <c r="AO847" i="4" a="1"/>
  <c r="AO847" i="4" s="1"/>
  <c r="AO285" i="4" a="1"/>
  <c r="AO285" i="4" s="1"/>
  <c r="AO488" i="4" a="1"/>
  <c r="AO488" i="4" s="1"/>
  <c r="AO582" i="4" a="1"/>
  <c r="AO582" i="4" s="1"/>
  <c r="AO658" i="4" a="1"/>
  <c r="AO658" i="4" s="1"/>
  <c r="AO731" i="4" a="1"/>
  <c r="AO731" i="4" s="1"/>
  <c r="AO800" i="4" a="1"/>
  <c r="AO800" i="4" s="1"/>
  <c r="AO876" i="4" a="1"/>
  <c r="AO876" i="4" s="1"/>
  <c r="AO192" i="4" a="1"/>
  <c r="AO192" i="4" s="1"/>
  <c r="AO444" i="4" a="1"/>
  <c r="AO444" i="4" s="1"/>
  <c r="AO560" i="4" a="1"/>
  <c r="AO560" i="4" s="1"/>
  <c r="AO631" i="4" a="1"/>
  <c r="AO631" i="4" s="1"/>
  <c r="AO691" i="4" a="1"/>
  <c r="AO691" i="4" s="1"/>
  <c r="AO761" i="4" a="1"/>
  <c r="AO761" i="4" s="1"/>
  <c r="AO42" i="4" a="1"/>
  <c r="AO42" i="4" s="1"/>
  <c r="AO106" i="4" a="1"/>
  <c r="AO106" i="4" s="1"/>
  <c r="AO60" i="4" a="1"/>
  <c r="AO60" i="4" s="1"/>
  <c r="AO124" i="4" a="1"/>
  <c r="AO124" i="4" s="1"/>
  <c r="AO62" i="4" a="1"/>
  <c r="AO62" i="4" s="1"/>
  <c r="AO71" i="4" a="1"/>
  <c r="AO71" i="4" s="1"/>
  <c r="AO135" i="4" a="1"/>
  <c r="AO135" i="4" s="1"/>
  <c r="AO117" i="4" a="1"/>
  <c r="AO117" i="4" s="1"/>
  <c r="AO193" i="4" a="1"/>
  <c r="AO193" i="4" s="1"/>
  <c r="AO257" i="4" a="1"/>
  <c r="AO257" i="4" s="1"/>
  <c r="AO321" i="4" a="1"/>
  <c r="AO321" i="4" s="1"/>
  <c r="AO383" i="4" a="1"/>
  <c r="AO383" i="4" s="1"/>
  <c r="AO434" i="4" a="1"/>
  <c r="AO434" i="4" s="1"/>
  <c r="AO64" i="4" a="1"/>
  <c r="AO64" i="4" s="1"/>
  <c r="AO162" i="4" a="1"/>
  <c r="AO162" i="4" s="1"/>
  <c r="AO226" i="4" a="1"/>
  <c r="AO226" i="4" s="1"/>
  <c r="AO290" i="4" a="1"/>
  <c r="AO290" i="4" s="1"/>
  <c r="AO354" i="4" a="1"/>
  <c r="AO354" i="4" s="1"/>
  <c r="AO413" i="4" a="1"/>
  <c r="AO413" i="4" s="1"/>
  <c r="AO65" i="4" a="1"/>
  <c r="AO65" i="4" s="1"/>
  <c r="AO163" i="4" a="1"/>
  <c r="AO163" i="4" s="1"/>
  <c r="AO227" i="4" a="1"/>
  <c r="AO227" i="4" s="1"/>
  <c r="AO291" i="4" a="1"/>
  <c r="AO291" i="4" s="1"/>
  <c r="AO355" i="4" a="1"/>
  <c r="AO355" i="4" s="1"/>
  <c r="AO424" i="4" a="1"/>
  <c r="AO424" i="4" s="1"/>
  <c r="AO485" i="4" a="1"/>
  <c r="AO485" i="4" s="1"/>
  <c r="AO547" i="4" a="1"/>
  <c r="AO547" i="4" s="1"/>
  <c r="AO134" i="4" a="1"/>
  <c r="AO134" i="4" s="1"/>
  <c r="AO204" i="4" a="1"/>
  <c r="AO204" i="4" s="1"/>
  <c r="AO268" i="4" a="1"/>
  <c r="AO268" i="4" s="1"/>
  <c r="AO332" i="4" a="1"/>
  <c r="AO332" i="4" s="1"/>
  <c r="AO397" i="4" a="1"/>
  <c r="AO397" i="4" s="1"/>
  <c r="AO479" i="4" a="1"/>
  <c r="AO479" i="4" s="1"/>
  <c r="AO531" i="4" a="1"/>
  <c r="AO531" i="4" s="1"/>
  <c r="AO112" i="4" a="1"/>
  <c r="AO112" i="4" s="1"/>
  <c r="AO190" i="4" a="1"/>
  <c r="AO190" i="4" s="1"/>
  <c r="AO254" i="4" a="1"/>
  <c r="AO254" i="4" s="1"/>
  <c r="AO318" i="4" a="1"/>
  <c r="AO318" i="4" s="1"/>
  <c r="AO387" i="4" a="1"/>
  <c r="AO387" i="4" s="1"/>
  <c r="AO437" i="4" a="1"/>
  <c r="AO437" i="4" s="1"/>
  <c r="AO505" i="4" a="1"/>
  <c r="AO505" i="4" s="1"/>
  <c r="AO73" i="4" a="1"/>
  <c r="AO73" i="4" s="1"/>
  <c r="AO167" i="4" a="1"/>
  <c r="AO167" i="4" s="1"/>
  <c r="AO231" i="4" a="1"/>
  <c r="AO231" i="4" s="1"/>
  <c r="AO295" i="4" a="1"/>
  <c r="AO295" i="4" s="1"/>
  <c r="AO359" i="4" a="1"/>
  <c r="AO359" i="4" s="1"/>
  <c r="AO422" i="4" a="1"/>
  <c r="AO422" i="4" s="1"/>
  <c r="AO499" i="4" a="1"/>
  <c r="AO499" i="4" s="1"/>
  <c r="AO550" i="4" a="1"/>
  <c r="AO550" i="4" s="1"/>
  <c r="AO309" i="4" a="1"/>
  <c r="AO309" i="4" s="1"/>
  <c r="AO530" i="4" a="1"/>
  <c r="AO530" i="4" s="1"/>
  <c r="AO618" i="4" a="1"/>
  <c r="AO618" i="4" s="1"/>
  <c r="AO683" i="4" a="1"/>
  <c r="AO683" i="4" s="1"/>
  <c r="AO746" i="4" a="1"/>
  <c r="AO746" i="4" s="1"/>
  <c r="AO805" i="4" a="1"/>
  <c r="AO805" i="4" s="1"/>
  <c r="AO152" i="4" a="1"/>
  <c r="AO152" i="4" s="1"/>
  <c r="AO417" i="4" a="1"/>
  <c r="AO417" i="4" s="1"/>
  <c r="AO564" i="4" a="1"/>
  <c r="AO564" i="4" s="1"/>
  <c r="AO614" i="4" a="1"/>
  <c r="AO614" i="4" s="1"/>
  <c r="AO690" i="4" a="1"/>
  <c r="AO690" i="4" s="1"/>
  <c r="AO742" i="4" a="1"/>
  <c r="AO742" i="4" s="1"/>
  <c r="AO799" i="4" a="1"/>
  <c r="AO799" i="4" s="1"/>
  <c r="AO852" i="4" a="1"/>
  <c r="AO852" i="4" s="1"/>
  <c r="AO317" i="4" a="1"/>
  <c r="AO317" i="4" s="1"/>
  <c r="AO500" i="4" a="1"/>
  <c r="AO500" i="4" s="1"/>
  <c r="AO593" i="4" a="1"/>
  <c r="AO593" i="4" s="1"/>
  <c r="AO663" i="4" a="1"/>
  <c r="AO663" i="4" s="1"/>
  <c r="AO736" i="4" a="1"/>
  <c r="AO736" i="4" s="1"/>
  <c r="AO812" i="4" a="1"/>
  <c r="AO812" i="4" s="1"/>
  <c r="AO882" i="4" a="1"/>
  <c r="AO882" i="4" s="1"/>
  <c r="AO224" i="4" a="1"/>
  <c r="AO224" i="4" s="1"/>
  <c r="AO464" i="4" a="1"/>
  <c r="AO464" i="4" s="1"/>
  <c r="AO577" i="4" a="1"/>
  <c r="AO577" i="4" s="1"/>
  <c r="AO637" i="4" a="1"/>
  <c r="AO637" i="4" s="1"/>
  <c r="AO697" i="4" a="1"/>
  <c r="AO697" i="4" s="1"/>
  <c r="AO766" i="4" a="1"/>
  <c r="AO766" i="4" s="1"/>
  <c r="AO836" i="4" a="1"/>
  <c r="AO836" i="4" s="1"/>
  <c r="AO296" i="4" a="1"/>
  <c r="AO296" i="4" s="1"/>
  <c r="AO527" i="4" a="1"/>
  <c r="AO527" i="4" s="1"/>
  <c r="AO600" i="4" a="1"/>
  <c r="AO600" i="4" s="1"/>
  <c r="AO655" i="4" a="1"/>
  <c r="AO655" i="4" s="1"/>
  <c r="AO733" i="4" a="1"/>
  <c r="AO733" i="4" s="1"/>
  <c r="AO205" i="4" a="1"/>
  <c r="AO205" i="4" s="1"/>
  <c r="AO453" i="4" a="1"/>
  <c r="AO453" i="4" s="1"/>
  <c r="AO50" i="4" a="1"/>
  <c r="AO50" i="4" s="1"/>
  <c r="AO114" i="4" a="1"/>
  <c r="AO114" i="4" s="1"/>
  <c r="AO68" i="4" a="1"/>
  <c r="AO68" i="4" s="1"/>
  <c r="AO132" i="4" a="1"/>
  <c r="AO132" i="4" s="1"/>
  <c r="AO70" i="4" a="1"/>
  <c r="AO70" i="4" s="1"/>
  <c r="AO79" i="4" a="1"/>
  <c r="AO79" i="4" s="1"/>
  <c r="AO143" i="4" a="1"/>
  <c r="AO143" i="4" s="1"/>
  <c r="AO129" i="4" a="1"/>
  <c r="AO129" i="4" s="1"/>
  <c r="AO201" i="4" a="1"/>
  <c r="AO201" i="4" s="1"/>
  <c r="AO265" i="4" a="1"/>
  <c r="AO265" i="4" s="1"/>
  <c r="AO329" i="4" a="1"/>
  <c r="AO329" i="4" s="1"/>
  <c r="AO389" i="4" a="1"/>
  <c r="AO389" i="4" s="1"/>
  <c r="AO439" i="4" a="1"/>
  <c r="AO439" i="4" s="1"/>
  <c r="AO80" i="4" a="1"/>
  <c r="AO80" i="4" s="1"/>
  <c r="AO170" i="4" a="1"/>
  <c r="AO170" i="4" s="1"/>
  <c r="AO234" i="4" a="1"/>
  <c r="AO234" i="4" s="1"/>
  <c r="AO298" i="4" a="1"/>
  <c r="AO298" i="4" s="1"/>
  <c r="AO362" i="4" a="1"/>
  <c r="AO362" i="4" s="1"/>
  <c r="AO418" i="4" a="1"/>
  <c r="AO418" i="4" s="1"/>
  <c r="AO81" i="4" a="1"/>
  <c r="AO81" i="4" s="1"/>
  <c r="AO171" i="4" a="1"/>
  <c r="AO171" i="4" s="1"/>
  <c r="AO235" i="4" a="1"/>
  <c r="AO235" i="4" s="1"/>
  <c r="AO299" i="4" a="1"/>
  <c r="AO299" i="4" s="1"/>
  <c r="AO363" i="4" a="1"/>
  <c r="AO363" i="4" s="1"/>
  <c r="AO430" i="4" a="1"/>
  <c r="AO430" i="4" s="1"/>
  <c r="AO490" i="4" a="1"/>
  <c r="AO490" i="4" s="1"/>
  <c r="AO35" i="4" a="1"/>
  <c r="AO35" i="4" s="1"/>
  <c r="AO146" i="4" a="1"/>
  <c r="AO146" i="4" s="1"/>
  <c r="AO212" i="4" a="1"/>
  <c r="AO212" i="4" s="1"/>
  <c r="AO276" i="4" a="1"/>
  <c r="AO276" i="4" s="1"/>
  <c r="AO340" i="4" a="1"/>
  <c r="AO340" i="4" s="1"/>
  <c r="AO409" i="4" a="1"/>
  <c r="AO409" i="4" s="1"/>
  <c r="AO486" i="4" a="1"/>
  <c r="AO486" i="4" s="1"/>
  <c r="AO537" i="4" a="1"/>
  <c r="AO537" i="4" s="1"/>
  <c r="AO125" i="4" a="1"/>
  <c r="AO125" i="4" s="1"/>
  <c r="AO198" i="4" a="1"/>
  <c r="AO198" i="4" s="1"/>
  <c r="AO262" i="4" a="1"/>
  <c r="AO262" i="4" s="1"/>
  <c r="AO326" i="4" a="1"/>
  <c r="AO326" i="4" s="1"/>
  <c r="AO392" i="4" a="1"/>
  <c r="AO392" i="4" s="1"/>
  <c r="AO443" i="4" a="1"/>
  <c r="AO443" i="4" s="1"/>
  <c r="AO510" i="4" a="1"/>
  <c r="AO510" i="4" s="1"/>
  <c r="AO88" i="4" a="1"/>
  <c r="AO88" i="4" s="1"/>
  <c r="AO175" i="4" a="1"/>
  <c r="AO175" i="4" s="1"/>
  <c r="AO239" i="4" a="1"/>
  <c r="AO239" i="4" s="1"/>
  <c r="AO303" i="4" a="1"/>
  <c r="AO303" i="4" s="1"/>
  <c r="AO367" i="4" a="1"/>
  <c r="AO367" i="4" s="1"/>
  <c r="AO433" i="4" a="1"/>
  <c r="AO433" i="4" s="1"/>
  <c r="AO506" i="4" a="1"/>
  <c r="AO506" i="4" s="1"/>
  <c r="AO37" i="4" a="1"/>
  <c r="AO37" i="4" s="1"/>
  <c r="AO341" i="4" a="1"/>
  <c r="AO341" i="4" s="1"/>
  <c r="AO541" i="4" a="1"/>
  <c r="AO541" i="4" s="1"/>
  <c r="AO624" i="4" a="1"/>
  <c r="AO624" i="4" s="1"/>
  <c r="AO694" i="4" a="1"/>
  <c r="AO694" i="4" s="1"/>
  <c r="AO753" i="4" a="1"/>
  <c r="AO753" i="4" s="1"/>
  <c r="AO810" i="4" a="1"/>
  <c r="AO810" i="4" s="1"/>
  <c r="AO184" i="4" a="1"/>
  <c r="AO184" i="4" s="1"/>
  <c r="AO438" i="4" a="1"/>
  <c r="AO438" i="4" s="1"/>
  <c r="AO575" i="4" a="1"/>
  <c r="AO575" i="4" s="1"/>
  <c r="AO625" i="4" a="1"/>
  <c r="AO625" i="4" s="1"/>
  <c r="AO695" i="4" a="1"/>
  <c r="AO695" i="4" s="1"/>
  <c r="AO747" i="4" a="1"/>
  <c r="AO747" i="4" s="1"/>
  <c r="AO806" i="4" a="1"/>
  <c r="AO806" i="4" s="1"/>
  <c r="AO53" i="4" a="1"/>
  <c r="AO53" i="4" s="1"/>
  <c r="AO349" i="4" a="1"/>
  <c r="AO349" i="4" s="1"/>
  <c r="AO511" i="4" a="1"/>
  <c r="AO511" i="4" s="1"/>
  <c r="AO609" i="4" a="1"/>
  <c r="AO609" i="4" s="1"/>
  <c r="AO669" i="4" a="1"/>
  <c r="AO669" i="4" s="1"/>
  <c r="AO748" i="4" a="1"/>
  <c r="AO748" i="4" s="1"/>
  <c r="AO818" i="4" a="1"/>
  <c r="AO818" i="4" s="1"/>
  <c r="AO888" i="4" a="1"/>
  <c r="AO888" i="4" s="1"/>
  <c r="AO256" i="4" a="1"/>
  <c r="AO256" i="4" s="1"/>
  <c r="AO489" i="4" a="1"/>
  <c r="AO489" i="4" s="1"/>
  <c r="AO587" i="4" a="1"/>
  <c r="AO587" i="4" s="1"/>
  <c r="AO642" i="4" a="1"/>
  <c r="AO642" i="4" s="1"/>
  <c r="AO702" i="4" a="1"/>
  <c r="AO702" i="4" s="1"/>
  <c r="AO772" i="4" a="1"/>
  <c r="AO772" i="4" s="1"/>
  <c r="AO848" i="4" a="1"/>
  <c r="AO848" i="4" s="1"/>
  <c r="AO328" i="4" a="1"/>
  <c r="AO328" i="4" s="1"/>
  <c r="AO538" i="4" a="1"/>
  <c r="AO538" i="4" s="1"/>
  <c r="AO611" i="4" a="1"/>
  <c r="AO611" i="4" s="1"/>
  <c r="AO666" i="4" a="1"/>
  <c r="AO666" i="4" s="1"/>
  <c r="AO739" i="4" a="1"/>
  <c r="AO739" i="4" s="1"/>
  <c r="AO237" i="4" a="1"/>
  <c r="AO237" i="4" s="1"/>
  <c r="AO469" i="4" a="1"/>
  <c r="AO469" i="4" s="1"/>
  <c r="AO579" i="4" a="1"/>
  <c r="AO579" i="4" s="1"/>
  <c r="AO634" i="4" a="1"/>
  <c r="AO634" i="4" s="1"/>
  <c r="AO58" i="4" a="1"/>
  <c r="AO58" i="4" s="1"/>
  <c r="AO122" i="4" a="1"/>
  <c r="AO122" i="4" s="1"/>
  <c r="AO76" i="4" a="1"/>
  <c r="AO76" i="4" s="1"/>
  <c r="AO140" i="4" a="1"/>
  <c r="AO140" i="4" s="1"/>
  <c r="AO78" i="4" a="1"/>
  <c r="AO78" i="4" s="1"/>
  <c r="AO87" i="4" a="1"/>
  <c r="AO87" i="4" s="1"/>
  <c r="AO151" i="4" a="1"/>
  <c r="AO151" i="4" s="1"/>
  <c r="AO142" i="4" a="1"/>
  <c r="AO142" i="4" s="1"/>
  <c r="AO209" i="4" a="1"/>
  <c r="AO209" i="4" s="1"/>
  <c r="AO273" i="4" a="1"/>
  <c r="AO273" i="4" s="1"/>
  <c r="AO337" i="4" a="1"/>
  <c r="AO337" i="4" s="1"/>
  <c r="AO394" i="4" a="1"/>
  <c r="AO394" i="4" s="1"/>
  <c r="AO445" i="4" a="1"/>
  <c r="AO445" i="4" s="1"/>
  <c r="AO93" i="4" a="1"/>
  <c r="AO93" i="4" s="1"/>
  <c r="AO178" i="4" a="1"/>
  <c r="AO178" i="4" s="1"/>
  <c r="AO242" i="4" a="1"/>
  <c r="AO242" i="4" s="1"/>
  <c r="AO306" i="4" a="1"/>
  <c r="AO306" i="4" s="1"/>
  <c r="AO370" i="4" a="1"/>
  <c r="AO370" i="4" s="1"/>
  <c r="AO429" i="4" a="1"/>
  <c r="AO429" i="4" s="1"/>
  <c r="AO94" i="4" a="1"/>
  <c r="AO94" i="4" s="1"/>
  <c r="AO179" i="4" a="1"/>
  <c r="AO179" i="4" s="1"/>
  <c r="AO243" i="4" a="1"/>
  <c r="AO243" i="4" s="1"/>
  <c r="AO307" i="4" a="1"/>
  <c r="AO307" i="4" s="1"/>
  <c r="AO375" i="4" a="1"/>
  <c r="AO375" i="4" s="1"/>
  <c r="AO435" i="4" a="1"/>
  <c r="AO435" i="4" s="1"/>
  <c r="AO497" i="4" a="1"/>
  <c r="AO497" i="4" s="1"/>
  <c r="AO51" i="4" a="1"/>
  <c r="AO51" i="4" s="1"/>
  <c r="AO156" i="4" a="1"/>
  <c r="AO156" i="4" s="1"/>
  <c r="AO220" i="4" a="1"/>
  <c r="AO220" i="4" s="1"/>
  <c r="AO284" i="4" a="1"/>
  <c r="AO284" i="4" s="1"/>
  <c r="AO348" i="4" a="1"/>
  <c r="AO348" i="4" s="1"/>
  <c r="AO414" i="4" a="1"/>
  <c r="AO414" i="4" s="1"/>
  <c r="AO491" i="4" a="1"/>
  <c r="AO491" i="4" s="1"/>
  <c r="AO542" i="4" a="1"/>
  <c r="AO542" i="4" s="1"/>
  <c r="AO137" i="4" a="1"/>
  <c r="AO137" i="4" s="1"/>
  <c r="AO206" i="4" a="1"/>
  <c r="AO206" i="4" s="1"/>
  <c r="AO270" i="4" a="1"/>
  <c r="AO270" i="4" s="1"/>
  <c r="AO334" i="4" a="1"/>
  <c r="AO334" i="4" s="1"/>
  <c r="AO399" i="4" a="1"/>
  <c r="AO399" i="4" s="1"/>
  <c r="AO448" i="4" a="1"/>
  <c r="AO448" i="4" s="1"/>
  <c r="AO516" i="4" a="1"/>
  <c r="AO516" i="4" s="1"/>
  <c r="AO101" i="4" a="1"/>
  <c r="AO101" i="4" s="1"/>
  <c r="AO183" i="4" a="1"/>
  <c r="AO183" i="4" s="1"/>
  <c r="AO247" i="4" a="1"/>
  <c r="AO247" i="4" s="1"/>
  <c r="AO311" i="4" a="1"/>
  <c r="AO311" i="4" s="1"/>
  <c r="AO377" i="4" a="1"/>
  <c r="AO377" i="4" s="1"/>
  <c r="AO449" i="4" a="1"/>
  <c r="AO449" i="4" s="1"/>
  <c r="AO517" i="4" a="1"/>
  <c r="AO517" i="4" s="1"/>
  <c r="AO97" i="4" a="1"/>
  <c r="AO97" i="4" s="1"/>
  <c r="AO436" i="4" a="1"/>
  <c r="AO436" i="4" s="1"/>
  <c r="AO558" i="4" a="1"/>
  <c r="AO558" i="4" s="1"/>
  <c r="AO629" i="4" a="1"/>
  <c r="AO629" i="4" s="1"/>
  <c r="AO700" i="4" a="1"/>
  <c r="AO700" i="4" s="1"/>
  <c r="AO758" i="4" a="1"/>
  <c r="AO758" i="4" s="1"/>
  <c r="AO817" i="4" a="1"/>
  <c r="AO817" i="4" s="1"/>
  <c r="AO216" i="4" a="1"/>
  <c r="AO216" i="4" s="1"/>
  <c r="AO460" i="4" a="1"/>
  <c r="AO460" i="4" s="1"/>
  <c r="AO581" i="4" a="1"/>
  <c r="AO581" i="4" s="1"/>
  <c r="AO641" i="4" a="1"/>
  <c r="AO641" i="4" s="1"/>
  <c r="AO701" i="4" a="1"/>
  <c r="AO701" i="4" s="1"/>
  <c r="AO759" i="4" a="1"/>
  <c r="AO759" i="4" s="1"/>
  <c r="AO811" i="4" a="1"/>
  <c r="AO811" i="4" s="1"/>
  <c r="AO110" i="4" a="1"/>
  <c r="AO110" i="4" s="1"/>
  <c r="AO376" i="4" a="1"/>
  <c r="AO376" i="4" s="1"/>
  <c r="AO545" i="4" a="1"/>
  <c r="AO545" i="4" s="1"/>
  <c r="AO619" i="4" a="1"/>
  <c r="AO619" i="4" s="1"/>
  <c r="AO674" i="4" a="1"/>
  <c r="AO674" i="4" s="1"/>
  <c r="AO754" i="4" a="1"/>
  <c r="AO754" i="4" s="1"/>
  <c r="AO824" i="4" a="1"/>
  <c r="AO824" i="4" s="1"/>
  <c r="AO905" i="4" a="1"/>
  <c r="AO905" i="4" s="1"/>
  <c r="AO288" i="4" a="1"/>
  <c r="AO288" i="4" s="1"/>
  <c r="AO501" i="4" a="1"/>
  <c r="AO501" i="4" s="1"/>
  <c r="AO598" i="4" a="1"/>
  <c r="AO598" i="4" s="1"/>
  <c r="AO653" i="4" a="1"/>
  <c r="AO653" i="4" s="1"/>
  <c r="AO708" i="4" a="1"/>
  <c r="AO708" i="4" s="1"/>
  <c r="AO784" i="4" a="1"/>
  <c r="AO784" i="4" s="1"/>
  <c r="AO75" i="4" a="1"/>
  <c r="AO75" i="4" s="1"/>
  <c r="AO360" i="4" a="1"/>
  <c r="AO360" i="4" s="1"/>
  <c r="AO548" i="4" a="1"/>
  <c r="AO548" i="4" s="1"/>
  <c r="AO616" i="4" a="1"/>
  <c r="AO616" i="4" s="1"/>
  <c r="AO676" i="4" a="1"/>
  <c r="AO676" i="4" s="1"/>
  <c r="AO744" i="4" a="1"/>
  <c r="AO744" i="4" s="1"/>
  <c r="AO66" i="4" a="1"/>
  <c r="AO66" i="4" s="1"/>
  <c r="AO130" i="4" a="1"/>
  <c r="AO130" i="4" s="1"/>
  <c r="AO84" i="4" a="1"/>
  <c r="AO84" i="4" s="1"/>
  <c r="AO148" i="4" a="1"/>
  <c r="AO148" i="4" s="1"/>
  <c r="AO31" i="4" a="1"/>
  <c r="AO31" i="4" s="1"/>
  <c r="AO95" i="4" a="1"/>
  <c r="AO95" i="4" s="1"/>
  <c r="AO45" i="4" a="1"/>
  <c r="AO45" i="4" s="1"/>
  <c r="AO153" i="4" a="1"/>
  <c r="AO153" i="4" s="1"/>
  <c r="AO217" i="4" a="1"/>
  <c r="AO217" i="4" s="1"/>
  <c r="AO281" i="4" a="1"/>
  <c r="AO281" i="4" s="1"/>
  <c r="AO345" i="4" a="1"/>
  <c r="AO345" i="4" s="1"/>
  <c r="AO401" i="4" a="1"/>
  <c r="AO401" i="4" s="1"/>
  <c r="AO450" i="4" a="1"/>
  <c r="AO450" i="4" s="1"/>
  <c r="AO105" i="4" a="1"/>
  <c r="AO105" i="4" s="1"/>
  <c r="AO186" i="4" a="1"/>
  <c r="AO186" i="4" s="1"/>
  <c r="AO250" i="4" a="1"/>
  <c r="AO250" i="4" s="1"/>
  <c r="AO314" i="4" a="1"/>
  <c r="AO314" i="4" s="1"/>
  <c r="AO379" i="4" a="1"/>
  <c r="AO379" i="4" s="1"/>
  <c r="AO440" i="4" a="1"/>
  <c r="AO440" i="4" s="1"/>
  <c r="AO107" i="4" a="1"/>
  <c r="AO107" i="4" s="1"/>
  <c r="AO187" i="4" a="1"/>
  <c r="AO187" i="4" s="1"/>
  <c r="AO251" i="4" a="1"/>
  <c r="AO251" i="4" s="1"/>
  <c r="AO315" i="4" a="1"/>
  <c r="AO315" i="4" s="1"/>
  <c r="AO385" i="4" a="1"/>
  <c r="AO385" i="4" s="1"/>
  <c r="AO441" i="4" a="1"/>
  <c r="AO441" i="4" s="1"/>
  <c r="AO502" i="4" a="1"/>
  <c r="AO502" i="4" s="1"/>
  <c r="AO67" i="4" a="1"/>
  <c r="AO67" i="4" s="1"/>
  <c r="AO164" i="4" a="1"/>
  <c r="AO164" i="4" s="1"/>
  <c r="AO228" i="4" a="1"/>
  <c r="AO228" i="4" s="1"/>
  <c r="AO292" i="4" a="1"/>
  <c r="AO292" i="4" s="1"/>
  <c r="AO356" i="4" a="1"/>
  <c r="AO356" i="4" s="1"/>
  <c r="AO425" i="4" a="1"/>
  <c r="AO425" i="4" s="1"/>
  <c r="AO503" i="4" a="1"/>
  <c r="AO503" i="4" s="1"/>
  <c r="AO40" i="4" a="1"/>
  <c r="AO40" i="4" s="1"/>
  <c r="AO149" i="4" a="1"/>
  <c r="AO149" i="4" s="1"/>
  <c r="AO214" i="4" a="1"/>
  <c r="AO214" i="4" s="1"/>
  <c r="AO278" i="4" a="1"/>
  <c r="AO278" i="4" s="1"/>
  <c r="AO342" i="4" a="1"/>
  <c r="AO342" i="4" s="1"/>
  <c r="AO404" i="4" a="1"/>
  <c r="AO404" i="4" s="1"/>
  <c r="AO454" i="4" a="1"/>
  <c r="AO454" i="4" s="1"/>
  <c r="AO532" i="4" a="1"/>
  <c r="AO532" i="4" s="1"/>
  <c r="AO113" i="4" a="1"/>
  <c r="AO113" i="4" s="1"/>
  <c r="AO191" i="4" a="1"/>
  <c r="AO191" i="4" s="1"/>
  <c r="AO255" i="4" a="1"/>
  <c r="AO255" i="4" s="1"/>
  <c r="AO319" i="4" a="1"/>
  <c r="AO319" i="4" s="1"/>
  <c r="AO382" i="4" a="1"/>
  <c r="AO382" i="4" s="1"/>
  <c r="AO459" i="4" a="1"/>
  <c r="AO459" i="4" s="1"/>
  <c r="AO522" i="4" a="1"/>
  <c r="AO522" i="4" s="1"/>
  <c r="AO147" i="4" a="1"/>
  <c r="AO147" i="4" s="1"/>
  <c r="AO458" i="4" a="1"/>
  <c r="AO458" i="4" s="1"/>
  <c r="AO570" i="4" a="1"/>
  <c r="AO570" i="4" s="1"/>
  <c r="AO635" i="4" a="1"/>
  <c r="AO635" i="4" s="1"/>
  <c r="AO706" i="4" a="1"/>
  <c r="AO706" i="4" s="1"/>
  <c r="AO764" i="4" a="1"/>
  <c r="AO764" i="4" s="1"/>
  <c r="AO822" i="4" a="1"/>
  <c r="AO822" i="4" s="1"/>
  <c r="AO248" i="4" a="1"/>
  <c r="AO248" i="4" s="1"/>
  <c r="AO475" i="4" a="1"/>
  <c r="AO475" i="4" s="1"/>
  <c r="AO586" i="4" a="1"/>
  <c r="AO586" i="4" s="1"/>
  <c r="AO651" i="4" a="1"/>
  <c r="AO651" i="4" s="1"/>
  <c r="AO707" i="4" a="1"/>
  <c r="AO707" i="4" s="1"/>
  <c r="AO765" i="4" a="1"/>
  <c r="AO765" i="4" s="1"/>
  <c r="AO823" i="4" a="1"/>
  <c r="AO823" i="4" s="1"/>
  <c r="AO157" i="4" a="1"/>
  <c r="AO157" i="4" s="1"/>
  <c r="AO398" i="4" a="1"/>
  <c r="AO398" i="4" s="1"/>
  <c r="AO553" i="4" a="1"/>
  <c r="AO553" i="4" s="1"/>
  <c r="AO630" i="4" a="1"/>
  <c r="AO630" i="4" s="1"/>
  <c r="AO685" i="4" a="1"/>
  <c r="AO685" i="4" s="1"/>
  <c r="AO760" i="4" a="1"/>
  <c r="AO760" i="4" s="1"/>
  <c r="AO841" i="4" a="1"/>
  <c r="AO841" i="4" s="1"/>
  <c r="AO917" i="4" a="1"/>
  <c r="AO917" i="4" s="1"/>
  <c r="AO320" i="4" a="1"/>
  <c r="AO320" i="4" s="1"/>
  <c r="AO512" i="4" a="1"/>
  <c r="AO512" i="4" s="1"/>
  <c r="AO604" i="4" a="1"/>
  <c r="AO604" i="4" s="1"/>
  <c r="AO664" i="4" a="1"/>
  <c r="AO664" i="4" s="1"/>
  <c r="AO720" i="4" a="1"/>
  <c r="AO720" i="4" s="1"/>
  <c r="AO801" i="4" a="1"/>
  <c r="AO801" i="4" s="1"/>
  <c r="AO128" i="4" a="1"/>
  <c r="AO128" i="4" s="1"/>
  <c r="AO427" i="4" a="1"/>
  <c r="AO427" i="4" s="1"/>
  <c r="AO555" i="4" a="1"/>
  <c r="AO555" i="4" s="1"/>
  <c r="AO622" i="4" a="1"/>
  <c r="AO622" i="4" s="1"/>
  <c r="AO692" i="4" a="1"/>
  <c r="AO692" i="4" s="1"/>
  <c r="AO751" i="4" a="1"/>
  <c r="AO751" i="4" s="1"/>
  <c r="AO301" i="4" a="1"/>
  <c r="AO301" i="4" s="1"/>
  <c r="AO495" i="4" a="1"/>
  <c r="AO495" i="4" s="1"/>
  <c r="AO590" i="4" a="1"/>
  <c r="AO590" i="4" s="1"/>
  <c r="AO74" i="4" a="1"/>
  <c r="AO74" i="4" s="1"/>
  <c r="AO138" i="4" a="1"/>
  <c r="AO138" i="4" s="1"/>
  <c r="AO92" i="4" a="1"/>
  <c r="AO92" i="4" s="1"/>
  <c r="AO30" i="4" a="1"/>
  <c r="AO30" i="4" s="1"/>
  <c r="AO39" i="4" a="1"/>
  <c r="AO39" i="4" s="1"/>
  <c r="AO103" i="4" a="1"/>
  <c r="AO103" i="4" s="1"/>
  <c r="AO61" i="4" a="1"/>
  <c r="AO61" i="4" s="1"/>
  <c r="AO161" i="4" a="1"/>
  <c r="AO161" i="4" s="1"/>
  <c r="AO225" i="4" a="1"/>
  <c r="AO225" i="4" s="1"/>
  <c r="AO289" i="4" a="1"/>
  <c r="AO289" i="4" s="1"/>
  <c r="AO353" i="4" a="1"/>
  <c r="AO353" i="4" s="1"/>
  <c r="AO406" i="4" a="1"/>
  <c r="AO406" i="4" s="1"/>
  <c r="AO461" i="4" a="1"/>
  <c r="AO461" i="4" s="1"/>
  <c r="AO118" i="4" a="1"/>
  <c r="AO118" i="4" s="1"/>
  <c r="AO194" i="4" a="1"/>
  <c r="AO194" i="4" s="1"/>
  <c r="AO258" i="4" a="1"/>
  <c r="AO258" i="4" s="1"/>
  <c r="AO322" i="4" a="1"/>
  <c r="AO322" i="4" s="1"/>
  <c r="AO384" i="4" a="1"/>
  <c r="AO384" i="4" s="1"/>
  <c r="AO451" i="4" a="1"/>
  <c r="AO451" i="4" s="1"/>
  <c r="AO120" i="4" a="1"/>
  <c r="AO120" i="4" s="1"/>
  <c r="AO195" i="4" a="1"/>
  <c r="AO195" i="4" s="1"/>
  <c r="AO259" i="4" a="1"/>
  <c r="AO259" i="4" s="1"/>
  <c r="AO323" i="4" a="1"/>
  <c r="AO323" i="4" s="1"/>
  <c r="AO396" i="4" a="1"/>
  <c r="AO396" i="4" s="1"/>
  <c r="AO446" i="4" a="1"/>
  <c r="AO446" i="4" s="1"/>
  <c r="AO508" i="4" a="1"/>
  <c r="AO508" i="4" s="1"/>
  <c r="AO83" i="4" a="1"/>
  <c r="AO83" i="4" s="1"/>
  <c r="AO172" i="4" a="1"/>
  <c r="AO172" i="4" s="1"/>
  <c r="AO236" i="4" a="1"/>
  <c r="AO236" i="4" s="1"/>
  <c r="AO300" i="4" a="1"/>
  <c r="AO300" i="4" s="1"/>
  <c r="AO364" i="4" a="1"/>
  <c r="AO364" i="4" s="1"/>
  <c r="AO431" i="4" a="1"/>
  <c r="AO431" i="4" s="1"/>
  <c r="AO509" i="4" a="1"/>
  <c r="AO509" i="4" s="1"/>
  <c r="AO56" i="4" a="1"/>
  <c r="AO56" i="4" s="1"/>
  <c r="AO158" i="4" a="1"/>
  <c r="AO158" i="4" s="1"/>
  <c r="AO222" i="4" a="1"/>
  <c r="AO222" i="4" s="1"/>
  <c r="AO286" i="4" a="1"/>
  <c r="AO286" i="4" s="1"/>
  <c r="AO350" i="4" a="1"/>
  <c r="AO350" i="4" s="1"/>
  <c r="AO415" i="4" a="1"/>
  <c r="AO415" i="4" s="1"/>
  <c r="AO465" i="4" a="1"/>
  <c r="AO465" i="4" s="1"/>
  <c r="AO543" i="4" a="1"/>
  <c r="AO543" i="4" s="1"/>
  <c r="AO126" i="4" a="1"/>
  <c r="AO126" i="4" s="1"/>
  <c r="AO199" i="4" a="1"/>
  <c r="AO199" i="4" s="1"/>
  <c r="AO263" i="4" a="1"/>
  <c r="AO263" i="4" s="1"/>
  <c r="AO327" i="4" a="1"/>
  <c r="AO327" i="4" s="1"/>
  <c r="AO393" i="4" a="1"/>
  <c r="AO393" i="4" s="1"/>
  <c r="AO470" i="4" a="1"/>
  <c r="AO470" i="4" s="1"/>
  <c r="AO528" i="4" a="1"/>
  <c r="AO528" i="4" s="1"/>
  <c r="AO181" i="4" a="1"/>
  <c r="AO181" i="4" s="1"/>
  <c r="AO473" i="4" a="1"/>
  <c r="AO473" i="4" s="1"/>
  <c r="AO580" i="4" a="1"/>
  <c r="AO580" i="4" s="1"/>
  <c r="AO640" i="4" a="1"/>
  <c r="AO640" i="4" s="1"/>
  <c r="AO718" i="4" a="1"/>
  <c r="AO718" i="4" s="1"/>
  <c r="AO770" i="4" a="1"/>
  <c r="AO770" i="4" s="1"/>
  <c r="AO828" i="4" a="1"/>
  <c r="AO828" i="4" s="1"/>
  <c r="AO280" i="4" a="1"/>
  <c r="AO280" i="4" s="1"/>
  <c r="AO498" i="4" a="1"/>
  <c r="AO498" i="4" s="1"/>
  <c r="AO592" i="4" a="1"/>
  <c r="AO592" i="4" s="1"/>
  <c r="AO662" i="4" a="1"/>
  <c r="AO662" i="4" s="1"/>
  <c r="AO712" i="4" a="1"/>
  <c r="AO712" i="4" s="1"/>
  <c r="AO771" i="4" a="1"/>
  <c r="AO771" i="4" s="1"/>
  <c r="AO829" i="4" a="1"/>
  <c r="AO829" i="4" s="1"/>
  <c r="AO189" i="4" a="1"/>
  <c r="AO189" i="4" s="1"/>
  <c r="AO420" i="4" a="1"/>
  <c r="AO420" i="4" s="1"/>
  <c r="AO565" i="4" a="1"/>
  <c r="AO565" i="4" s="1"/>
  <c r="AO636" i="4" a="1"/>
  <c r="AO636" i="4" s="1"/>
  <c r="AO696" i="4" a="1"/>
  <c r="AO696" i="4" s="1"/>
  <c r="AO777" i="4" a="1"/>
  <c r="AO777" i="4" s="1"/>
  <c r="AO853" i="4" a="1"/>
  <c r="AO853" i="4" s="1"/>
  <c r="AO59" i="4" a="1"/>
  <c r="AO59" i="4" s="1"/>
  <c r="AO352" i="4" a="1"/>
  <c r="AO352" i="4" s="1"/>
  <c r="AO523" i="4" a="1"/>
  <c r="AO523" i="4" s="1"/>
  <c r="AO615" i="4" a="1"/>
  <c r="AO615" i="4" s="1"/>
  <c r="AO675" i="4" a="1"/>
  <c r="AO675" i="4" s="1"/>
  <c r="AO737" i="4" a="1"/>
  <c r="AO737" i="4" s="1"/>
  <c r="AO807" i="4" a="1"/>
  <c r="AO807" i="4" s="1"/>
  <c r="AO168" i="4" a="1"/>
  <c r="AO168" i="4" s="1"/>
  <c r="AO467" i="4" a="1"/>
  <c r="AO467" i="4" s="1"/>
  <c r="AO567" i="4" a="1"/>
  <c r="AO567" i="4" s="1"/>
  <c r="AO627" i="4" a="1"/>
  <c r="AO627" i="4" s="1"/>
  <c r="AO703" i="4" a="1"/>
  <c r="AO703" i="4" s="1"/>
  <c r="AO756" i="4" a="1"/>
  <c r="AO756" i="4" s="1"/>
  <c r="AO82" i="4" a="1"/>
  <c r="AO82" i="4" s="1"/>
  <c r="AO36" i="4" a="1"/>
  <c r="AO36" i="4" s="1"/>
  <c r="AO100" i="4" a="1"/>
  <c r="AO100" i="4" s="1"/>
  <c r="AO38" i="4" a="1"/>
  <c r="AO38" i="4" s="1"/>
  <c r="AO47" i="4" a="1"/>
  <c r="AO47" i="4" s="1"/>
  <c r="AO111" i="4" a="1"/>
  <c r="AO111" i="4" s="1"/>
  <c r="AO77" i="4" a="1"/>
  <c r="AO77" i="4" s="1"/>
  <c r="AO169" i="4" a="1"/>
  <c r="AO169" i="4" s="1"/>
  <c r="AO233" i="4" a="1"/>
  <c r="AO233" i="4" s="1"/>
  <c r="AO297" i="4" a="1"/>
  <c r="AO297" i="4" s="1"/>
  <c r="AO361" i="4" a="1"/>
  <c r="AO361" i="4" s="1"/>
  <c r="AO412" i="4" a="1"/>
  <c r="AO412" i="4" s="1"/>
  <c r="AO472" i="4" a="1"/>
  <c r="AO472" i="4" s="1"/>
  <c r="AO131" i="4" a="1"/>
  <c r="AO131" i="4" s="1"/>
  <c r="AO202" i="4" a="1"/>
  <c r="AO202" i="4" s="1"/>
  <c r="AO266" i="4" a="1"/>
  <c r="AO266" i="4" s="1"/>
  <c r="AO330" i="4" a="1"/>
  <c r="AO330" i="4" s="1"/>
  <c r="AO390" i="4" a="1"/>
  <c r="AO390" i="4" s="1"/>
  <c r="AO456" i="4" a="1"/>
  <c r="AO456" i="4" s="1"/>
  <c r="AO133" i="4" a="1"/>
  <c r="AO133" i="4" s="1"/>
  <c r="AO203" i="4" a="1"/>
  <c r="AO203" i="4" s="1"/>
  <c r="AO267" i="4" a="1"/>
  <c r="AO267" i="4" s="1"/>
  <c r="AO331" i="4" a="1"/>
  <c r="AO331" i="4" s="1"/>
  <c r="AO402" i="4" a="1"/>
  <c r="AO402" i="4" s="1"/>
  <c r="AO457" i="4" a="1"/>
  <c r="AO457" i="4" s="1"/>
  <c r="AO514" i="4" a="1"/>
  <c r="AO514" i="4" s="1"/>
  <c r="AO96" i="4" a="1"/>
  <c r="AO96" i="4" s="1"/>
  <c r="AO180" i="4" a="1"/>
  <c r="AO180" i="4" s="1"/>
  <c r="AO244" i="4" a="1"/>
  <c r="AO244" i="4" s="1"/>
  <c r="AO308" i="4" a="1"/>
  <c r="AO308" i="4" s="1"/>
  <c r="AO371" i="4" a="1"/>
  <c r="AO371" i="4" s="1"/>
  <c r="AO442" i="4" a="1"/>
  <c r="AO442" i="4" s="1"/>
  <c r="AO515" i="4" a="1"/>
  <c r="AO515" i="4" s="1"/>
  <c r="AO72" i="4" a="1"/>
  <c r="AO72" i="4" s="1"/>
  <c r="AO166" i="4" a="1"/>
  <c r="AO166" i="4" s="1"/>
  <c r="AO230" i="4" a="1"/>
  <c r="AO230" i="4" s="1"/>
  <c r="AO294" i="4" a="1"/>
  <c r="AO294" i="4" s="1"/>
  <c r="AO358" i="4" a="1"/>
  <c r="AO358" i="4" s="1"/>
  <c r="AO421" i="4" a="1"/>
  <c r="AO421" i="4" s="1"/>
  <c r="AO481" i="4" a="1"/>
  <c r="AO481" i="4" s="1"/>
  <c r="AO549" i="4" a="1"/>
  <c r="AO549" i="4" s="1"/>
  <c r="AO139" i="4" a="1"/>
  <c r="AO139" i="4" s="1"/>
  <c r="AO207" i="4" a="1"/>
  <c r="AO207" i="4" s="1"/>
  <c r="AO271" i="4" a="1"/>
  <c r="AO271" i="4" s="1"/>
  <c r="AO335" i="4" a="1"/>
  <c r="AO335" i="4" s="1"/>
  <c r="AO405" i="4" a="1"/>
  <c r="AO405" i="4" s="1"/>
  <c r="AO476" i="4" a="1"/>
  <c r="AO476" i="4" s="1"/>
  <c r="AO533" i="4" a="1"/>
  <c r="AO533" i="4" s="1"/>
  <c r="AO213" i="4" a="1"/>
  <c r="AO213" i="4" s="1"/>
  <c r="AO484" i="4" a="1"/>
  <c r="AO484" i="4" s="1"/>
  <c r="AO596" i="4" a="1"/>
  <c r="AO596" i="4" s="1"/>
  <c r="AO646" i="4" a="1"/>
  <c r="AO646" i="4" s="1"/>
  <c r="AO723" i="4" a="1"/>
  <c r="AO723" i="4" s="1"/>
  <c r="AO782" i="4" a="1"/>
  <c r="AO782" i="4" s="1"/>
  <c r="AO834" i="4" a="1"/>
  <c r="AO834" i="4" s="1"/>
  <c r="AO312" i="4" a="1"/>
  <c r="AO312" i="4" s="1"/>
  <c r="AO521" i="4" a="1"/>
  <c r="AO521" i="4" s="1"/>
  <c r="AO597" i="4" a="1"/>
  <c r="AO597" i="4" s="1"/>
  <c r="AO668" i="4" a="1"/>
  <c r="AO668" i="4" s="1"/>
  <c r="AO719" i="4" a="1"/>
  <c r="AO719" i="4" s="1"/>
  <c r="AO776" i="4" a="1"/>
  <c r="AO776" i="4" s="1"/>
  <c r="AO835" i="4" a="1"/>
  <c r="AO835" i="4" s="1"/>
  <c r="AO221" i="4" a="1"/>
  <c r="AO221" i="4" s="1"/>
  <c r="AO462" i="4" a="1"/>
  <c r="AO462" i="4" s="1"/>
  <c r="AO571" i="4" a="1"/>
  <c r="AO571" i="4" s="1"/>
  <c r="AO647" i="4" a="1"/>
  <c r="AO647" i="4" s="1"/>
  <c r="AO713" i="4" a="1"/>
  <c r="AO713" i="4" s="1"/>
  <c r="AO789" i="4" a="1"/>
  <c r="AO789" i="4" s="1"/>
  <c r="AO859" i="4" a="1"/>
  <c r="AO859" i="4" s="1"/>
  <c r="AO115" i="4" a="1"/>
  <c r="AO115" i="4" s="1"/>
  <c r="AO378" i="4" a="1"/>
  <c r="AO378" i="4" s="1"/>
  <c r="AO534" i="4" a="1"/>
  <c r="AO534" i="4" s="1"/>
  <c r="AO620" i="4" a="1"/>
  <c r="AO620" i="4" s="1"/>
  <c r="AO680" i="4" a="1"/>
  <c r="AO680" i="4" s="1"/>
  <c r="AO743" i="4" a="1"/>
  <c r="AO743" i="4" s="1"/>
  <c r="AO813" i="4" a="1"/>
  <c r="AO813" i="4" s="1"/>
  <c r="AO200" i="4" a="1"/>
  <c r="AO200" i="4" s="1"/>
  <c r="AO480" i="4" a="1"/>
  <c r="AO480" i="4" s="1"/>
  <c r="AO573" i="4" a="1"/>
  <c r="AO573" i="4" s="1"/>
  <c r="AO633" i="4" a="1"/>
  <c r="AO633" i="4" s="1"/>
  <c r="AO710" i="4" a="1"/>
  <c r="AO710" i="4" s="1"/>
  <c r="AO85" i="4" a="1"/>
  <c r="AO85" i="4" s="1"/>
  <c r="AO365" i="4" a="1"/>
  <c r="AO365" i="4" s="1"/>
  <c r="AO90" i="4" a="1"/>
  <c r="AO90" i="4" s="1"/>
  <c r="AO44" i="4" a="1"/>
  <c r="AO44" i="4" s="1"/>
  <c r="AO108" i="4" a="1"/>
  <c r="AO108" i="4" s="1"/>
  <c r="AO46" i="4" a="1"/>
  <c r="AO46" i="4" s="1"/>
  <c r="AO55" i="4" a="1"/>
  <c r="AO55" i="4" s="1"/>
  <c r="AO119" i="4" a="1"/>
  <c r="AO119" i="4" s="1"/>
  <c r="AO91" i="4" a="1"/>
  <c r="AO91" i="4" s="1"/>
  <c r="AO177" i="4" a="1"/>
  <c r="AO177" i="4" s="1"/>
  <c r="AO241" i="4" a="1"/>
  <c r="AO241" i="4" s="1"/>
  <c r="AO305" i="4" a="1"/>
  <c r="AO305" i="4" s="1"/>
  <c r="AO369" i="4" a="1"/>
  <c r="AO369" i="4" s="1"/>
  <c r="AO423" i="4" a="1"/>
  <c r="AO423" i="4" s="1"/>
  <c r="AO32" i="4" a="1"/>
  <c r="AO32" i="4" s="1"/>
  <c r="AO144" i="4" a="1"/>
  <c r="AO144" i="4" s="1"/>
  <c r="AO210" i="4" a="1"/>
  <c r="AO210" i="4" s="1"/>
  <c r="AO274" i="4" a="1"/>
  <c r="AO274" i="4" s="1"/>
  <c r="AO338" i="4" a="1"/>
  <c r="AO338" i="4" s="1"/>
  <c r="AO395" i="4" a="1"/>
  <c r="AO395" i="4" s="1"/>
  <c r="AO33" i="4" a="1"/>
  <c r="AO33" i="4" s="1"/>
  <c r="AO145" i="4" a="1"/>
  <c r="AO145" i="4" s="1"/>
  <c r="AO211" i="4" a="1"/>
  <c r="AO211" i="4" s="1"/>
  <c r="AO275" i="4" a="1"/>
  <c r="AO275" i="4" s="1"/>
  <c r="AO339" i="4" a="1"/>
  <c r="AO339" i="4" s="1"/>
  <c r="AO408" i="4" a="1"/>
  <c r="AO408" i="4" s="1"/>
  <c r="AO463" i="4" a="1"/>
  <c r="AO463" i="4" s="1"/>
  <c r="AO525" i="4" a="1"/>
  <c r="AO525" i="4" s="1"/>
  <c r="AO109" i="4" a="1"/>
  <c r="AO109" i="4" s="1"/>
  <c r="AO188" i="4" a="1"/>
  <c r="AO188" i="4" s="1"/>
  <c r="AO252" i="4" a="1"/>
  <c r="AO252" i="4" s="1"/>
  <c r="AO316" i="4" a="1"/>
  <c r="AO316" i="4" s="1"/>
  <c r="AO380" i="4" a="1"/>
  <c r="AO380" i="4" s="1"/>
  <c r="AO452" i="4" a="1"/>
  <c r="AO452" i="4" s="1"/>
  <c r="AO520" i="4" a="1"/>
  <c r="AO520" i="4" s="1"/>
  <c r="AO86" i="4" a="1"/>
  <c r="AO86" i="4" s="1"/>
  <c r="AO174" i="4" a="1"/>
  <c r="AO174" i="4" s="1"/>
  <c r="AO238" i="4" a="1"/>
  <c r="AO238" i="4" s="1"/>
  <c r="AO302" i="4" a="1"/>
  <c r="AO302" i="4" s="1"/>
  <c r="AO366" i="4" a="1"/>
  <c r="AO366" i="4" s="1"/>
  <c r="AO426" i="4" a="1"/>
  <c r="AO426" i="4" s="1"/>
  <c r="AO487" i="4" a="1"/>
  <c r="AO487" i="4" s="1"/>
  <c r="AO41" i="4" a="1"/>
  <c r="AO41" i="4" s="1"/>
  <c r="AO150" i="4" a="1"/>
  <c r="AO150" i="4" s="1"/>
  <c r="AO215" i="4" a="1"/>
  <c r="AO215" i="4" s="1"/>
  <c r="AO279" i="4" a="1"/>
  <c r="AO279" i="4" s="1"/>
  <c r="AO343" i="4" a="1"/>
  <c r="AO343" i="4" s="1"/>
  <c r="AO411" i="4" a="1"/>
  <c r="AO411" i="4" s="1"/>
  <c r="AO482" i="4" a="1"/>
  <c r="AO482" i="4" s="1"/>
  <c r="AO539" i="4" a="1"/>
  <c r="AO539" i="4" s="1"/>
  <c r="AO245" i="4" a="1"/>
  <c r="AO245" i="4" s="1"/>
  <c r="AO496" i="4" a="1"/>
  <c r="AO496" i="4" s="1"/>
  <c r="AO607" i="4" a="1"/>
  <c r="AO607" i="4" s="1"/>
  <c r="AO657" i="4" a="1"/>
  <c r="AO657" i="4" s="1"/>
  <c r="AO730" i="4" a="1"/>
  <c r="AO730" i="4" s="1"/>
  <c r="AO787" i="4" a="1"/>
  <c r="AO787" i="4" s="1"/>
  <c r="AO43" i="4" a="1"/>
  <c r="AO43" i="4" s="1"/>
  <c r="AO344" i="4" a="1"/>
  <c r="AO344" i="4" s="1"/>
  <c r="AO552" i="4" a="1"/>
  <c r="AO552" i="4" s="1"/>
  <c r="AO603" i="4" a="1"/>
  <c r="AO603" i="4" s="1"/>
  <c r="AO679" i="4" a="1"/>
  <c r="AO679" i="4" s="1"/>
  <c r="AO724" i="4" a="1"/>
  <c r="AO724" i="4" s="1"/>
  <c r="AO783" i="4" a="1"/>
  <c r="AO783" i="4" s="1"/>
  <c r="AO840" i="4" a="1"/>
  <c r="AO840" i="4" s="1"/>
  <c r="AO253" i="4" a="1"/>
  <c r="AO253" i="4" s="1"/>
  <c r="AO477" i="4" a="1"/>
  <c r="AO477" i="4" s="1"/>
  <c r="AO576" i="4" a="1"/>
  <c r="AO576" i="4" s="1"/>
  <c r="AO652" i="4" a="1"/>
  <c r="AO652" i="4" s="1"/>
  <c r="AO725" i="4" a="1"/>
  <c r="AO725" i="4" s="1"/>
  <c r="AO795" i="4" a="1"/>
  <c r="AO795" i="4" s="1"/>
  <c r="AO864" i="4" a="1"/>
  <c r="AO864" i="4" s="1"/>
  <c r="AO160" i="4" a="1"/>
  <c r="AO160" i="4" s="1"/>
  <c r="AO400" i="4" a="1"/>
  <c r="AO400" i="4" s="1"/>
  <c r="AO554" i="4" a="1"/>
  <c r="AO554" i="4" s="1"/>
  <c r="AO626" i="4" a="1"/>
  <c r="AO626" i="4" s="1"/>
  <c r="AO686" i="4" a="1"/>
  <c r="AO686" i="4" s="1"/>
  <c r="AO749" i="4" a="1"/>
  <c r="AO749" i="4" s="1"/>
  <c r="AO825" i="4" a="1"/>
  <c r="AO825" i="4" s="1"/>
  <c r="AO232" i="4" a="1"/>
  <c r="AO232" i="4" s="1"/>
  <c r="AO492" i="4" a="1"/>
  <c r="AO492" i="4" s="1"/>
  <c r="AO578" i="4" a="1"/>
  <c r="AO578" i="4" s="1"/>
  <c r="AO638" i="4" a="1"/>
  <c r="AO638" i="4" s="1"/>
  <c r="AO715" i="4" a="1"/>
  <c r="AO715" i="4" s="1"/>
  <c r="AO136" i="4" a="1"/>
  <c r="AO136" i="4" s="1"/>
  <c r="AO386" i="4" a="1"/>
  <c r="AO386" i="4" s="1"/>
  <c r="AO556" i="4" a="1"/>
  <c r="AO556" i="4" s="1"/>
  <c r="AO606" i="4" a="1"/>
  <c r="AO606" i="4" s="1"/>
  <c r="AO830" i="4" a="1"/>
  <c r="AO830" i="4" s="1"/>
  <c r="AO333" i="4" a="1"/>
  <c r="AO333" i="4" s="1"/>
  <c r="AO595" i="4" a="1"/>
  <c r="AO595" i="4" s="1"/>
  <c r="AO682" i="4" a="1"/>
  <c r="AO682" i="4" s="1"/>
  <c r="AO745" i="4" a="1"/>
  <c r="AO745" i="4" s="1"/>
  <c r="AO821" i="4" a="1"/>
  <c r="AO821" i="4" s="1"/>
  <c r="AO891" i="4" a="1"/>
  <c r="AO891" i="4" s="1"/>
  <c r="AO659" i="4" a="1"/>
  <c r="AO659" i="4" s="1"/>
  <c r="AO843" i="4" a="1"/>
  <c r="AO843" i="4" s="1"/>
  <c r="AO914" i="4" a="1"/>
  <c r="AO914" i="4" s="1"/>
  <c r="AO985" i="4" a="1"/>
  <c r="AO985" i="4" s="1"/>
  <c r="AO1062" i="4" a="1"/>
  <c r="AO1062" i="4" s="1"/>
  <c r="AO368" i="4" a="1"/>
  <c r="AO368" i="4" s="1"/>
  <c r="AO729" i="4" a="1"/>
  <c r="AO729" i="4" s="1"/>
  <c r="AO863" i="4" a="1"/>
  <c r="AO863" i="4" s="1"/>
  <c r="AO945" i="4" a="1"/>
  <c r="AO945" i="4" s="1"/>
  <c r="AO1002" i="4" a="1"/>
  <c r="AO1002" i="4" s="1"/>
  <c r="AO1052" i="4" a="1"/>
  <c r="AO1052" i="4" s="1"/>
  <c r="AO123" i="4" a="1"/>
  <c r="AO123" i="4" s="1"/>
  <c r="AO665" i="4" a="1"/>
  <c r="AO665" i="4" s="1"/>
  <c r="AO833" i="4" a="1"/>
  <c r="AO833" i="4" s="1"/>
  <c r="AO909" i="4" a="1"/>
  <c r="AO909" i="4" s="1"/>
  <c r="AO968" i="4" a="1"/>
  <c r="AO968" i="4" s="1"/>
  <c r="AO1027" i="4" a="1"/>
  <c r="AO1027" i="4" s="1"/>
  <c r="AO12" i="4" a="1"/>
  <c r="AO12" i="4" s="1"/>
  <c r="AO645" i="4" a="1"/>
  <c r="AO645" i="4" s="1"/>
  <c r="AO820" i="4" a="1"/>
  <c r="AO820" i="4" s="1"/>
  <c r="AO910" i="4" a="1"/>
  <c r="AO910" i="4" s="1"/>
  <c r="AO981" i="4" a="1"/>
  <c r="AO981" i="4" s="1"/>
  <c r="AO1049" i="4" a="1"/>
  <c r="AO1049" i="4" s="1"/>
  <c r="AO293" i="4" a="1"/>
  <c r="AO293" i="4" s="1"/>
  <c r="AO670" i="4" a="1"/>
  <c r="AO670" i="4" s="1"/>
  <c r="AO874" i="4" a="1"/>
  <c r="AO874" i="4" s="1"/>
  <c r="AO964" i="4" a="1"/>
  <c r="AO964" i="4" s="1"/>
  <c r="AO1033" i="4" a="1"/>
  <c r="AO1033" i="4" s="1"/>
  <c r="AO20" i="4" a="1"/>
  <c r="AO20" i="4" s="1"/>
  <c r="AO672" i="4" a="1"/>
  <c r="AO672" i="4" s="1"/>
  <c r="AO860" i="4" a="1"/>
  <c r="AO860" i="4" s="1"/>
  <c r="AO924" i="4" a="1"/>
  <c r="AO924" i="4" s="1"/>
  <c r="AO982" i="4" a="1"/>
  <c r="AO982" i="4" s="1"/>
  <c r="AO1050" i="4" a="1"/>
  <c r="AO1050" i="4" s="1"/>
  <c r="AO197" i="4" a="1"/>
  <c r="AO197" i="4" s="1"/>
  <c r="AO698" i="4" a="1"/>
  <c r="AO698" i="4" s="1"/>
  <c r="AO884" i="4" a="1"/>
  <c r="AO884" i="4" s="1"/>
  <c r="AO943" i="4" a="1"/>
  <c r="AO943" i="4" s="1"/>
  <c r="AO1000" i="4" a="1"/>
  <c r="AO1000" i="4" s="1"/>
  <c r="AO1071" i="4" a="1"/>
  <c r="AO1071" i="4" s="1"/>
  <c r="AO978" i="4" a="1"/>
  <c r="AO978" i="4" s="1"/>
  <c r="AO1072" i="4" a="1"/>
  <c r="AO1072" i="4" s="1"/>
  <c r="AO900" i="4" a="1"/>
  <c r="AO900" i="4" s="1"/>
  <c r="AO1046" i="4" a="1"/>
  <c r="AO1046" i="4" s="1"/>
  <c r="AO920" i="4" a="1"/>
  <c r="AO920" i="4" s="1"/>
  <c r="AO1061" i="4" a="1"/>
  <c r="AO1061" i="4" s="1"/>
  <c r="AO264" i="4" a="1"/>
  <c r="AO264" i="4" s="1"/>
  <c r="AO410" i="4" a="1"/>
  <c r="AO410" i="4" s="1"/>
  <c r="AO601" i="4" a="1"/>
  <c r="AO601" i="4" s="1"/>
  <c r="AO688" i="4" a="1"/>
  <c r="AO688" i="4" s="1"/>
  <c r="AO757" i="4" a="1"/>
  <c r="AO757" i="4" s="1"/>
  <c r="AO827" i="4" a="1"/>
  <c r="AO827" i="4" s="1"/>
  <c r="AO69" i="4" a="1"/>
  <c r="AO69" i="4" s="1"/>
  <c r="AO681" i="4" a="1"/>
  <c r="AO681" i="4" s="1"/>
  <c r="AO854" i="4" a="1"/>
  <c r="AO854" i="4" s="1"/>
  <c r="AO921" i="4" a="1"/>
  <c r="AO921" i="4" s="1"/>
  <c r="AO990" i="4" a="1"/>
  <c r="AO990" i="4" s="1"/>
  <c r="AO1067" i="4" a="1"/>
  <c r="AO1067" i="4" s="1"/>
  <c r="AO455" i="4" a="1"/>
  <c r="AO455" i="4" s="1"/>
  <c r="AO752" i="4" a="1"/>
  <c r="AO752" i="4" s="1"/>
  <c r="AO880" i="4" a="1"/>
  <c r="AO880" i="4" s="1"/>
  <c r="AO950" i="4" a="1"/>
  <c r="AO950" i="4" s="1"/>
  <c r="AO1009" i="4" a="1"/>
  <c r="AO1009" i="4" s="1"/>
  <c r="AO1058" i="4" a="1"/>
  <c r="AO1058" i="4" s="1"/>
  <c r="AO261" i="4" a="1"/>
  <c r="AO261" i="4" s="1"/>
  <c r="AO687" i="4" a="1"/>
  <c r="AO687" i="4" s="1"/>
  <c r="AO846" i="4" a="1"/>
  <c r="AO846" i="4" s="1"/>
  <c r="AO915" i="4" a="1"/>
  <c r="AO915" i="4" s="1"/>
  <c r="AO975" i="4" a="1"/>
  <c r="AO975" i="4" s="1"/>
  <c r="AO1038" i="4" a="1"/>
  <c r="AO1038" i="4" s="1"/>
  <c r="AO26" i="4" a="1"/>
  <c r="AO26" i="4" s="1"/>
  <c r="AO667" i="4" a="1"/>
  <c r="AO667" i="4" s="1"/>
  <c r="AO837" i="4" a="1"/>
  <c r="AO837" i="4" s="1"/>
  <c r="AO916" i="4" a="1"/>
  <c r="AO916" i="4" s="1"/>
  <c r="AO987" i="4" a="1"/>
  <c r="AO987" i="4" s="1"/>
  <c r="AO1059" i="4" a="1"/>
  <c r="AO1059" i="4" s="1"/>
  <c r="AO403" i="4" a="1"/>
  <c r="AO403" i="4" s="1"/>
  <c r="AO714" i="4" a="1"/>
  <c r="AO714" i="4" s="1"/>
  <c r="AO897" i="4" a="1"/>
  <c r="AO897" i="4" s="1"/>
  <c r="AO976" i="4" a="1"/>
  <c r="AO976" i="4" s="1"/>
  <c r="AO1039" i="4" a="1"/>
  <c r="AO1039" i="4" s="1"/>
  <c r="AO28" i="4" a="1"/>
  <c r="AO28" i="4" s="1"/>
  <c r="AO717" i="4" a="1"/>
  <c r="AO717" i="4" s="1"/>
  <c r="AO868" i="4" a="1"/>
  <c r="AO868" i="4" s="1"/>
  <c r="AO930" i="4" a="1"/>
  <c r="AO930" i="4" s="1"/>
  <c r="AO988" i="4" a="1"/>
  <c r="AO988" i="4" s="1"/>
  <c r="AO1060" i="4" a="1"/>
  <c r="AO1060" i="4" s="1"/>
  <c r="AO325" i="4" a="1"/>
  <c r="AO325" i="4" s="1"/>
  <c r="AO721" i="4" a="1"/>
  <c r="AO721" i="4" s="1"/>
  <c r="AO892" i="4" a="1"/>
  <c r="AO892" i="4" s="1"/>
  <c r="AO948" i="4" a="1"/>
  <c r="AO948" i="4" s="1"/>
  <c r="AO1007" i="4" a="1"/>
  <c r="AO1007" i="4" s="1"/>
  <c r="AO1082" i="4" a="1"/>
  <c r="AO1082" i="4" s="1"/>
  <c r="AO1024" i="4" a="1"/>
  <c r="AO1024" i="4" s="1"/>
  <c r="AO336" i="4" a="1"/>
  <c r="AO336" i="4" s="1"/>
  <c r="AO949" i="4" a="1"/>
  <c r="AO949" i="4" s="1"/>
  <c r="AO10" i="4" a="1"/>
  <c r="AO10" i="4" s="1"/>
  <c r="AO1013" i="4" a="1"/>
  <c r="AO1013" i="4" s="1"/>
  <c r="AO504" i="4" a="1"/>
  <c r="AO504" i="4" s="1"/>
  <c r="AO483" i="4" a="1"/>
  <c r="AO483" i="4" s="1"/>
  <c r="AO617" i="4" a="1"/>
  <c r="AO617" i="4" s="1"/>
  <c r="AO693" i="4" a="1"/>
  <c r="AO693" i="4" s="1"/>
  <c r="AO763" i="4" a="1"/>
  <c r="AO763" i="4" s="1"/>
  <c r="AO832" i="4" a="1"/>
  <c r="AO832" i="4" s="1"/>
  <c r="AO229" i="4" a="1"/>
  <c r="AO229" i="4" s="1"/>
  <c r="AO726" i="4" a="1"/>
  <c r="AO726" i="4" s="1"/>
  <c r="AO871" i="4" a="1"/>
  <c r="AO871" i="4" s="1"/>
  <c r="AO926" i="4" a="1"/>
  <c r="AO926" i="4" s="1"/>
  <c r="AO996" i="4" a="1"/>
  <c r="AO996" i="4" s="1"/>
  <c r="AO1078" i="4" a="1"/>
  <c r="AO1078" i="4" s="1"/>
  <c r="AO507" i="4" a="1"/>
  <c r="AO507" i="4" s="1"/>
  <c r="AO769" i="4" a="1"/>
  <c r="AO769" i="4" s="1"/>
  <c r="AO887" i="4" a="1"/>
  <c r="AO887" i="4" s="1"/>
  <c r="AO956" i="4" a="1"/>
  <c r="AO956" i="4" s="1"/>
  <c r="AO1014" i="4" a="1"/>
  <c r="AO1014" i="4" s="1"/>
  <c r="AO1073" i="4" a="1"/>
  <c r="AO1073" i="4" s="1"/>
  <c r="AO381" i="4" a="1"/>
  <c r="AO381" i="4" s="1"/>
  <c r="AO709" i="4" a="1"/>
  <c r="AO709" i="4" s="1"/>
  <c r="AO857" i="4" a="1"/>
  <c r="AO857" i="4" s="1"/>
  <c r="AO927" i="4" a="1"/>
  <c r="AO927" i="4" s="1"/>
  <c r="AO980" i="4" a="1"/>
  <c r="AO980" i="4" s="1"/>
  <c r="AO1048" i="4" a="1"/>
  <c r="AO1048" i="4" s="1"/>
  <c r="AO141" i="4" a="1"/>
  <c r="AO141" i="4" s="1"/>
  <c r="AO689" i="4" a="1"/>
  <c r="AO689" i="4" s="1"/>
  <c r="AO849" i="4" a="1"/>
  <c r="AO849" i="4" s="1"/>
  <c r="AO923" i="4" a="1"/>
  <c r="AO923" i="4" s="1"/>
  <c r="AO992" i="4" a="1"/>
  <c r="AO992" i="4" s="1"/>
  <c r="AO1075" i="4" a="1"/>
  <c r="AO1075" i="4" s="1"/>
  <c r="AO478" i="4" a="1"/>
  <c r="AO478" i="4" s="1"/>
  <c r="AO738" i="4" a="1"/>
  <c r="AO738" i="4" s="1"/>
  <c r="AO911" i="4" a="1"/>
  <c r="AO911" i="4" s="1"/>
  <c r="AO993" i="4" a="1"/>
  <c r="AO993" i="4" s="1"/>
  <c r="AO1044" i="4" a="1"/>
  <c r="AO1044" i="4" s="1"/>
  <c r="AO176" i="4" a="1"/>
  <c r="AO176" i="4" s="1"/>
  <c r="AO740" i="4" a="1"/>
  <c r="AO740" i="4" s="1"/>
  <c r="AO875" i="4" a="1"/>
  <c r="AO875" i="4" s="1"/>
  <c r="AO942" i="4" a="1"/>
  <c r="AO942" i="4" s="1"/>
  <c r="AO994" i="4" a="1"/>
  <c r="AO994" i="4" s="1"/>
  <c r="AO1070" i="4" a="1"/>
  <c r="AO1070" i="4" s="1"/>
  <c r="AO535" i="4" a="1"/>
  <c r="AO535" i="4" s="1"/>
  <c r="AO779" i="4" a="1"/>
  <c r="AO779" i="4" s="1"/>
  <c r="AO899" i="4" a="1"/>
  <c r="AO899" i="4" s="1"/>
  <c r="AO959" i="4" a="1"/>
  <c r="AO959" i="4" s="1"/>
  <c r="AO1012" i="4" a="1"/>
  <c r="AO1012" i="4" s="1"/>
  <c r="AO9" i="4" a="1"/>
  <c r="AO9" i="4" s="1"/>
  <c r="AO1066" i="4" a="1"/>
  <c r="AO1066" i="4" s="1"/>
  <c r="AO656" i="4" a="1"/>
  <c r="AO656" i="4" s="1"/>
  <c r="AO1041" i="4" a="1"/>
  <c r="AO1041" i="4" s="1"/>
  <c r="AO540" i="4" a="1"/>
  <c r="AO540" i="4" s="1"/>
  <c r="AO1056" i="4" a="1"/>
  <c r="AO1056" i="4" s="1"/>
  <c r="AO589" i="4" a="1"/>
  <c r="AO589" i="4" s="1"/>
  <c r="AO518" i="4" a="1"/>
  <c r="AO518" i="4" s="1"/>
  <c r="AO623" i="4" a="1"/>
  <c r="AO623" i="4" s="1"/>
  <c r="AO699" i="4" a="1"/>
  <c r="AO699" i="4" s="1"/>
  <c r="AO768" i="4" a="1"/>
  <c r="AO768" i="4" s="1"/>
  <c r="AO844" i="4" a="1"/>
  <c r="AO844" i="4" s="1"/>
  <c r="AO357" i="4" a="1"/>
  <c r="AO357" i="4" s="1"/>
  <c r="AO750" i="4" a="1"/>
  <c r="AO750" i="4" s="1"/>
  <c r="AO879" i="4" a="1"/>
  <c r="AO879" i="4" s="1"/>
  <c r="AO932" i="4" a="1"/>
  <c r="AO932" i="4" s="1"/>
  <c r="AO1008" i="4" a="1"/>
  <c r="AO1008" i="4" s="1"/>
  <c r="AO4" i="4" a="1"/>
  <c r="AO4" i="4" s="1"/>
  <c r="AO551" i="4" a="1"/>
  <c r="AO551" i="4" s="1"/>
  <c r="AO802" i="4" a="1"/>
  <c r="AO802" i="4" s="1"/>
  <c r="AO902" i="4" a="1"/>
  <c r="AO902" i="4" s="1"/>
  <c r="AO962" i="4" a="1"/>
  <c r="AO962" i="4" s="1"/>
  <c r="AO1020" i="4" a="1"/>
  <c r="AO1020" i="4" s="1"/>
  <c r="AO1079" i="4" a="1"/>
  <c r="AO1079" i="4" s="1"/>
  <c r="AO466" i="4" a="1"/>
  <c r="AO466" i="4" s="1"/>
  <c r="AO732" i="4" a="1"/>
  <c r="AO732" i="4" s="1"/>
  <c r="AO865" i="4" a="1"/>
  <c r="AO865" i="4" s="1"/>
  <c r="AO934" i="4" a="1"/>
  <c r="AO934" i="4" s="1"/>
  <c r="AO991" i="4" a="1"/>
  <c r="AO991" i="4" s="1"/>
  <c r="AO1053" i="4" a="1"/>
  <c r="AO1053" i="4" s="1"/>
  <c r="AO272" i="4" a="1"/>
  <c r="AO272" i="4" s="1"/>
  <c r="AO711" i="4" a="1"/>
  <c r="AO711" i="4" s="1"/>
  <c r="AO858" i="4" a="1"/>
  <c r="AO858" i="4" s="1"/>
  <c r="AO928" i="4" a="1"/>
  <c r="AO928" i="4" s="1"/>
  <c r="AO1004" i="4" a="1"/>
  <c r="AO1004" i="4" s="1"/>
  <c r="AO1080" i="4" a="1"/>
  <c r="AO1080" i="4" s="1"/>
  <c r="AO524" i="4" a="1"/>
  <c r="AO524" i="4" s="1"/>
  <c r="AO762" i="4" a="1"/>
  <c r="AO762" i="4" s="1"/>
  <c r="AO929" i="4" a="1"/>
  <c r="AO929" i="4" s="1"/>
  <c r="AO999" i="4" a="1"/>
  <c r="AO999" i="4" s="1"/>
  <c r="AO1054" i="4" a="1"/>
  <c r="AO1054" i="4" s="1"/>
  <c r="AO304" i="4" a="1"/>
  <c r="AO304" i="4" s="1"/>
  <c r="AO778" i="4" a="1"/>
  <c r="AO778" i="4" s="1"/>
  <c r="AO883" i="4" a="1"/>
  <c r="AO883" i="4" s="1"/>
  <c r="AO947" i="4" a="1"/>
  <c r="AO947" i="4" s="1"/>
  <c r="AO1006" i="4" a="1"/>
  <c r="AO1006" i="4" s="1"/>
  <c r="AO1076" i="4" a="1"/>
  <c r="AO1076" i="4" s="1"/>
  <c r="AO566" i="4" a="1"/>
  <c r="AO566" i="4" s="1"/>
  <c r="AO796" i="4" a="1"/>
  <c r="AO796" i="4" s="1"/>
  <c r="AO913" i="4" a="1"/>
  <c r="AO913" i="4" s="1"/>
  <c r="AO966" i="4" a="1"/>
  <c r="AO966" i="4" s="1"/>
  <c r="AO1023" i="4" a="1"/>
  <c r="AO1023" i="4" s="1"/>
  <c r="AO15" i="4" a="1"/>
  <c r="AO15" i="4" s="1"/>
  <c r="AO208" i="4" a="1"/>
  <c r="AO208" i="4" s="1"/>
  <c r="AO814" i="4" a="1"/>
  <c r="AO814" i="4" s="1"/>
  <c r="AO3" i="4" a="1"/>
  <c r="AO3" i="4" s="1"/>
  <c r="AO960" i="4" a="1"/>
  <c r="AO960" i="4" s="1"/>
  <c r="AO23" i="4" a="1"/>
  <c r="AO23" i="4" s="1"/>
  <c r="AO649" i="4" a="1"/>
  <c r="AO649" i="4" s="1"/>
  <c r="AO529" i="4" a="1"/>
  <c r="AO529" i="4" s="1"/>
  <c r="AO644" i="4" a="1"/>
  <c r="AO644" i="4" s="1"/>
  <c r="AO704" i="4" a="1"/>
  <c r="AO704" i="4" s="1"/>
  <c r="AO780" i="4" a="1"/>
  <c r="AO780" i="4" s="1"/>
  <c r="AO850" i="4" a="1"/>
  <c r="AO850" i="4" s="1"/>
  <c r="AO447" i="4" a="1"/>
  <c r="AO447" i="4" s="1"/>
  <c r="AO767" i="4" a="1"/>
  <c r="AO767" i="4" s="1"/>
  <c r="AO886" i="4" a="1"/>
  <c r="AO886" i="4" s="1"/>
  <c r="AO944" i="4" a="1"/>
  <c r="AO944" i="4" s="1"/>
  <c r="AO1025" i="4" a="1"/>
  <c r="AO1025" i="4" s="1"/>
  <c r="AO17" i="4" a="1"/>
  <c r="AO17" i="4" s="1"/>
  <c r="AO574" i="4" a="1"/>
  <c r="AO574" i="4" s="1"/>
  <c r="AO816" i="4" a="1"/>
  <c r="AO816" i="4" s="1"/>
  <c r="AO908" i="4" a="1"/>
  <c r="AO908" i="4" s="1"/>
  <c r="AO974" i="4" a="1"/>
  <c r="AO974" i="4" s="1"/>
  <c r="AO1026" i="4" a="1"/>
  <c r="AO1026" i="4" s="1"/>
  <c r="AO5" i="4" a="1"/>
  <c r="AO5" i="4" s="1"/>
  <c r="AO513" i="4" a="1"/>
  <c r="AO513" i="4" s="1"/>
  <c r="AO755" i="4" a="1"/>
  <c r="AO755" i="4" s="1"/>
  <c r="AO872" i="4" a="1"/>
  <c r="AO872" i="4" s="1"/>
  <c r="AO939" i="4" a="1"/>
  <c r="AO939" i="4" s="1"/>
  <c r="AO998" i="4" a="1"/>
  <c r="AO998" i="4" s="1"/>
  <c r="AO1063" i="4" a="1"/>
  <c r="AO1063" i="4" s="1"/>
  <c r="AO388" i="4" a="1"/>
  <c r="AO388" i="4" s="1"/>
  <c r="AO734" i="4" a="1"/>
  <c r="AO734" i="4" s="1"/>
  <c r="AO866" i="4" a="1"/>
  <c r="AO866" i="4" s="1"/>
  <c r="AO940" i="4" a="1"/>
  <c r="AO940" i="4" s="1"/>
  <c r="AO1010" i="4" a="1"/>
  <c r="AO1010" i="4" s="1"/>
  <c r="AO13" i="4" a="1"/>
  <c r="AO13" i="4" s="1"/>
  <c r="AO561" i="4" a="1"/>
  <c r="AO561" i="4" s="1"/>
  <c r="AO775" i="4" a="1"/>
  <c r="AO775" i="4" s="1"/>
  <c r="AO935" i="4" a="1"/>
  <c r="AO935" i="4" s="1"/>
  <c r="AO1005" i="4" a="1"/>
  <c r="AO1005" i="4" s="1"/>
  <c r="AO1064" i="4" a="1"/>
  <c r="AO1064" i="4" s="1"/>
  <c r="AO563" i="4" a="1"/>
  <c r="AO563" i="4" s="1"/>
  <c r="AO793" i="4" a="1"/>
  <c r="AO793" i="4" s="1"/>
  <c r="AO898" i="4" a="1"/>
  <c r="AO898" i="4" s="1"/>
  <c r="AO954" i="4" a="1"/>
  <c r="AO954" i="4" s="1"/>
  <c r="AO1011" i="4" a="1"/>
  <c r="AO1011" i="4" s="1"/>
  <c r="AO1081" i="4" a="1"/>
  <c r="AO1081" i="4" s="1"/>
  <c r="AO588" i="4" a="1"/>
  <c r="AO588" i="4" s="1"/>
  <c r="AO851" i="4" a="1"/>
  <c r="AO851" i="4" s="1"/>
  <c r="AO919" i="4" a="1"/>
  <c r="AO919" i="4" s="1"/>
  <c r="AO971" i="4" a="1"/>
  <c r="AO971" i="4" s="1"/>
  <c r="AO1034" i="4" a="1"/>
  <c r="AO1034" i="4" s="1"/>
  <c r="AO22" i="4" a="1"/>
  <c r="AO22" i="4" s="1"/>
  <c r="AO797" i="4" a="1"/>
  <c r="AO797" i="4" s="1"/>
  <c r="AO893" i="4" a="1"/>
  <c r="AO893" i="4" s="1"/>
  <c r="AO842" i="4" a="1"/>
  <c r="AO842" i="4" s="1"/>
  <c r="AO1051" i="4" a="1"/>
  <c r="AO1051" i="4" s="1"/>
  <c r="AO591" i="4" a="1"/>
  <c r="AO591" i="4" s="1"/>
  <c r="AO727" i="4" a="1"/>
  <c r="AO727" i="4" s="1"/>
  <c r="AO562" i="4" a="1"/>
  <c r="AO562" i="4" s="1"/>
  <c r="AO660" i="4" a="1"/>
  <c r="AO660" i="4" s="1"/>
  <c r="AO716" i="4" a="1"/>
  <c r="AO716" i="4" s="1"/>
  <c r="AO786" i="4" a="1"/>
  <c r="AO786" i="4" s="1"/>
  <c r="AO856" i="4" a="1"/>
  <c r="AO856" i="4" s="1"/>
  <c r="AO546" i="4" a="1"/>
  <c r="AO546" i="4" s="1"/>
  <c r="AO785" i="4" a="1"/>
  <c r="AO785" i="4" s="1"/>
  <c r="AO894" i="4" a="1"/>
  <c r="AO894" i="4" s="1"/>
  <c r="AO961" i="4" a="1"/>
  <c r="AO961" i="4" s="1"/>
  <c r="AO1036" i="4" a="1"/>
  <c r="AO1036" i="4" s="1"/>
  <c r="AO24" i="4" a="1"/>
  <c r="AO24" i="4" s="1"/>
  <c r="AO639" i="4" a="1"/>
  <c r="AO639" i="4" s="1"/>
  <c r="AO831" i="4" a="1"/>
  <c r="AO831" i="4" s="1"/>
  <c r="AO922" i="4" a="1"/>
  <c r="AO922" i="4" s="1"/>
  <c r="AO979" i="4" a="1"/>
  <c r="AO979" i="4" s="1"/>
  <c r="AO1031" i="4" a="1"/>
  <c r="AO1031" i="4" s="1"/>
  <c r="AO11" i="4" a="1"/>
  <c r="AO11" i="4" s="1"/>
  <c r="AO599" i="4" a="1"/>
  <c r="AO599" i="4" s="1"/>
  <c r="AO773" i="4" a="1"/>
  <c r="AO773" i="4" s="1"/>
  <c r="AO881" i="4" a="1"/>
  <c r="AO881" i="4" s="1"/>
  <c r="AO951" i="4" a="1"/>
  <c r="AO951" i="4" s="1"/>
  <c r="AO1003" i="4" a="1"/>
  <c r="AO1003" i="4" s="1"/>
  <c r="AO1068" i="4" a="1"/>
  <c r="AO1068" i="4" s="1"/>
  <c r="AO471" i="4" a="1"/>
  <c r="AO471" i="4" s="1"/>
  <c r="AO774" i="4" a="1"/>
  <c r="AO774" i="4" s="1"/>
  <c r="AO890" i="4" a="1"/>
  <c r="AO890" i="4" s="1"/>
  <c r="AO946" i="4" a="1"/>
  <c r="AO946" i="4" s="1"/>
  <c r="AO1016" i="4" a="1"/>
  <c r="AO1016" i="4" s="1"/>
  <c r="AO19" i="4" a="1"/>
  <c r="AO19" i="4" s="1"/>
  <c r="AO583" i="4" a="1"/>
  <c r="AO583" i="4" s="1"/>
  <c r="AO791" i="4" a="1"/>
  <c r="AO791" i="4" s="1"/>
  <c r="AO941" i="4" a="1"/>
  <c r="AO941" i="4" s="1"/>
  <c r="AO1017" i="4" a="1"/>
  <c r="AO1017" i="4" s="1"/>
  <c r="AO1069" i="4" a="1"/>
  <c r="AO1069" i="4" s="1"/>
  <c r="AO585" i="4" a="1"/>
  <c r="AO585" i="4" s="1"/>
  <c r="AO808" i="4" a="1"/>
  <c r="AO808" i="4" s="1"/>
  <c r="AO904" i="4" a="1"/>
  <c r="AO904" i="4" s="1"/>
  <c r="AO965" i="4" a="1"/>
  <c r="AO965" i="4" s="1"/>
  <c r="AO1018" i="4" a="1"/>
  <c r="AO1018" i="4" s="1"/>
  <c r="AO8" i="4" a="1"/>
  <c r="AO8" i="4" s="1"/>
  <c r="AO610" i="4" a="1"/>
  <c r="AO610" i="4" s="1"/>
  <c r="AO861" i="4" a="1"/>
  <c r="AO861" i="4" s="1"/>
  <c r="AO925" i="4" a="1"/>
  <c r="AO925" i="4" s="1"/>
  <c r="AO983" i="4" a="1"/>
  <c r="AO983" i="4" s="1"/>
  <c r="AO1040" i="4" a="1"/>
  <c r="AO1040" i="4" s="1"/>
  <c r="AO612" i="4" a="1"/>
  <c r="AO612" i="4" s="1"/>
  <c r="AO937" i="4" a="1"/>
  <c r="AO937" i="4" s="1"/>
  <c r="AO1035" i="4" a="1"/>
  <c r="AO1035" i="4" s="1"/>
  <c r="AO906" i="4" a="1"/>
  <c r="AO906" i="4" s="1"/>
  <c r="AO16" i="4" a="1"/>
  <c r="AO16" i="4" s="1"/>
  <c r="AO870" i="4" a="1"/>
  <c r="AO870" i="4" s="1"/>
  <c r="AO173" i="4" a="1"/>
  <c r="AO173" i="4" s="1"/>
  <c r="AO568" i="4" a="1"/>
  <c r="AO568" i="4" s="1"/>
  <c r="AO671" i="4" a="1"/>
  <c r="AO671" i="4" s="1"/>
  <c r="AO722" i="4" a="1"/>
  <c r="AO722" i="4" s="1"/>
  <c r="AO792" i="4" a="1"/>
  <c r="AO792" i="4" s="1"/>
  <c r="AO873" i="4" a="1"/>
  <c r="AO873" i="4" s="1"/>
  <c r="AO572" i="4" a="1"/>
  <c r="AO572" i="4" s="1"/>
  <c r="AO798" i="4" a="1"/>
  <c r="AO798" i="4" s="1"/>
  <c r="AO901" i="4" a="1"/>
  <c r="AO901" i="4" s="1"/>
  <c r="AO967" i="4" a="1"/>
  <c r="AO967" i="4" s="1"/>
  <c r="AO1047" i="4" a="1"/>
  <c r="AO1047" i="4" s="1"/>
  <c r="AO89" i="4" a="1"/>
  <c r="AO89" i="4" s="1"/>
  <c r="AO661" i="4" a="1"/>
  <c r="AO661" i="4" s="1"/>
  <c r="AO845" i="4" a="1"/>
  <c r="AO845" i="4" s="1"/>
  <c r="AO933" i="4" a="1"/>
  <c r="AO933" i="4" s="1"/>
  <c r="AO986" i="4" a="1"/>
  <c r="AO986" i="4" s="1"/>
  <c r="AO1037" i="4" a="1"/>
  <c r="AO1037" i="4" s="1"/>
  <c r="AO18" i="4" a="1"/>
  <c r="AO18" i="4" s="1"/>
  <c r="AO621" i="4" a="1"/>
  <c r="AO621" i="4" s="1"/>
  <c r="AO803" i="4" a="1"/>
  <c r="AO803" i="4" s="1"/>
  <c r="AO889" i="4" a="1"/>
  <c r="AO889" i="4" s="1"/>
  <c r="AO957" i="4" a="1"/>
  <c r="AO957" i="4" s="1"/>
  <c r="AO1015" i="4" a="1"/>
  <c r="AO1015" i="4" s="1"/>
  <c r="AO1074" i="4" a="1"/>
  <c r="AO1074" i="4" s="1"/>
  <c r="AO557" i="4" a="1"/>
  <c r="AO557" i="4" s="1"/>
  <c r="AO790" i="4" a="1"/>
  <c r="AO790" i="4" s="1"/>
  <c r="AO896" i="4" a="1"/>
  <c r="AO896" i="4" s="1"/>
  <c r="AO952" i="4" a="1"/>
  <c r="AO952" i="4" s="1"/>
  <c r="AO1032" i="4" a="1"/>
  <c r="AO1032" i="4" s="1"/>
  <c r="AO27" i="4" a="1"/>
  <c r="AO27" i="4" s="1"/>
  <c r="AO605" i="4" a="1"/>
  <c r="AO605" i="4" s="1"/>
  <c r="AO838" i="4" a="1"/>
  <c r="AO838" i="4" s="1"/>
  <c r="AO953" i="4" a="1"/>
  <c r="AO953" i="4" s="1"/>
  <c r="AO1022" i="4" a="1"/>
  <c r="AO1022" i="4" s="1"/>
  <c r="AO7" i="4" a="1"/>
  <c r="AO7" i="4" s="1"/>
  <c r="AO628" i="4" a="1"/>
  <c r="AO628" i="4" s="1"/>
  <c r="AO826" i="4" a="1"/>
  <c r="AO826" i="4" s="1"/>
  <c r="AO912" i="4" a="1"/>
  <c r="AO912" i="4" s="1"/>
  <c r="AO970" i="4" a="1"/>
  <c r="AO970" i="4" s="1"/>
  <c r="AO1029" i="4" a="1"/>
  <c r="AO1029" i="4" s="1"/>
  <c r="AO21" i="4" a="1"/>
  <c r="AO21" i="4" s="1"/>
  <c r="AO632" i="4" a="1"/>
  <c r="AO632" i="4" s="1"/>
  <c r="AO869" i="4" a="1"/>
  <c r="AO869" i="4" s="1"/>
  <c r="AO931" i="4" a="1"/>
  <c r="AO931" i="4" s="1"/>
  <c r="AO989" i="4" a="1"/>
  <c r="AO989" i="4" s="1"/>
  <c r="AO1055" i="4" a="1"/>
  <c r="AO1055" i="4" s="1"/>
  <c r="AO781" i="4" a="1"/>
  <c r="AO781" i="4" s="1"/>
  <c r="AO984" i="4" a="1"/>
  <c r="AO984" i="4" s="1"/>
  <c r="AO1077" i="4" a="1"/>
  <c r="AO1077" i="4" s="1"/>
  <c r="AO955" i="4" a="1"/>
  <c r="AO955" i="4" s="1"/>
  <c r="AO569" i="4" a="1"/>
  <c r="AO569" i="4" s="1"/>
  <c r="AO972" i="4" a="1"/>
  <c r="AO972" i="4" s="1"/>
  <c r="AO269" i="4" a="1"/>
  <c r="AO269" i="4" s="1"/>
  <c r="AO584" i="4" a="1"/>
  <c r="AO584" i="4" s="1"/>
  <c r="AO677" i="4" a="1"/>
  <c r="AO677" i="4" s="1"/>
  <c r="AO728" i="4" a="1"/>
  <c r="AO728" i="4" s="1"/>
  <c r="AO809" i="4" a="1"/>
  <c r="AO809" i="4" s="1"/>
  <c r="AO885" i="4" a="1"/>
  <c r="AO885" i="4" s="1"/>
  <c r="AO594" i="4" a="1"/>
  <c r="AO594" i="4" s="1"/>
  <c r="AO815" i="4" a="1"/>
  <c r="AO815" i="4" s="1"/>
  <c r="AO907" i="4" a="1"/>
  <c r="AO907" i="4" s="1"/>
  <c r="AO973" i="4" a="1"/>
  <c r="AO973" i="4" s="1"/>
  <c r="AO1057" i="4" a="1"/>
  <c r="AO1057" i="4" s="1"/>
  <c r="AO240" i="4" a="1"/>
  <c r="AO240" i="4" s="1"/>
  <c r="AO705" i="4" a="1"/>
  <c r="AO705" i="4" s="1"/>
  <c r="AO855" i="4" a="1"/>
  <c r="AO855" i="4" s="1"/>
  <c r="AO938" i="4" a="1"/>
  <c r="AO938" i="4" s="1"/>
  <c r="AO997" i="4" a="1"/>
  <c r="AO997" i="4" s="1"/>
  <c r="AO1042" i="4" a="1"/>
  <c r="AO1042" i="4" s="1"/>
  <c r="AO25" i="4" a="1"/>
  <c r="AO25" i="4" s="1"/>
  <c r="AO643" i="4" a="1"/>
  <c r="AO643" i="4" s="1"/>
  <c r="AO819" i="4" a="1"/>
  <c r="AO819" i="4" s="1"/>
  <c r="AO895" i="4" a="1"/>
  <c r="AO895" i="4" s="1"/>
  <c r="AO963" i="4" a="1"/>
  <c r="AO963" i="4" s="1"/>
  <c r="AO1021" i="4" a="1"/>
  <c r="AO1021" i="4" s="1"/>
  <c r="AO6" i="4" a="1"/>
  <c r="AO6" i="4" s="1"/>
  <c r="AO602" i="4" a="1"/>
  <c r="AO602" i="4" s="1"/>
  <c r="AO804" i="4" a="1"/>
  <c r="AO804" i="4" s="1"/>
  <c r="AO903" i="4" a="1"/>
  <c r="AO903" i="4" s="1"/>
  <c r="AO969" i="4" a="1"/>
  <c r="AO969" i="4" s="1"/>
  <c r="AO1043" i="4" a="1"/>
  <c r="AO1043" i="4" s="1"/>
  <c r="AO165" i="4" a="1"/>
  <c r="AO165" i="4" s="1"/>
  <c r="AO648" i="4" a="1"/>
  <c r="AO648" i="4" s="1"/>
  <c r="AO867" i="4" a="1"/>
  <c r="AO867" i="4" s="1"/>
  <c r="AO958" i="4" a="1"/>
  <c r="AO958" i="4" s="1"/>
  <c r="AO1028" i="4" a="1"/>
  <c r="AO1028" i="4" s="1"/>
  <c r="AO14" i="4" a="1"/>
  <c r="AO14" i="4" s="1"/>
  <c r="AO650" i="4" a="1"/>
  <c r="AO650" i="4" s="1"/>
  <c r="AO839" i="4" a="1"/>
  <c r="AO839" i="4" s="1"/>
  <c r="AO918" i="4" a="1"/>
  <c r="AO918" i="4" s="1"/>
  <c r="AO977" i="4" a="1"/>
  <c r="AO977" i="4" s="1"/>
  <c r="AO1045" i="4" a="1"/>
  <c r="AO1045" i="4" s="1"/>
  <c r="AO29" i="4" a="1"/>
  <c r="AO29" i="4" s="1"/>
  <c r="AO654" i="4" a="1"/>
  <c r="AO654" i="4" s="1"/>
  <c r="AO877" i="4" a="1"/>
  <c r="AO877" i="4" s="1"/>
  <c r="AO936" i="4" a="1"/>
  <c r="AO936" i="4" s="1"/>
  <c r="AO995" i="4" a="1"/>
  <c r="AO995" i="4" s="1"/>
  <c r="AO1065" i="4" a="1"/>
  <c r="AO1065" i="4" s="1"/>
  <c r="AO878" i="4" a="1"/>
  <c r="AO878" i="4" s="1"/>
  <c r="AO1030" i="4" a="1"/>
  <c r="AO1030" i="4" s="1"/>
  <c r="AO678" i="4" a="1"/>
  <c r="AO678" i="4" s="1"/>
  <c r="AO1001" i="4" a="1"/>
  <c r="AO1001" i="4" s="1"/>
  <c r="AO862" i="4" a="1"/>
  <c r="AO862" i="4" s="1"/>
  <c r="AO1019" i="4" a="1"/>
  <c r="AO1019" i="4" s="1"/>
  <c r="AP17" i="4"/>
  <c r="AP22" i="4"/>
  <c r="AP10" i="4"/>
  <c r="AP3" i="4"/>
  <c r="AP20" i="4"/>
  <c r="AP4" i="4"/>
  <c r="AP15" i="4"/>
  <c r="AP13" i="4"/>
  <c r="AP8" i="4"/>
  <c r="AP18" i="4"/>
  <c r="AP7" i="4"/>
  <c r="AL2" i="4"/>
  <c r="AP26" i="4"/>
  <c r="AM2" i="4" a="1"/>
  <c r="AM2" i="4" s="1"/>
  <c r="AP5" i="4"/>
  <c r="AP25" i="4"/>
  <c r="AP12" i="4"/>
  <c r="AP2" i="4"/>
  <c r="AP9" i="4"/>
  <c r="AP14" i="4"/>
  <c r="AP19" i="4"/>
  <c r="AP24" i="4"/>
  <c r="AP23" i="4"/>
  <c r="AP6" i="4"/>
  <c r="AP11" i="4"/>
  <c r="AP16" i="4"/>
  <c r="AP21" i="4"/>
  <c r="AE3" i="4" a="1"/>
  <c r="AE3" i="4" s="1"/>
  <c r="P512" i="3" l="1"/>
  <c r="P812" i="3"/>
  <c r="P578" i="3"/>
  <c r="P655" i="3"/>
  <c r="P552" i="3"/>
  <c r="P716" i="3"/>
  <c r="P623" i="3"/>
  <c r="S2" i="3"/>
  <c r="P85" i="3"/>
  <c r="P149" i="3"/>
  <c r="P213" i="3"/>
  <c r="P277" i="3"/>
  <c r="P79" i="3"/>
  <c r="P143" i="3"/>
  <c r="P207" i="3"/>
  <c r="P271" i="3"/>
  <c r="P335" i="3"/>
  <c r="P399" i="3"/>
  <c r="P463" i="3"/>
  <c r="P527" i="3"/>
  <c r="P591" i="3"/>
  <c r="P88" i="3"/>
  <c r="P152" i="3"/>
  <c r="P216" i="3"/>
  <c r="P280" i="3"/>
  <c r="P81" i="3"/>
  <c r="P145" i="3"/>
  <c r="P209" i="3"/>
  <c r="P273" i="3"/>
  <c r="P337" i="3"/>
  <c r="P401" i="3"/>
  <c r="P465" i="3"/>
  <c r="P529" i="3"/>
  <c r="P593" i="3"/>
  <c r="P657" i="3"/>
  <c r="P42" i="3"/>
  <c r="P106" i="3"/>
  <c r="P170" i="3"/>
  <c r="P234" i="3"/>
  <c r="P298" i="3"/>
  <c r="P362" i="3"/>
  <c r="P426" i="3"/>
  <c r="P490" i="3"/>
  <c r="P60" i="3"/>
  <c r="P124" i="3"/>
  <c r="P188" i="3"/>
  <c r="P252" i="3"/>
  <c r="P316" i="3"/>
  <c r="P380" i="3"/>
  <c r="P444" i="3"/>
  <c r="P508" i="3"/>
  <c r="P572" i="3"/>
  <c r="P636" i="3"/>
  <c r="P700" i="3"/>
  <c r="P939" i="3"/>
  <c r="P875" i="3"/>
  <c r="P811" i="3"/>
  <c r="P747" i="3"/>
  <c r="P675" i="3"/>
  <c r="P589" i="3"/>
  <c r="P478" i="3"/>
  <c r="P350" i="3"/>
  <c r="P155" i="3"/>
  <c r="P970" i="3"/>
  <c r="P906" i="3"/>
  <c r="P842" i="3"/>
  <c r="P778" i="3"/>
  <c r="P714" i="3"/>
  <c r="P631" i="3"/>
  <c r="P536" i="3"/>
  <c r="P413" i="3"/>
  <c r="P278" i="3"/>
  <c r="P480" i="3"/>
  <c r="P158" i="3"/>
  <c r="P953" i="3"/>
  <c r="P889" i="3"/>
  <c r="P825" i="3"/>
  <c r="P761" i="3"/>
  <c r="P694" i="3"/>
  <c r="P608" i="3"/>
  <c r="P507" i="3"/>
  <c r="P379" i="3"/>
  <c r="P211" i="3"/>
  <c r="P984" i="3"/>
  <c r="P920" i="3"/>
  <c r="P856" i="3"/>
  <c r="P792" i="3"/>
  <c r="P728" i="3"/>
  <c r="P884" i="3"/>
  <c r="P996" i="3"/>
  <c r="P677" i="3"/>
  <c r="P980" i="3"/>
  <c r="P748" i="3"/>
  <c r="P539" i="3"/>
  <c r="P956" i="3"/>
  <c r="P37" i="3"/>
  <c r="P101" i="3"/>
  <c r="P165" i="3"/>
  <c r="P229" i="3"/>
  <c r="P31" i="3"/>
  <c r="P95" i="3"/>
  <c r="P159" i="3"/>
  <c r="P223" i="3"/>
  <c r="P287" i="3"/>
  <c r="P351" i="3"/>
  <c r="P415" i="3"/>
  <c r="P479" i="3"/>
  <c r="P543" i="3"/>
  <c r="P40" i="3"/>
  <c r="P104" i="3"/>
  <c r="P168" i="3"/>
  <c r="P232" i="3"/>
  <c r="P33" i="3"/>
  <c r="P97" i="3"/>
  <c r="P161" i="3"/>
  <c r="P225" i="3"/>
  <c r="P289" i="3"/>
  <c r="P353" i="3"/>
  <c r="P417" i="3"/>
  <c r="P481" i="3"/>
  <c r="P545" i="3"/>
  <c r="P609" i="3"/>
  <c r="P673" i="3"/>
  <c r="P58" i="3"/>
  <c r="P122" i="3"/>
  <c r="P186" i="3"/>
  <c r="P250" i="3"/>
  <c r="P314" i="3"/>
  <c r="P378" i="3"/>
  <c r="P442" i="3"/>
  <c r="P506" i="3"/>
  <c r="P76" i="3"/>
  <c r="P140" i="3"/>
  <c r="P204" i="3"/>
  <c r="P268" i="3"/>
  <c r="P332" i="3"/>
  <c r="P396" i="3"/>
  <c r="P460" i="3"/>
  <c r="P524" i="3"/>
  <c r="P588" i="3"/>
  <c r="P652" i="3"/>
  <c r="P987" i="3"/>
  <c r="P923" i="3"/>
  <c r="P859" i="3"/>
  <c r="P795" i="3"/>
  <c r="P731" i="3"/>
  <c r="P654" i="3"/>
  <c r="P563" i="3"/>
  <c r="P446" i="3"/>
  <c r="P318" i="3"/>
  <c r="P91" i="3"/>
  <c r="P954" i="3"/>
  <c r="P890" i="3"/>
  <c r="P826" i="3"/>
  <c r="P762" i="3"/>
  <c r="P695" i="3"/>
  <c r="P610" i="3"/>
  <c r="P509" i="3"/>
  <c r="P381" i="3"/>
  <c r="P214" i="3"/>
  <c r="P416" i="3"/>
  <c r="P62" i="3"/>
  <c r="P937" i="3"/>
  <c r="P873" i="3"/>
  <c r="P809" i="3"/>
  <c r="P745" i="3"/>
  <c r="P672" i="3"/>
  <c r="P586" i="3"/>
  <c r="P475" i="3"/>
  <c r="P347" i="3"/>
  <c r="P147" i="3"/>
  <c r="P968" i="3"/>
  <c r="P820" i="3"/>
  <c r="P932" i="3"/>
  <c r="P988" i="3"/>
  <c r="P916" i="3"/>
  <c r="P590" i="3"/>
  <c r="P964" i="3"/>
  <c r="P892" i="3"/>
  <c r="P45" i="3"/>
  <c r="P109" i="3"/>
  <c r="P173" i="3"/>
  <c r="P237" i="3"/>
  <c r="P39" i="3"/>
  <c r="P103" i="3"/>
  <c r="P167" i="3"/>
  <c r="P231" i="3"/>
  <c r="P295" i="3"/>
  <c r="P359" i="3"/>
  <c r="P423" i="3"/>
  <c r="P487" i="3"/>
  <c r="P551" i="3"/>
  <c r="P48" i="3"/>
  <c r="P112" i="3"/>
  <c r="P176" i="3"/>
  <c r="P240" i="3"/>
  <c r="P41" i="3"/>
  <c r="P105" i="3"/>
  <c r="P169" i="3"/>
  <c r="P233" i="3"/>
  <c r="P297" i="3"/>
  <c r="P361" i="3"/>
  <c r="P425" i="3"/>
  <c r="P489" i="3"/>
  <c r="P553" i="3"/>
  <c r="P617" i="3"/>
  <c r="P681" i="3"/>
  <c r="P66" i="3"/>
  <c r="P130" i="3"/>
  <c r="P194" i="3"/>
  <c r="P258" i="3"/>
  <c r="P322" i="3"/>
  <c r="P386" i="3"/>
  <c r="P450" i="3"/>
  <c r="P514" i="3"/>
  <c r="P84" i="3"/>
  <c r="P148" i="3"/>
  <c r="P212" i="3"/>
  <c r="P276" i="3"/>
  <c r="P340" i="3"/>
  <c r="P404" i="3"/>
  <c r="P468" i="3"/>
  <c r="P532" i="3"/>
  <c r="P596" i="3"/>
  <c r="P660" i="3"/>
  <c r="P979" i="3"/>
  <c r="P915" i="3"/>
  <c r="P851" i="3"/>
  <c r="P787" i="3"/>
  <c r="P723" i="3"/>
  <c r="P643" i="3"/>
  <c r="P550" i="3"/>
  <c r="P430" i="3"/>
  <c r="P302" i="3"/>
  <c r="P59" i="3"/>
  <c r="P946" i="3"/>
  <c r="P882" i="3"/>
  <c r="P818" i="3"/>
  <c r="P754" i="3"/>
  <c r="P685" i="3"/>
  <c r="P599" i="3"/>
  <c r="P493" i="3"/>
  <c r="P365" i="3"/>
  <c r="P182" i="3"/>
  <c r="P384" i="3"/>
  <c r="P993" i="3"/>
  <c r="P929" i="3"/>
  <c r="P865" i="3"/>
  <c r="P801" i="3"/>
  <c r="P602" i="3"/>
  <c r="P740" i="3"/>
  <c r="P796" i="3"/>
  <c r="P724" i="3"/>
  <c r="P844" i="3"/>
  <c r="P772" i="3"/>
  <c r="P698" i="3"/>
  <c r="P69" i="3"/>
  <c r="P133" i="3"/>
  <c r="P197" i="3"/>
  <c r="P261" i="3"/>
  <c r="P63" i="3"/>
  <c r="P127" i="3"/>
  <c r="P191" i="3"/>
  <c r="P255" i="3"/>
  <c r="P319" i="3"/>
  <c r="P383" i="3"/>
  <c r="P447" i="3"/>
  <c r="P511" i="3"/>
  <c r="P575" i="3"/>
  <c r="P72" i="3"/>
  <c r="P136" i="3"/>
  <c r="P200" i="3"/>
  <c r="P264" i="3"/>
  <c r="P65" i="3"/>
  <c r="P129" i="3"/>
  <c r="P193" i="3"/>
  <c r="P257" i="3"/>
  <c r="P321" i="3"/>
  <c r="P385" i="3"/>
  <c r="P449" i="3"/>
  <c r="P513" i="3"/>
  <c r="P577" i="3"/>
  <c r="P641" i="3"/>
  <c r="P705" i="3"/>
  <c r="P90" i="3"/>
  <c r="P154" i="3"/>
  <c r="P218" i="3"/>
  <c r="P282" i="3"/>
  <c r="P346" i="3"/>
  <c r="P410" i="3"/>
  <c r="P474" i="3"/>
  <c r="P44" i="3"/>
  <c r="P108" i="3"/>
  <c r="P172" i="3"/>
  <c r="P236" i="3"/>
  <c r="P300" i="3"/>
  <c r="P364" i="3"/>
  <c r="P428" i="3"/>
  <c r="P492" i="3"/>
  <c r="P556" i="3"/>
  <c r="P620" i="3"/>
  <c r="P684" i="3"/>
  <c r="P955" i="3"/>
  <c r="P891" i="3"/>
  <c r="P827" i="3"/>
  <c r="P763" i="3"/>
  <c r="P696" i="3"/>
  <c r="P611" i="3"/>
  <c r="P510" i="3"/>
  <c r="P382" i="3"/>
  <c r="P219" i="3"/>
  <c r="P986" i="3"/>
  <c r="P922" i="3"/>
  <c r="P858" i="3"/>
  <c r="P794" i="3"/>
  <c r="P730" i="3"/>
  <c r="P653" i="3"/>
  <c r="P562" i="3"/>
  <c r="P445" i="3"/>
  <c r="P317" i="3"/>
  <c r="P86" i="3"/>
  <c r="P286" i="3"/>
  <c r="P969" i="3"/>
  <c r="P905" i="3"/>
  <c r="P841" i="3"/>
  <c r="P777" i="3"/>
  <c r="P713" i="3"/>
  <c r="P630" i="3"/>
  <c r="P534" i="3"/>
  <c r="P411" i="3"/>
  <c r="P275" i="3"/>
  <c r="P1000" i="3"/>
  <c r="P936" i="3"/>
  <c r="P496" i="3"/>
  <c r="P732" i="3"/>
  <c r="P780" i="3"/>
  <c r="P613" i="3"/>
  <c r="P141" i="3"/>
  <c r="P269" i="3"/>
  <c r="P135" i="3"/>
  <c r="P263" i="3"/>
  <c r="P391" i="3"/>
  <c r="P519" i="3"/>
  <c r="P80" i="3"/>
  <c r="P208" i="3"/>
  <c r="P73" i="3"/>
  <c r="P201" i="3"/>
  <c r="P329" i="3"/>
  <c r="P457" i="3"/>
  <c r="P585" i="3"/>
  <c r="P34" i="3"/>
  <c r="P162" i="3"/>
  <c r="P290" i="3"/>
  <c r="P418" i="3"/>
  <c r="P52" i="3"/>
  <c r="P180" i="3"/>
  <c r="P308" i="3"/>
  <c r="P436" i="3"/>
  <c r="P564" i="3"/>
  <c r="P692" i="3"/>
  <c r="P883" i="3"/>
  <c r="P755" i="3"/>
  <c r="P600" i="3"/>
  <c r="P366" i="3"/>
  <c r="P978" i="3"/>
  <c r="P850" i="3"/>
  <c r="P722" i="3"/>
  <c r="P549" i="3"/>
  <c r="P301" i="3"/>
  <c r="P222" i="3"/>
  <c r="P897" i="3"/>
  <c r="P769" i="3"/>
  <c r="P651" i="3"/>
  <c r="P491" i="3"/>
  <c r="P299" i="3"/>
  <c r="P960" i="3"/>
  <c r="P880" i="3"/>
  <c r="P808" i="3"/>
  <c r="P736" i="3"/>
  <c r="P650" i="3"/>
  <c r="P558" i="3"/>
  <c r="P440" i="3"/>
  <c r="P312" i="3"/>
  <c r="P78" i="3"/>
  <c r="P951" i="3"/>
  <c r="P887" i="3"/>
  <c r="P823" i="3"/>
  <c r="P759" i="3"/>
  <c r="P691" i="3"/>
  <c r="P606" i="3"/>
  <c r="P502" i="3"/>
  <c r="P374" i="3"/>
  <c r="P203" i="3"/>
  <c r="P982" i="3"/>
  <c r="P918" i="3"/>
  <c r="P854" i="3"/>
  <c r="P790" i="3"/>
  <c r="P726" i="3"/>
  <c r="P647" i="3"/>
  <c r="P555" i="3"/>
  <c r="P437" i="3"/>
  <c r="P309" i="3"/>
  <c r="P70" i="3"/>
  <c r="P190" i="3"/>
  <c r="P957" i="3"/>
  <c r="P893" i="3"/>
  <c r="P829" i="3"/>
  <c r="P765" i="3"/>
  <c r="P699" i="3"/>
  <c r="P614" i="3"/>
  <c r="P515" i="3"/>
  <c r="P387" i="3"/>
  <c r="P227" i="3"/>
  <c r="P434" i="3"/>
  <c r="P68" i="3"/>
  <c r="P196" i="3"/>
  <c r="P324" i="3"/>
  <c r="P452" i="3"/>
  <c r="P464" i="3"/>
  <c r="P565" i="3"/>
  <c r="P634" i="3"/>
  <c r="P29" i="3"/>
  <c r="P157" i="3"/>
  <c r="P285" i="3"/>
  <c r="P151" i="3"/>
  <c r="P279" i="3"/>
  <c r="P407" i="3"/>
  <c r="P535" i="3"/>
  <c r="P96" i="3"/>
  <c r="P224" i="3"/>
  <c r="P89" i="3"/>
  <c r="P217" i="3"/>
  <c r="P345" i="3"/>
  <c r="P473" i="3"/>
  <c r="P601" i="3"/>
  <c r="P50" i="3"/>
  <c r="P178" i="3"/>
  <c r="P306" i="3"/>
  <c r="P868" i="3"/>
  <c r="P852" i="3"/>
  <c r="P900" i="3"/>
  <c r="P53" i="3"/>
  <c r="P181" i="3"/>
  <c r="P47" i="3"/>
  <c r="P175" i="3"/>
  <c r="P303" i="3"/>
  <c r="P431" i="3"/>
  <c r="P559" i="3"/>
  <c r="P120" i="3"/>
  <c r="P248" i="3"/>
  <c r="P113" i="3"/>
  <c r="P241" i="3"/>
  <c r="P369" i="3"/>
  <c r="P497" i="3"/>
  <c r="P625" i="3"/>
  <c r="P74" i="3"/>
  <c r="P202" i="3"/>
  <c r="P330" i="3"/>
  <c r="P458" i="3"/>
  <c r="P92" i="3"/>
  <c r="P220" i="3"/>
  <c r="P348" i="3"/>
  <c r="P476" i="3"/>
  <c r="P604" i="3"/>
  <c r="P971" i="3"/>
  <c r="P843" i="3"/>
  <c r="P715" i="3"/>
  <c r="P538" i="3"/>
  <c r="P283" i="3"/>
  <c r="P938" i="3"/>
  <c r="P810" i="3"/>
  <c r="P674" i="3"/>
  <c r="P477" i="3"/>
  <c r="P150" i="3"/>
  <c r="P985" i="3"/>
  <c r="P857" i="3"/>
  <c r="P737" i="3"/>
  <c r="P619" i="3"/>
  <c r="P443" i="3"/>
  <c r="P179" i="3"/>
  <c r="P944" i="3"/>
  <c r="P864" i="3"/>
  <c r="P784" i="3"/>
  <c r="P712" i="3"/>
  <c r="P629" i="3"/>
  <c r="P533" i="3"/>
  <c r="P408" i="3"/>
  <c r="P270" i="3"/>
  <c r="P999" i="3"/>
  <c r="P935" i="3"/>
  <c r="P871" i="3"/>
  <c r="P807" i="3"/>
  <c r="P743" i="3"/>
  <c r="P670" i="3"/>
  <c r="P582" i="3"/>
  <c r="P470" i="3"/>
  <c r="P342" i="3"/>
  <c r="P139" i="3"/>
  <c r="P966" i="3"/>
  <c r="P902" i="3"/>
  <c r="P838" i="3"/>
  <c r="P774" i="3"/>
  <c r="P710" i="3"/>
  <c r="P626" i="3"/>
  <c r="P530" i="3"/>
  <c r="P405" i="3"/>
  <c r="P262" i="3"/>
  <c r="P432" i="3"/>
  <c r="P30" i="3"/>
  <c r="P941" i="3"/>
  <c r="P877" i="3"/>
  <c r="P813" i="3"/>
  <c r="P749" i="3"/>
  <c r="P678" i="3"/>
  <c r="P592" i="3"/>
  <c r="P483" i="3"/>
  <c r="P355" i="3"/>
  <c r="P163" i="3"/>
  <c r="P666" i="3"/>
  <c r="P645" i="3"/>
  <c r="P708" i="3"/>
  <c r="P77" i="3"/>
  <c r="P205" i="3"/>
  <c r="P71" i="3"/>
  <c r="P199" i="3"/>
  <c r="P327" i="3"/>
  <c r="P455" i="3"/>
  <c r="P583" i="3"/>
  <c r="P144" i="3"/>
  <c r="P272" i="3"/>
  <c r="P137" i="3"/>
  <c r="P265" i="3"/>
  <c r="P393" i="3"/>
  <c r="P521" i="3"/>
  <c r="P649" i="3"/>
  <c r="P98" i="3"/>
  <c r="P226" i="3"/>
  <c r="P354" i="3"/>
  <c r="P482" i="3"/>
  <c r="P116" i="3"/>
  <c r="P244" i="3"/>
  <c r="P372" i="3"/>
  <c r="P500" i="3"/>
  <c r="P628" i="3"/>
  <c r="P947" i="3"/>
  <c r="P819" i="3"/>
  <c r="P686" i="3"/>
  <c r="P494" i="3"/>
  <c r="P187" i="3"/>
  <c r="P914" i="3"/>
  <c r="P786" i="3"/>
  <c r="P642" i="3"/>
  <c r="P429" i="3"/>
  <c r="P54" i="3"/>
  <c r="P961" i="3"/>
  <c r="P833" i="3"/>
  <c r="P721" i="3"/>
  <c r="P573" i="3"/>
  <c r="P395" i="3"/>
  <c r="P83" i="3"/>
  <c r="P912" i="3"/>
  <c r="P840" i="3"/>
  <c r="P768" i="3"/>
  <c r="P693" i="3"/>
  <c r="P607" i="3"/>
  <c r="P504" i="3"/>
  <c r="P376" i="3"/>
  <c r="P206" i="3"/>
  <c r="P983" i="3"/>
  <c r="P919" i="3"/>
  <c r="P855" i="3"/>
  <c r="P791" i="3"/>
  <c r="P727" i="3"/>
  <c r="P648" i="3"/>
  <c r="P557" i="3"/>
  <c r="P438" i="3"/>
  <c r="P310" i="3"/>
  <c r="P75" i="3"/>
  <c r="P950" i="3"/>
  <c r="P886" i="3"/>
  <c r="P822" i="3"/>
  <c r="P758" i="3"/>
  <c r="P690" i="3"/>
  <c r="P605" i="3"/>
  <c r="P501" i="3"/>
  <c r="P373" i="3"/>
  <c r="P198" i="3"/>
  <c r="P368" i="3"/>
  <c r="P989" i="3"/>
  <c r="P925" i="3"/>
  <c r="P861" i="3"/>
  <c r="P797" i="3"/>
  <c r="P733" i="3"/>
  <c r="P656" i="3"/>
  <c r="P566" i="3"/>
  <c r="P451" i="3"/>
  <c r="P323" i="3"/>
  <c r="P99" i="3"/>
  <c r="P687" i="3"/>
  <c r="P860" i="3"/>
  <c r="P908" i="3"/>
  <c r="P764" i="3"/>
  <c r="P125" i="3"/>
  <c r="P253" i="3"/>
  <c r="P119" i="3"/>
  <c r="P247" i="3"/>
  <c r="P375" i="3"/>
  <c r="P503" i="3"/>
  <c r="P64" i="3"/>
  <c r="P192" i="3"/>
  <c r="P57" i="3"/>
  <c r="P185" i="3"/>
  <c r="P313" i="3"/>
  <c r="P441" i="3"/>
  <c r="P569" i="3"/>
  <c r="P697" i="3"/>
  <c r="P146" i="3"/>
  <c r="P274" i="3"/>
  <c r="P402" i="3"/>
  <c r="P36" i="3"/>
  <c r="P164" i="3"/>
  <c r="P292" i="3"/>
  <c r="P420" i="3"/>
  <c r="P548" i="3"/>
  <c r="P676" i="3"/>
  <c r="P972" i="3"/>
  <c r="P221" i="3"/>
  <c r="P311" i="3"/>
  <c r="P56" i="3"/>
  <c r="P153" i="3"/>
  <c r="P505" i="3"/>
  <c r="P138" i="3"/>
  <c r="P498" i="3"/>
  <c r="P356" i="3"/>
  <c r="P644" i="3"/>
  <c r="P835" i="3"/>
  <c r="P622" i="3"/>
  <c r="P123" i="3"/>
  <c r="P834" i="3"/>
  <c r="P587" i="3"/>
  <c r="P118" i="3"/>
  <c r="P913" i="3"/>
  <c r="P704" i="3"/>
  <c r="P459" i="3"/>
  <c r="P992" i="3"/>
  <c r="P848" i="3"/>
  <c r="P744" i="3"/>
  <c r="P597" i="3"/>
  <c r="P424" i="3"/>
  <c r="P142" i="3"/>
  <c r="P927" i="3"/>
  <c r="P831" i="3"/>
  <c r="P719" i="3"/>
  <c r="P595" i="3"/>
  <c r="P406" i="3"/>
  <c r="P107" i="3"/>
  <c r="P926" i="3"/>
  <c r="P814" i="3"/>
  <c r="P718" i="3"/>
  <c r="P581" i="3"/>
  <c r="P389" i="3"/>
  <c r="P102" i="3"/>
  <c r="P981" i="3"/>
  <c r="P885" i="3"/>
  <c r="P781" i="3"/>
  <c r="P667" i="3"/>
  <c r="P528" i="3"/>
  <c r="P307" i="3"/>
  <c r="P803" i="3"/>
  <c r="P584" i="3"/>
  <c r="P110" i="3"/>
  <c r="P815" i="3"/>
  <c r="P711" i="3"/>
  <c r="P390" i="3"/>
  <c r="P43" i="3"/>
  <c r="P806" i="3"/>
  <c r="P701" i="3"/>
  <c r="P357" i="3"/>
  <c r="P973" i="3"/>
  <c r="P869" i="3"/>
  <c r="P646" i="3"/>
  <c r="P291" i="3"/>
  <c r="P526" i="3"/>
  <c r="P249" i="3"/>
  <c r="P242" i="3"/>
  <c r="P412" i="3"/>
  <c r="P779" i="3"/>
  <c r="P994" i="3"/>
  <c r="P523" i="3"/>
  <c r="P849" i="3"/>
  <c r="P363" i="3"/>
  <c r="P824" i="3"/>
  <c r="P571" i="3"/>
  <c r="P46" i="3"/>
  <c r="P799" i="3"/>
  <c r="P544" i="3"/>
  <c r="P894" i="3"/>
  <c r="P679" i="3"/>
  <c r="P341" i="3"/>
  <c r="P965" i="3"/>
  <c r="P757" i="3"/>
  <c r="P259" i="3"/>
  <c r="P948" i="3"/>
  <c r="P836" i="3"/>
  <c r="P245" i="3"/>
  <c r="P343" i="3"/>
  <c r="P128" i="3"/>
  <c r="P177" i="3"/>
  <c r="P537" i="3"/>
  <c r="P210" i="3"/>
  <c r="P28" i="3"/>
  <c r="P388" i="3"/>
  <c r="P668" i="3"/>
  <c r="P576" i="3"/>
  <c r="P27" i="3"/>
  <c r="P802" i="3"/>
  <c r="P574" i="3"/>
  <c r="P448" i="3"/>
  <c r="P881" i="3"/>
  <c r="P683" i="3"/>
  <c r="P427" i="3"/>
  <c r="P976" i="3"/>
  <c r="P832" i="3"/>
  <c r="P720" i="3"/>
  <c r="P392" i="3"/>
  <c r="P911" i="3"/>
  <c r="P570" i="3"/>
  <c r="P910" i="3"/>
  <c r="P568" i="3"/>
  <c r="P38" i="3"/>
  <c r="P773" i="3"/>
  <c r="P499" i="3"/>
  <c r="P367" i="3"/>
  <c r="P358" i="3"/>
  <c r="P635" i="3"/>
  <c r="P756" i="3"/>
  <c r="P804" i="3"/>
  <c r="P828" i="3"/>
  <c r="P87" i="3"/>
  <c r="P439" i="3"/>
  <c r="P184" i="3"/>
  <c r="P281" i="3"/>
  <c r="P633" i="3"/>
  <c r="P266" i="3"/>
  <c r="P132" i="3"/>
  <c r="P484" i="3"/>
  <c r="P963" i="3"/>
  <c r="P771" i="3"/>
  <c r="P462" i="3"/>
  <c r="P962" i="3"/>
  <c r="P746" i="3"/>
  <c r="P461" i="3"/>
  <c r="P320" i="3"/>
  <c r="P817" i="3"/>
  <c r="P640" i="3"/>
  <c r="P331" i="3"/>
  <c r="P928" i="3"/>
  <c r="P816" i="3"/>
  <c r="P682" i="3"/>
  <c r="P546" i="3"/>
  <c r="P344" i="3"/>
  <c r="P991" i="3"/>
  <c r="P895" i="3"/>
  <c r="P783" i="3"/>
  <c r="P680" i="3"/>
  <c r="P531" i="3"/>
  <c r="P326" i="3"/>
  <c r="P990" i="3"/>
  <c r="P878" i="3"/>
  <c r="P782" i="3"/>
  <c r="P669" i="3"/>
  <c r="P517" i="3"/>
  <c r="P325" i="3"/>
  <c r="P336" i="3"/>
  <c r="P949" i="3"/>
  <c r="P845" i="3"/>
  <c r="P741" i="3"/>
  <c r="P624" i="3"/>
  <c r="P435" i="3"/>
  <c r="P195" i="3"/>
  <c r="P93" i="3"/>
  <c r="P495" i="3"/>
  <c r="P377" i="3"/>
  <c r="P370" i="3"/>
  <c r="P540" i="3"/>
  <c r="P707" i="3"/>
  <c r="P898" i="3"/>
  <c r="P349" i="3"/>
  <c r="P785" i="3"/>
  <c r="P243" i="3"/>
  <c r="P776" i="3"/>
  <c r="P488" i="3"/>
  <c r="P967" i="3"/>
  <c r="P767" i="3"/>
  <c r="P486" i="3"/>
  <c r="P958" i="3"/>
  <c r="P750" i="3"/>
  <c r="P469" i="3"/>
  <c r="P254" i="3"/>
  <c r="P821" i="3"/>
  <c r="P579" i="3"/>
  <c r="P67" i="3"/>
  <c r="P117" i="3"/>
  <c r="P567" i="3"/>
  <c r="P409" i="3"/>
  <c r="P394" i="3"/>
  <c r="P580" i="3"/>
  <c r="P664" i="3"/>
  <c r="P874" i="3"/>
  <c r="P333" i="3"/>
  <c r="P753" i="3"/>
  <c r="P115" i="3"/>
  <c r="P760" i="3"/>
  <c r="P472" i="3"/>
  <c r="P959" i="3"/>
  <c r="P751" i="3"/>
  <c r="P454" i="3"/>
  <c r="P942" i="3"/>
  <c r="P742" i="3"/>
  <c r="P453" i="3"/>
  <c r="P126" i="3"/>
  <c r="P805" i="3"/>
  <c r="P554" i="3"/>
  <c r="P35" i="3"/>
  <c r="P876" i="3"/>
  <c r="P61" i="3"/>
  <c r="P111" i="3"/>
  <c r="P471" i="3"/>
  <c r="P256" i="3"/>
  <c r="P305" i="3"/>
  <c r="P665" i="3"/>
  <c r="P338" i="3"/>
  <c r="P156" i="3"/>
  <c r="P516" i="3"/>
  <c r="P931" i="3"/>
  <c r="P739" i="3"/>
  <c r="P414" i="3"/>
  <c r="P930" i="3"/>
  <c r="P738" i="3"/>
  <c r="P397" i="3"/>
  <c r="P94" i="3"/>
  <c r="P793" i="3"/>
  <c r="P598" i="3"/>
  <c r="P315" i="3"/>
  <c r="P904" i="3"/>
  <c r="P800" i="3"/>
  <c r="P671" i="3"/>
  <c r="P520" i="3"/>
  <c r="P328" i="3"/>
  <c r="P975" i="3"/>
  <c r="P879" i="3"/>
  <c r="P775" i="3"/>
  <c r="P659" i="3"/>
  <c r="P518" i="3"/>
  <c r="P294" i="3"/>
  <c r="P974" i="3"/>
  <c r="P870" i="3"/>
  <c r="P766" i="3"/>
  <c r="P658" i="3"/>
  <c r="P485" i="3"/>
  <c r="P293" i="3"/>
  <c r="P304" i="3"/>
  <c r="P933" i="3"/>
  <c r="P837" i="3"/>
  <c r="P725" i="3"/>
  <c r="P603" i="3"/>
  <c r="P419" i="3"/>
  <c r="P131" i="3"/>
  <c r="P924" i="3"/>
  <c r="P183" i="3"/>
  <c r="P288" i="3"/>
  <c r="P689" i="3"/>
  <c r="P228" i="3"/>
  <c r="P907" i="3"/>
  <c r="P398" i="3"/>
  <c r="P706" i="3"/>
  <c r="P977" i="3"/>
  <c r="P560" i="3"/>
  <c r="P896" i="3"/>
  <c r="P661" i="3"/>
  <c r="P296" i="3"/>
  <c r="P863" i="3"/>
  <c r="P638" i="3"/>
  <c r="P267" i="3"/>
  <c r="P862" i="3"/>
  <c r="P637" i="3"/>
  <c r="P230" i="3"/>
  <c r="P917" i="3"/>
  <c r="P717" i="3"/>
  <c r="P403" i="3"/>
  <c r="P788" i="3"/>
  <c r="P215" i="3"/>
  <c r="P49" i="3"/>
  <c r="P82" i="3"/>
  <c r="P260" i="3"/>
  <c r="P899" i="3"/>
  <c r="P334" i="3"/>
  <c r="P663" i="3"/>
  <c r="P945" i="3"/>
  <c r="P547" i="3"/>
  <c r="P888" i="3"/>
  <c r="P639" i="3"/>
  <c r="P238" i="3"/>
  <c r="P847" i="3"/>
  <c r="P627" i="3"/>
  <c r="P235" i="3"/>
  <c r="P846" i="3"/>
  <c r="P615" i="3"/>
  <c r="P166" i="3"/>
  <c r="P909" i="3"/>
  <c r="P709" i="3"/>
  <c r="P371" i="3"/>
  <c r="P940" i="3"/>
  <c r="P189" i="3"/>
  <c r="P239" i="3"/>
  <c r="P32" i="3"/>
  <c r="P121" i="3"/>
  <c r="P433" i="3"/>
  <c r="P114" i="3"/>
  <c r="P466" i="3"/>
  <c r="P284" i="3"/>
  <c r="P612" i="3"/>
  <c r="P867" i="3"/>
  <c r="P632" i="3"/>
  <c r="P251" i="3"/>
  <c r="P866" i="3"/>
  <c r="P621" i="3"/>
  <c r="P246" i="3"/>
  <c r="P921" i="3"/>
  <c r="P729" i="3"/>
  <c r="P522" i="3"/>
  <c r="P51" i="3"/>
  <c r="P872" i="3"/>
  <c r="P752" i="3"/>
  <c r="P618" i="3"/>
  <c r="P456" i="3"/>
  <c r="P174" i="3"/>
  <c r="P943" i="3"/>
  <c r="P839" i="3"/>
  <c r="P735" i="3"/>
  <c r="P616" i="3"/>
  <c r="P422" i="3"/>
  <c r="P171" i="3"/>
  <c r="P934" i="3"/>
  <c r="P830" i="3"/>
  <c r="P734" i="3"/>
  <c r="P594" i="3"/>
  <c r="P421" i="3"/>
  <c r="P134" i="3"/>
  <c r="P997" i="3"/>
  <c r="P901" i="3"/>
  <c r="P789" i="3"/>
  <c r="P688" i="3"/>
  <c r="P541" i="3"/>
  <c r="P339" i="3"/>
  <c r="P55" i="3"/>
  <c r="P160" i="3"/>
  <c r="P561" i="3"/>
  <c r="P100" i="3"/>
  <c r="P995" i="3"/>
  <c r="P525" i="3"/>
  <c r="P770" i="3"/>
  <c r="P352" i="3"/>
  <c r="P662" i="3"/>
  <c r="P952" i="3"/>
  <c r="P703" i="3"/>
  <c r="P360" i="3"/>
  <c r="P903" i="3"/>
  <c r="P702" i="3"/>
  <c r="P998" i="3"/>
  <c r="P798" i="3"/>
  <c r="P542" i="3"/>
  <c r="P400" i="3"/>
  <c r="P853" i="3"/>
  <c r="P467" i="3"/>
  <c r="T8" i="3"/>
  <c r="T11" i="3"/>
  <c r="T3" i="3"/>
  <c r="T16" i="3"/>
  <c r="T20" i="3"/>
  <c r="T23" i="3"/>
  <c r="T14" i="3"/>
  <c r="T15" i="3"/>
  <c r="T6" i="3"/>
  <c r="T12" i="3"/>
  <c r="T24" i="3"/>
  <c r="T7" i="3"/>
  <c r="T25" i="3"/>
  <c r="T29" i="3"/>
  <c r="T37" i="3"/>
  <c r="T45" i="3"/>
  <c r="T30" i="3"/>
  <c r="T38" i="3"/>
  <c r="T31" i="3"/>
  <c r="T39" i="3"/>
  <c r="T32" i="3"/>
  <c r="T40" i="3"/>
  <c r="T33" i="3"/>
  <c r="T41" i="3"/>
  <c r="T43" i="3"/>
  <c r="T34" i="3"/>
  <c r="T42" i="3"/>
  <c r="T35" i="3"/>
  <c r="T28" i="3"/>
  <c r="T36" i="3"/>
  <c r="T44" i="3"/>
  <c r="T4" i="3"/>
  <c r="T26" i="3"/>
  <c r="T17" i="3"/>
  <c r="T21" i="3"/>
  <c r="T27" i="3"/>
  <c r="T18" i="3"/>
  <c r="T9" i="3"/>
  <c r="T13" i="3"/>
  <c r="T19" i="3"/>
  <c r="T10" i="3"/>
  <c r="T22" i="3"/>
  <c r="T5" i="3"/>
  <c r="AQ2" i="4"/>
  <c r="T270" i="3"/>
  <c r="T228" i="3"/>
  <c r="T222" i="3"/>
  <c r="T52" i="3"/>
  <c r="T398" i="3"/>
  <c r="T158" i="3"/>
  <c r="T261" i="3"/>
  <c r="T86" i="3"/>
  <c r="T159" i="3"/>
  <c r="T78" i="3"/>
  <c r="T414" i="3"/>
  <c r="T406" i="3"/>
  <c r="T269" i="3"/>
  <c r="T342" i="3"/>
  <c r="T311" i="3"/>
  <c r="T243" i="3"/>
  <c r="T214" i="3"/>
  <c r="T253" i="3"/>
  <c r="T125" i="3"/>
  <c r="T276" i="3"/>
  <c r="T350" i="3"/>
  <c r="T206" i="3"/>
  <c r="T359" i="3"/>
  <c r="T141" i="3"/>
  <c r="T427" i="3"/>
  <c r="T255" i="3"/>
  <c r="T334" i="3"/>
  <c r="T150" i="3"/>
  <c r="T397" i="3"/>
  <c r="T109" i="3"/>
  <c r="T171" i="3"/>
  <c r="T207" i="3"/>
  <c r="T286" i="3"/>
  <c r="T142" i="3"/>
  <c r="T381" i="3"/>
  <c r="T223" i="3"/>
  <c r="T378" i="3"/>
  <c r="T278" i="3"/>
  <c r="T94" i="3"/>
  <c r="T365" i="3"/>
  <c r="T404" i="3"/>
  <c r="T338" i="3"/>
  <c r="T119" i="3"/>
  <c r="T390" i="3"/>
  <c r="T326" i="3"/>
  <c r="T262" i="3"/>
  <c r="T198" i="3"/>
  <c r="T134" i="3"/>
  <c r="T70" i="3"/>
  <c r="T183" i="3"/>
  <c r="T357" i="3"/>
  <c r="T213" i="3"/>
  <c r="T77" i="3"/>
  <c r="T396" i="3"/>
  <c r="T212" i="3"/>
  <c r="T411" i="3"/>
  <c r="T83" i="3"/>
  <c r="T250" i="3"/>
  <c r="T382" i="3"/>
  <c r="T318" i="3"/>
  <c r="T254" i="3"/>
  <c r="T190" i="3"/>
  <c r="T126" i="3"/>
  <c r="T62" i="3"/>
  <c r="T143" i="3"/>
  <c r="T341" i="3"/>
  <c r="T205" i="3"/>
  <c r="T69" i="3"/>
  <c r="T388" i="3"/>
  <c r="T148" i="3"/>
  <c r="T347" i="3"/>
  <c r="T67" i="3"/>
  <c r="T194" i="3"/>
  <c r="T2" i="3"/>
  <c r="T55" i="3"/>
  <c r="T374" i="3"/>
  <c r="T310" i="3"/>
  <c r="T246" i="3"/>
  <c r="T182" i="3"/>
  <c r="T118" i="3"/>
  <c r="T54" i="3"/>
  <c r="T95" i="3"/>
  <c r="T325" i="3"/>
  <c r="T189" i="3"/>
  <c r="T61" i="3"/>
  <c r="T364" i="3"/>
  <c r="T132" i="3"/>
  <c r="T331" i="3"/>
  <c r="T59" i="3"/>
  <c r="T375" i="3"/>
  <c r="T87" i="3"/>
  <c r="T383" i="3"/>
  <c r="T343" i="3"/>
  <c r="T430" i="3"/>
  <c r="T366" i="3"/>
  <c r="T302" i="3"/>
  <c r="T238" i="3"/>
  <c r="T174" i="3"/>
  <c r="T110" i="3"/>
  <c r="T46" i="3"/>
  <c r="T429" i="3"/>
  <c r="T317" i="3"/>
  <c r="T173" i="3"/>
  <c r="T324" i="3"/>
  <c r="T124" i="3"/>
  <c r="T259" i="3"/>
  <c r="T247" i="3"/>
  <c r="T319" i="3"/>
  <c r="T303" i="3"/>
  <c r="T422" i="3"/>
  <c r="T358" i="3"/>
  <c r="T294" i="3"/>
  <c r="T230" i="3"/>
  <c r="T166" i="3"/>
  <c r="T102" i="3"/>
  <c r="T405" i="3"/>
  <c r="T277" i="3"/>
  <c r="T149" i="3"/>
  <c r="T271" i="3"/>
  <c r="T300" i="3"/>
  <c r="T60" i="3"/>
  <c r="T251" i="3"/>
  <c r="T167" i="3"/>
  <c r="T177" i="3"/>
  <c r="T47" i="3"/>
  <c r="T244" i="3"/>
  <c r="T179" i="3"/>
  <c r="T370" i="3"/>
  <c r="T103" i="3"/>
  <c r="T423" i="3"/>
  <c r="T421" i="3"/>
  <c r="T333" i="3"/>
  <c r="T237" i="3"/>
  <c r="T133" i="3"/>
  <c r="T391" i="3"/>
  <c r="T380" i="3"/>
  <c r="T236" i="3"/>
  <c r="T108" i="3"/>
  <c r="T387" i="3"/>
  <c r="T219" i="3"/>
  <c r="T306" i="3"/>
  <c r="T361" i="3"/>
  <c r="T225" i="3"/>
  <c r="T231" i="3"/>
  <c r="T389" i="3"/>
  <c r="T301" i="3"/>
  <c r="T197" i="3"/>
  <c r="T85" i="3"/>
  <c r="T175" i="3"/>
  <c r="T316" i="3"/>
  <c r="T188" i="3"/>
  <c r="T323" i="3"/>
  <c r="T155" i="3"/>
  <c r="T127" i="3"/>
  <c r="T186" i="3"/>
  <c r="T113" i="3"/>
  <c r="T308" i="3"/>
  <c r="T164" i="3"/>
  <c r="T407" i="3"/>
  <c r="T307" i="3"/>
  <c r="T131" i="3"/>
  <c r="T426" i="3"/>
  <c r="T154" i="3"/>
  <c r="T336" i="3"/>
  <c r="T373" i="3"/>
  <c r="T309" i="3"/>
  <c r="T245" i="3"/>
  <c r="T181" i="3"/>
  <c r="T117" i="3"/>
  <c r="T53" i="3"/>
  <c r="T111" i="3"/>
  <c r="T372" i="3"/>
  <c r="T292" i="3"/>
  <c r="T196" i="3"/>
  <c r="T116" i="3"/>
  <c r="T395" i="3"/>
  <c r="T315" i="3"/>
  <c r="T235" i="3"/>
  <c r="T139" i="3"/>
  <c r="T51" i="3"/>
  <c r="T79" i="3"/>
  <c r="T314" i="3"/>
  <c r="T170" i="3"/>
  <c r="T409" i="3"/>
  <c r="T376" i="3"/>
  <c r="T293" i="3"/>
  <c r="T229" i="3"/>
  <c r="T165" i="3"/>
  <c r="T101" i="3"/>
  <c r="T428" i="3"/>
  <c r="T356" i="3"/>
  <c r="T260" i="3"/>
  <c r="T180" i="3"/>
  <c r="T100" i="3"/>
  <c r="T287" i="3"/>
  <c r="T379" i="3"/>
  <c r="T299" i="3"/>
  <c r="T203" i="3"/>
  <c r="T123" i="3"/>
  <c r="T410" i="3"/>
  <c r="T282" i="3"/>
  <c r="T122" i="3"/>
  <c r="T297" i="3"/>
  <c r="T328" i="3"/>
  <c r="T263" i="3"/>
  <c r="T413" i="3"/>
  <c r="T349" i="3"/>
  <c r="T285" i="3"/>
  <c r="T221" i="3"/>
  <c r="T157" i="3"/>
  <c r="T93" i="3"/>
  <c r="T420" i="3"/>
  <c r="T340" i="3"/>
  <c r="T252" i="3"/>
  <c r="T172" i="3"/>
  <c r="T84" i="3"/>
  <c r="T215" i="3"/>
  <c r="T371" i="3"/>
  <c r="T283" i="3"/>
  <c r="T195" i="3"/>
  <c r="T115" i="3"/>
  <c r="T367" i="3"/>
  <c r="T394" i="3"/>
  <c r="T274" i="3"/>
  <c r="T82" i="3"/>
  <c r="T281" i="3"/>
  <c r="T256" i="3"/>
  <c r="T68" i="3"/>
  <c r="T135" i="3"/>
  <c r="T363" i="3"/>
  <c r="T267" i="3"/>
  <c r="T187" i="3"/>
  <c r="T99" i="3"/>
  <c r="T295" i="3"/>
  <c r="T386" i="3"/>
  <c r="T266" i="3"/>
  <c r="T415" i="3"/>
  <c r="T233" i="3"/>
  <c r="T200" i="3"/>
  <c r="T335" i="3"/>
  <c r="T412" i="3"/>
  <c r="T348" i="3"/>
  <c r="T284" i="3"/>
  <c r="T220" i="3"/>
  <c r="T156" i="3"/>
  <c r="T92" i="3"/>
  <c r="T419" i="3"/>
  <c r="T355" i="3"/>
  <c r="T291" i="3"/>
  <c r="T227" i="3"/>
  <c r="T163" i="3"/>
  <c r="T91" i="3"/>
  <c r="T399" i="3"/>
  <c r="T63" i="3"/>
  <c r="T346" i="3"/>
  <c r="T258" i="3"/>
  <c r="T90" i="3"/>
  <c r="T377" i="3"/>
  <c r="T121" i="3"/>
  <c r="T192" i="3"/>
  <c r="T332" i="3"/>
  <c r="T268" i="3"/>
  <c r="T204" i="3"/>
  <c r="T140" i="3"/>
  <c r="T76" i="3"/>
  <c r="T351" i="3"/>
  <c r="T403" i="3"/>
  <c r="T339" i="3"/>
  <c r="T275" i="3"/>
  <c r="T211" i="3"/>
  <c r="T147" i="3"/>
  <c r="T75" i="3"/>
  <c r="T327" i="3"/>
  <c r="T418" i="3"/>
  <c r="T330" i="3"/>
  <c r="T202" i="3"/>
  <c r="T74" i="3"/>
  <c r="T353" i="3"/>
  <c r="T105" i="3"/>
  <c r="T152" i="3"/>
  <c r="T146" i="3"/>
  <c r="T191" i="3"/>
  <c r="T265" i="3"/>
  <c r="T424" i="3"/>
  <c r="T80" i="3"/>
  <c r="T107" i="3"/>
  <c r="T199" i="3"/>
  <c r="T402" i="3"/>
  <c r="T322" i="3"/>
  <c r="T234" i="3"/>
  <c r="T106" i="3"/>
  <c r="T279" i="3"/>
  <c r="T329" i="3"/>
  <c r="T137" i="3"/>
  <c r="T360" i="3"/>
  <c r="T128" i="3"/>
  <c r="T66" i="3"/>
  <c r="T393" i="3"/>
  <c r="T241" i="3"/>
  <c r="T89" i="3"/>
  <c r="T208" i="3"/>
  <c r="T362" i="3"/>
  <c r="T298" i="3"/>
  <c r="T218" i="3"/>
  <c r="T138" i="3"/>
  <c r="T58" i="3"/>
  <c r="T71" i="3"/>
  <c r="T313" i="3"/>
  <c r="T217" i="3"/>
  <c r="T49" i="3"/>
  <c r="T296" i="3"/>
  <c r="T104" i="3"/>
  <c r="T354" i="3"/>
  <c r="T290" i="3"/>
  <c r="T210" i="3"/>
  <c r="T130" i="3"/>
  <c r="T417" i="3"/>
  <c r="T305" i="3"/>
  <c r="T185" i="3"/>
  <c r="T264" i="3"/>
  <c r="T88" i="3"/>
  <c r="T408" i="3"/>
  <c r="T280" i="3"/>
  <c r="T184" i="3"/>
  <c r="T72" i="3"/>
  <c r="T369" i="3"/>
  <c r="T289" i="3"/>
  <c r="T201" i="3"/>
  <c r="T97" i="3"/>
  <c r="T384" i="3"/>
  <c r="T272" i="3"/>
  <c r="T168" i="3"/>
  <c r="T425" i="3"/>
  <c r="T345" i="3"/>
  <c r="T249" i="3"/>
  <c r="T169" i="3"/>
  <c r="T344" i="3"/>
  <c r="T248" i="3"/>
  <c r="T120" i="3"/>
  <c r="T161" i="3"/>
  <c r="T73" i="3"/>
  <c r="T400" i="3"/>
  <c r="T320" i="3"/>
  <c r="T232" i="3"/>
  <c r="T144" i="3"/>
  <c r="T64" i="3"/>
  <c r="T153" i="3"/>
  <c r="T57" i="3"/>
  <c r="T392" i="3"/>
  <c r="T312" i="3"/>
  <c r="T216" i="3"/>
  <c r="T136" i="3"/>
  <c r="T56" i="3"/>
  <c r="T242" i="3"/>
  <c r="T178" i="3"/>
  <c r="T114" i="3"/>
  <c r="T50" i="3"/>
  <c r="T239" i="3"/>
  <c r="T401" i="3"/>
  <c r="T337" i="3"/>
  <c r="T273" i="3"/>
  <c r="T209" i="3"/>
  <c r="T145" i="3"/>
  <c r="T81" i="3"/>
  <c r="T368" i="3"/>
  <c r="T304" i="3"/>
  <c r="T240" i="3"/>
  <c r="T176" i="3"/>
  <c r="T112" i="3"/>
  <c r="T48" i="3"/>
  <c r="T226" i="3"/>
  <c r="T162" i="3"/>
  <c r="T98" i="3"/>
  <c r="T151" i="3"/>
  <c r="T385" i="3"/>
  <c r="T321" i="3"/>
  <c r="T257" i="3"/>
  <c r="T193" i="3"/>
  <c r="T129" i="3"/>
  <c r="T65" i="3"/>
  <c r="T416" i="3"/>
  <c r="T352" i="3"/>
  <c r="T288" i="3"/>
  <c r="T224" i="3"/>
  <c r="T160" i="3"/>
  <c r="T96" i="3"/>
  <c r="P2" i="3" l="1"/>
  <c r="P3" i="3"/>
  <c r="P11" i="3"/>
  <c r="P19" i="3"/>
  <c r="P4" i="3"/>
  <c r="P12" i="3"/>
  <c r="P20" i="3"/>
  <c r="P5" i="3"/>
  <c r="P13" i="3"/>
  <c r="P21" i="3"/>
  <c r="P6" i="3"/>
  <c r="P14" i="3"/>
  <c r="P22" i="3"/>
  <c r="P7" i="3"/>
  <c r="P15" i="3"/>
  <c r="P23" i="3"/>
  <c r="P9" i="3"/>
  <c r="P8" i="3"/>
  <c r="P16" i="3"/>
  <c r="P24" i="3"/>
  <c r="P17" i="3"/>
  <c r="P25" i="3"/>
  <c r="P10" i="3"/>
  <c r="P18" i="3"/>
  <c r="P26" i="3"/>
  <c r="Y34" i="3"/>
  <c r="Y29" i="3"/>
  <c r="Y2" i="3" l="1" a="1"/>
  <c r="Y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<sst xmlns="http://schemas.openxmlformats.org/spreadsheetml/2006/main" count="423" uniqueCount="96">
  <si>
    <t>MTX-1</t>
  </si>
  <si>
    <t>MTX-2</t>
  </si>
  <si>
    <t>LR</t>
  </si>
  <si>
    <t>Unique LR</t>
  </si>
  <si>
    <t>Concat</t>
  </si>
  <si>
    <t>Interface</t>
  </si>
  <si>
    <t>Sorted Concat</t>
  </si>
  <si>
    <t>Directions</t>
  </si>
  <si>
    <t>Number of flapps</t>
  </si>
  <si>
    <t>Status</t>
  </si>
  <si>
    <t>Number Of LRs</t>
  </si>
  <si>
    <t>NO Flapps</t>
  </si>
  <si>
    <t>NO Down LRs</t>
  </si>
  <si>
    <t>CA5-07NewP02_CI-02</t>
  </si>
  <si>
    <t>Down</t>
  </si>
  <si>
    <t>10.254.15.73</t>
  </si>
  <si>
    <t>RMD-04NewP02_CI-02</t>
  </si>
  <si>
    <t>10.254.15.141</t>
  </si>
  <si>
    <t>Up</t>
  </si>
  <si>
    <t>BS-08ASR02_CI-02</t>
  </si>
  <si>
    <t>10.254.15.85</t>
  </si>
  <si>
    <t>CPN flapped 100G_x000D_
_x000D_
LR:_x000D_
_x000D_
_x000D_
CPN flapped 10G_x000D_
_x000D_
_x000D_
LR:_x000D_
_x000D_
_x000D_
Alarm time: 9/15/2025 6:08:51 PM_x000D_
No. of flapping: 0_x000D_
KAM TT:_x000D_
Remedy TT:</t>
  </si>
  <si>
    <t>MNS-09ASR02_CI-02</t>
  </si>
  <si>
    <t>10.254.15.92</t>
  </si>
  <si>
    <t>MKT-03ASR01_CI-01</t>
  </si>
  <si>
    <t>10.254.15.30</t>
  </si>
  <si>
    <t>TenGigE0/7/0/6.634</t>
  </si>
  <si>
    <t>RMD.P02\WAN\10.254.134.66\WAN-68STM1s\LR-719-6th-Active</t>
  </si>
  <si>
    <t>TenGigE0/2/0/21.634</t>
  </si>
  <si>
    <t>MKT.ASR01\WAN\10.254.134.65\WAN-68STM1s\LR-719-6th-Active</t>
  </si>
  <si>
    <t>RMD-04NewP01_CI-01</t>
  </si>
  <si>
    <t>10.254.15.140</t>
  </si>
  <si>
    <t>CA4-06NewP01_CI-01</t>
  </si>
  <si>
    <t>HundredGigE0/7/0/2.746</t>
  </si>
  <si>
    <t>CA4.P01\WAN\10.254.146.133\WAN-680STM1s\LR-16-Active</t>
  </si>
  <si>
    <t>TenGigE0/0/0/4.446</t>
  </si>
  <si>
    <t>CA4.P01\WAN\10.254.146.118\WAN-68STM1s\LR-459-4th-Active</t>
  </si>
  <si>
    <t>CPN Message</t>
  </si>
  <si>
    <t>TenGigE0/1/1/3.279</t>
  </si>
  <si>
    <t>MNS.ASR02\WAN\10.254.179.17\WAN-68STM1s-LR-443-Active</t>
  </si>
  <si>
    <t>TenGigE0/1/0/5.279</t>
  </si>
  <si>
    <t>CA5.P02\WAN\10.254.179.18\WAN-68STM1s-LR-443-Active</t>
  </si>
  <si>
    <t>NODE NAME</t>
  </si>
  <si>
    <t>NODE IP</t>
  </si>
  <si>
    <t>DIRECTION</t>
  </si>
  <si>
    <t>TIME</t>
  </si>
  <si>
    <t>INTERFACE</t>
  </si>
  <si>
    <t>STATUS</t>
  </si>
  <si>
    <t>DESCRIPTION</t>
  </si>
  <si>
    <t>DURATION</t>
  </si>
  <si>
    <t>0:00:00.014000</t>
  </si>
  <si>
    <t>0:00:00.011000</t>
  </si>
  <si>
    <t>0:00:00.345000</t>
  </si>
  <si>
    <t>0:00:07.162000</t>
  </si>
  <si>
    <t>0:17:44.805088</t>
  </si>
  <si>
    <t>0:17:44.795099</t>
  </si>
  <si>
    <t>0:00:04.353000</t>
  </si>
  <si>
    <t>0:00:04.344000</t>
  </si>
  <si>
    <t>0:04:18.113000</t>
  </si>
  <si>
    <t>0:04:18.111000</t>
  </si>
  <si>
    <t>TenGigE0/4/0/15.548</t>
  </si>
  <si>
    <t>RMD.P02\WAN\10.254.148.90\WAN-68STM1s\LR-499-5th-Active</t>
  </si>
  <si>
    <t>0:00:09.254000</t>
  </si>
  <si>
    <t>HundredGigE0/7/0/5.748</t>
  </si>
  <si>
    <t>RMD.P02\WAN\10.254.148.101\WAN-680STM1s\LR-13-Active</t>
  </si>
  <si>
    <t>0:00:00.134000</t>
  </si>
  <si>
    <t>HundredGigE0/7/0/3.748</t>
  </si>
  <si>
    <t>BS.ASR02\WAN\10.254.148.102\WAN-680STM1s\LR-13-Active</t>
  </si>
  <si>
    <t>0:00:02.097000</t>
  </si>
  <si>
    <t>TenGigE0/2/0/8.646</t>
  </si>
  <si>
    <t>CA4.P01\WAN\10.254.146.126\WAN-68STM1s\LR-460-6th-Active</t>
  </si>
  <si>
    <t>0:00:15.501000</t>
  </si>
  <si>
    <t>0:00:25.928000</t>
  </si>
  <si>
    <t>0:00:04.634000</t>
  </si>
  <si>
    <t>0:00:04.626000</t>
  </si>
  <si>
    <t>0:10:01.559092</t>
  </si>
  <si>
    <t>TenGigE0/1/0/3.548</t>
  </si>
  <si>
    <t>BS.ASR02\\WAN\\10.254.148.89\\WAN-68STM1s\\LR-499-5th-Active</t>
  </si>
  <si>
    <t>0:00:00.155000</t>
  </si>
  <si>
    <t>0:10:01.358060</t>
  </si>
  <si>
    <t>0:10:01.351096</t>
  </si>
  <si>
    <t>0:09:59.584057</t>
  </si>
  <si>
    <t>0:00:06.349000</t>
  </si>
  <si>
    <t>0:00:06.352000</t>
  </si>
  <si>
    <t>0:09:52.441039</t>
  </si>
  <si>
    <t>0:00:04.764000</t>
  </si>
  <si>
    <t>0:00:04.753000</t>
  </si>
  <si>
    <t>0:00:00.274000</t>
  </si>
  <si>
    <t>0:00:09.690000</t>
  </si>
  <si>
    <t>0:00:04.302000</t>
  </si>
  <si>
    <t>0:00:04.298000</t>
  </si>
  <si>
    <t>0:09:41.598085</t>
  </si>
  <si>
    <t>0:09:41.595073</t>
  </si>
  <si>
    <t>0:09:36.212053</t>
  </si>
  <si>
    <t>0:09:35.731046</t>
  </si>
  <si>
    <t xml:space="preserve">CPN flapped 100G_x000D_
RMD &lt;&gt; BS , CA4_x000D_
_x000D_
LR:_x000D_
13 , 16_x000D_
_x000D_
CPN flapped 10G_x000D_
CA5 &lt;&gt; MNS_x000D_
RMD &lt;&gt; BS , CA4 , MKT_x000D_
_x000D_
LR:_x000D_
443 , 459 , 460 , 499 , 719_x000D_
_x000D_
Alarm time: 10/4/2025 11:30:35 AM_x000D_
No. of flapping: 8_x000D_
KAM TT:_x000D_
Remedy TT:_x000D_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</si>
</sst>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7E4B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/>
    <xf numFmtId="164" fontId="0" fillId="3" borderId="0" xfId="0" applyNumberFormat="1" applyFill="1"/>
    <xf numFmtId="164" fontId="0" fillId="0" borderId="0" xfId="0" applyNumberFormat="1"/>
    <xf numFmtId="0" fontId="4" fillId="6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0" fontId="6" fillId="4" borderId="2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0" xfId="0" applyFont="1"/>
    <xf numFmtId="0" fontId="3" fillId="8" borderId="12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0" fillId="6" borderId="0" xfId="0" applyFill="1" applyProtection="1"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0" fillId="5" borderId="3" xfId="0" applyFill="1" applyBorder="1" applyAlignment="1">
      <alignment horizontal="center"/>
    </xf>
    <xf numFmtId="0" fontId="5" fillId="7" borderId="2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0" fillId="6" borderId="0" xfId="0" applyFill="1" applyAlignment="1">
      <alignment wrapText="1"/>
    </xf>
    <xf numFmtId="0" fontId="0" fillId="5" borderId="4" xfId="0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6" fillId="4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8" fillId="9" borderId="8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4" fillId="10" borderId="8" xfId="0" applyFont="1" applyFill="1" applyBorder="1" applyAlignment="1">
      <alignment horizontal="center"/>
    </xf>
    <xf numFmtId="0" fontId="4" fillId="10" borderId="0" xfId="0" applyFont="1" applyFill="1" applyAlignment="1">
      <alignment horizontal="center"/>
    </xf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433190</xdr:colOff>
      <xdr:row>17</xdr:row>
      <xdr:rowOff>232543</xdr:rowOff>
    </xdr:from>
    <xdr:to>
      <xdr:col>27</xdr:col>
      <xdr:colOff>234477</xdr:colOff>
      <xdr:row>36</xdr:row>
      <xdr:rowOff>120055</xdr:rowOff>
    </xdr:to>
    <xdr:pic macro="[0]!RunBoth">
      <xdr:nvPicPr>
        <xdr:cNvPr id="3" name="Picture 2">
          <a:extLst>
            <a:ext uri="{FF2B5EF4-FFF2-40B4-BE49-F238E27FC236}">
              <a16:creationId xmlns:a16="http://schemas.microsoft.com/office/drawing/2014/main" id="{C0546BB5-37D5-C1E6-B5AA-CF763DFA1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17330" y="5601985"/>
          <a:ext cx="5981787" cy="5948070"/>
        </a:xfrm>
        <a:prstGeom prst="rect">
          <a:avLst/>
        </a:prstGeom>
        <a:effectLst>
          <a:outerShdw blurRad="114300" dist="304800" algn="l" rotWithShape="0">
            <a:prstClr val="black">
              <a:alpha val="45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2CE37-7879-47FC-8F8D-CA094F233C76}">
  <sheetPr codeName="Sheet1"/>
  <dimension ref="A1:CT1069"/>
  <sheetViews>
    <sheetView tabSelected="1" topLeftCell="S1" zoomScale="55" zoomScaleNormal="55" workbookViewId="0">
      <selection activeCell="W8" sqref="W8"/>
    </sheetView>
  </sheetViews>
  <sheetFormatPr defaultRowHeight="25.05" customHeight="1" x14ac:dyDescent="0.45"/>
  <cols>
    <col min="1" max="1" width="15.77734375" style="20" hidden="1" customWidth="1"/>
    <col min="2" max="2" width="34.109375" style="15" hidden="1" customWidth="1"/>
    <col min="3" max="3" width="23.21875" style="15" hidden="1" customWidth="1"/>
    <col min="4" max="4" width="23.44140625" style="15" hidden="1" customWidth="1"/>
    <col min="5" max="5" width="25.109375" style="15" hidden="1" customWidth="1"/>
    <col min="6" max="6" width="11.77734375" style="15" hidden="1" customWidth="1"/>
    <col min="7" max="7" width="81.44140625" style="15" hidden="1" customWidth="1"/>
    <col min="8" max="8" width="23.44140625" style="15" hidden="1" customWidth="1"/>
    <col min="9" max="9" width="23.44140625" style="30" hidden="1" customWidth="1"/>
    <col min="10" max="12" width="23.44140625" style="15" hidden="1" customWidth="1"/>
    <col min="13" max="17" width="23.44140625" style="16" hidden="1" customWidth="1"/>
    <col min="18" max="18" width="23.44140625" style="15" hidden="1" customWidth="1"/>
    <col min="19" max="19" width="51.77734375" style="27" customWidth="1"/>
    <col min="20" max="20" width="47" style="28" customWidth="1"/>
    <col min="21" max="21" width="62.109375" style="27" customWidth="1"/>
    <col min="22" max="22" width="1.21875" style="5" hidden="1" customWidth="1"/>
    <col min="23" max="23" width="29.44140625" style="8" customWidth="1"/>
    <col min="24" max="24" width="22.5546875" style="8" customWidth="1"/>
    <col min="25" max="25" width="104" style="27" customWidth="1"/>
    <col min="26" max="26" width="67.109375" style="6" customWidth="1"/>
    <col min="27" max="27" width="23.44140625" style="6" customWidth="1"/>
    <col min="28" max="98" width="8.88671875" style="6"/>
    <col min="99" max="16384" width="8.88671875" style="1"/>
  </cols>
  <sheetData>
    <row r="1" spans="1:31" ht="25.05" customHeight="1" thickBot="1" x14ac:dyDescent="0.55000000000000004">
      <c r="A1" s="25" t="s">
        <v>42</v>
      </c>
      <c r="B1" s="25" t="s">
        <v>43</v>
      </c>
      <c r="C1" s="25" t="s">
        <v>44</v>
      </c>
      <c r="D1" s="25" t="s">
        <v>45</v>
      </c>
      <c r="E1" s="25" t="s">
        <v>46</v>
      </c>
      <c r="F1" s="25" t="s">
        <v>47</v>
      </c>
      <c r="G1" s="25" t="s">
        <v>48</v>
      </c>
      <c r="H1" s="25" t="s">
        <v>49</v>
      </c>
      <c r="I1" s="29"/>
      <c r="J1" s="9"/>
      <c r="K1" s="10" t="s">
        <v>0</v>
      </c>
      <c r="L1" s="10" t="s">
        <v>1</v>
      </c>
      <c r="M1" s="11" t="s">
        <v>2</v>
      </c>
      <c r="N1" s="11" t="s">
        <v>4</v>
      </c>
      <c r="O1" s="12" t="s">
        <v>5</v>
      </c>
      <c r="P1" s="12" t="s">
        <v>6</v>
      </c>
      <c r="Q1" s="13"/>
      <c r="R1" s="14" t="s">
        <v>3</v>
      </c>
      <c r="S1" s="21" t="s">
        <v>4</v>
      </c>
      <c r="T1" s="22" t="s">
        <v>3</v>
      </c>
      <c r="U1" s="21" t="s">
        <v>5</v>
      </c>
      <c r="V1" s="23"/>
      <c r="W1" s="24" t="s">
        <v>11</v>
      </c>
      <c r="X1" s="24" t="s">
        <v>9</v>
      </c>
      <c r="Y1" s="21" t="s">
        <v>7</v>
      </c>
      <c r="Z1" s="47" t="s">
        <v>37</v>
      </c>
      <c r="AA1" s="48"/>
      <c r="AB1" s="48"/>
      <c r="AC1" s="48"/>
      <c r="AD1" s="48"/>
      <c r="AE1" s="48"/>
    </row>
    <row r="2" spans="1:31" ht="21.6" customHeight="1" x14ac:dyDescent="0.45">
      <c r="A2" s="2" t="s">
        <v>13</v>
      </c>
      <c r="B2" s="2" t="s">
        <v>15</v>
      </c>
      <c r="C2" s="2" t="s">
        <v>22</v>
      </c>
      <c r="D2" s="3">
        <v>45934.473943877318</v>
      </c>
      <c r="E2" s="2" t="s">
        <v>38</v>
      </c>
      <c r="F2" s="2" t="s">
        <v>14</v>
      </c>
      <c r="G2" s="2" t="s">
        <v>39</v>
      </c>
      <c r="H2" s="2" t="s">
        <v>53</v>
      </c>
      <c r="K2" s="15" t="str">
        <f t="shared" ref="K2:K33" si="0">LEFT(A2, FIND("-", A2)-1)</f>
        <v>CA5</v>
      </c>
      <c r="L2" s="15" t="str">
        <f t="shared" ref="L2:L33" si="1">LEFT(C2, FIND("-", C2)-1)</f>
        <v>MNS</v>
      </c>
      <c r="M2" s="16" t="str">
        <f t="shared" ref="M2:M65" si="2">MID(G2,FIND("LR-",G2)+3,FIND("-",G2,FIND("LR-",G2)+3)-FIND("LR-",G2)-3)</f>
        <v>443</v>
      </c>
      <c r="N2" s="16" t="str">
        <f t="shared" ref="N2:N33" si="3">K2 &amp; " &lt;&gt; " &amp; L2</f>
        <v>CA5 &lt;&gt; MNS</v>
      </c>
      <c r="O2" s="16" t="str">
        <f t="shared" ref="O2:O33" si="4">IF(LEFT(E2, 6)="TenGig", "10G (Ten Gig)", IF(LEFT(E2, 10)="HundredGig", "100G (Hundred Gig)", "Other"))</f>
        <v>10G (Ten Gig)</v>
      </c>
      <c r="P2" s="16" t="str">
        <f t="shared" ref="P2:P65" si="5">IF(S2&lt;&gt;"",IF(LEFT(S2,FIND(" &lt;&gt; ",S2)-1) &lt; MID(S2,FIND(" &lt;&gt; ",S2)+4,LEN(S2)),LEFT(S2,FIND(" &lt;&gt; ",S2)-1) &amp; " &lt;&gt; " &amp; MID(S2,FIND(" &lt;&gt; ",S2)+4,LEN(S2)),MID(S2,FIND(" &lt;&gt; ",S2)+4,LEN(S2)) &amp; " &lt;&gt; " &amp; LEFT(S2,FIND(" &lt;&gt; ",S2)-1)),"")</f>
        <v>CA5 &lt;&gt; MNS</v>
      </c>
      <c r="R2" s="17" t="str" cm="1">
        <f t="array" ref="R2:R9">_xlfn.UNIQUE(M2:M1000)</f>
        <v>443</v>
      </c>
      <c r="S2" s="8" t="str" cm="1">
        <f t="array" ref="S2:S1000">_xlfn.BYROW(R2:R1000,
   _xlfn.LAMBDA(_xlpm.lr, IFERROR(
      IF(INDEX(N2:N1000, MATCH(_xlpm.lr, M2:M1000, 0))=0, "",
         INDEX(N2:N1000, MATCH(_xlpm.lr, M2:M1000, 0))
      ), ""
   ))
)</f>
        <v>CA5 &lt;&gt; MNS</v>
      </c>
      <c r="T2" s="18">
        <f>IFERROR( IF( COUNTIF($R$2:R2,R2)=1, IF(VALUE(R2)=0,"",VALUE(R2)), "" ), "" )</f>
        <v>443</v>
      </c>
      <c r="U2" s="8" t="str">
        <f>IFERROR( IF( _xlfn.XLOOKUP(R2, M2:M1000, O2:O1000)=0, "", _xlfn.XLOOKUP(R2, M2:M1000, O2:O1000) ), "" )</f>
        <v>10G (Ten Gig)</v>
      </c>
      <c r="W2" s="19">
        <v>2</v>
      </c>
      <c r="X2" s="19" t="s">
        <v>18</v>
      </c>
      <c r="Y2" s="7" t="str" cm="1">
        <f t="array" ref="Y2:Y6">_xlfn.UNIQUE(P2:P24)</f>
        <v>CA5 &lt;&gt; MNS</v>
      </c>
      <c r="Z2" s="45" t="s">
        <v>95</v>
      </c>
      <c r="AA2" s="46"/>
      <c r="AB2" s="46"/>
      <c r="AC2" s="46"/>
      <c r="AD2" s="46"/>
      <c r="AE2" s="46"/>
    </row>
    <row r="3" spans="1:31" ht="25.05" customHeight="1" x14ac:dyDescent="0.45">
      <c r="A3" s="2" t="s">
        <v>22</v>
      </c>
      <c r="B3" s="2" t="s">
        <v>23</v>
      </c>
      <c r="C3" s="2" t="s">
        <v>13</v>
      </c>
      <c r="D3" s="3">
        <v>45934.473943993064</v>
      </c>
      <c r="E3" s="2" t="s">
        <v>40</v>
      </c>
      <c r="F3" s="2" t="s">
        <v>14</v>
      </c>
      <c r="G3" s="2" t="s">
        <v>41</v>
      </c>
      <c r="H3" s="2" t="s">
        <v>53</v>
      </c>
      <c r="K3" s="15" t="str">
        <f t="shared" si="0"/>
        <v>MNS</v>
      </c>
      <c r="L3" s="15" t="str">
        <f t="shared" si="1"/>
        <v>CA5</v>
      </c>
      <c r="M3" s="16" t="str">
        <f t="shared" si="2"/>
        <v>443</v>
      </c>
      <c r="N3" s="16" t="str">
        <f t="shared" si="3"/>
        <v>MNS &lt;&gt; CA5</v>
      </c>
      <c r="O3" s="16" t="str">
        <f t="shared" si="4"/>
        <v>10G (Ten Gig)</v>
      </c>
      <c r="P3" s="16" t="str">
        <f t="shared" si="5"/>
        <v>MKT &lt;&gt; RMD</v>
      </c>
      <c r="R3" s="17" t="str">
        <v>719</v>
      </c>
      <c r="S3" s="8" t="str">
        <v>MKT &lt;&gt; RMD</v>
      </c>
      <c r="T3" s="18">
        <f>IFERROR( IF( COUNTIF($R$2:R3,R3)=1, IF(VALUE(R3)=0,"",VALUE(R3)), "" ), "" )</f>
        <v>719</v>
      </c>
      <c r="U3" s="8" t="str">
        <f t="shared" ref="U3:U66" si="6">IFERROR( IF( _xlfn.XLOOKUP(R3, M3:M1001, O3:O1001)=0, "", _xlfn.XLOOKUP(R3, M3:M1001, O3:O1001) ), "" )</f>
        <v>10G (Ten Gig)</v>
      </c>
      <c r="W3" s="19">
        <v>8</v>
      </c>
      <c r="X3" s="19" t="s">
        <v>18</v>
      </c>
      <c r="Y3" s="7" t="str">
        <v>MKT &lt;&gt; RMD</v>
      </c>
      <c r="Z3" s="45"/>
      <c r="AA3" s="46"/>
      <c r="AB3" s="46"/>
      <c r="AC3" s="46"/>
      <c r="AD3" s="46"/>
      <c r="AE3" s="46"/>
    </row>
    <row r="4" spans="1:31" ht="25.05" customHeight="1" x14ac:dyDescent="0.45">
      <c r="A4" s="2" t="s">
        <v>24</v>
      </c>
      <c r="B4" s="2" t="s">
        <v>25</v>
      </c>
      <c r="C4" s="2" t="s">
        <v>16</v>
      </c>
      <c r="D4" s="3">
        <v>45934.476349629629</v>
      </c>
      <c r="E4" s="2" t="s">
        <v>26</v>
      </c>
      <c r="F4" s="2" t="s">
        <v>14</v>
      </c>
      <c r="G4" s="2" t="s">
        <v>27</v>
      </c>
      <c r="H4" s="2" t="s">
        <v>56</v>
      </c>
      <c r="K4" s="15" t="str">
        <f t="shared" si="0"/>
        <v>MKT</v>
      </c>
      <c r="L4" s="15" t="str">
        <f t="shared" si="1"/>
        <v>RMD</v>
      </c>
      <c r="M4" s="16" t="str">
        <f t="shared" si="2"/>
        <v>719</v>
      </c>
      <c r="N4" s="16" t="str">
        <f t="shared" si="3"/>
        <v>MKT &lt;&gt; RMD</v>
      </c>
      <c r="O4" s="16" t="str">
        <f t="shared" si="4"/>
        <v>10G (Ten Gig)</v>
      </c>
      <c r="P4" s="16" t="str">
        <f t="shared" si="5"/>
        <v>BS &lt;&gt; RMD</v>
      </c>
      <c r="R4" s="17" t="str">
        <v>499</v>
      </c>
      <c r="S4" s="8" t="str">
        <v>BS &lt;&gt; RMD</v>
      </c>
      <c r="T4" s="18">
        <f>IFERROR( IF( COUNTIF($R$2:R4,R4)=1, IF(VALUE(R4)=0,"",VALUE(R4)), "" ), "" )</f>
        <v>499</v>
      </c>
      <c r="U4" s="8" t="str">
        <f t="shared" si="6"/>
        <v>10G (Ten Gig)</v>
      </c>
      <c r="W4" s="19">
        <v>2</v>
      </c>
      <c r="X4" s="19" t="s">
        <v>18</v>
      </c>
      <c r="Y4" s="7" t="str">
        <v>BS &lt;&gt; RMD</v>
      </c>
      <c r="Z4" s="45"/>
      <c r="AA4" s="46"/>
      <c r="AB4" s="46"/>
      <c r="AC4" s="46"/>
      <c r="AD4" s="46"/>
      <c r="AE4" s="46"/>
    </row>
    <row r="5" spans="1:31" ht="25.05" customHeight="1" x14ac:dyDescent="0.45">
      <c r="A5" s="2" t="s">
        <v>16</v>
      </c>
      <c r="B5" s="2" t="s">
        <v>17</v>
      </c>
      <c r="C5" s="2" t="s">
        <v>24</v>
      </c>
      <c r="D5" s="3">
        <v>45934.47634966435</v>
      </c>
      <c r="E5" s="2" t="s">
        <v>28</v>
      </c>
      <c r="F5" s="2" t="s">
        <v>14</v>
      </c>
      <c r="G5" s="2" t="s">
        <v>29</v>
      </c>
      <c r="H5" s="2" t="s">
        <v>57</v>
      </c>
      <c r="K5" s="15" t="str">
        <f t="shared" si="0"/>
        <v>RMD</v>
      </c>
      <c r="L5" s="15" t="str">
        <f t="shared" si="1"/>
        <v>MKT</v>
      </c>
      <c r="M5" s="16" t="str">
        <f t="shared" si="2"/>
        <v>719</v>
      </c>
      <c r="N5" s="16" t="str">
        <f t="shared" si="3"/>
        <v>RMD &lt;&gt; MKT</v>
      </c>
      <c r="O5" s="16" t="str">
        <f t="shared" si="4"/>
        <v>10G (Ten Gig)</v>
      </c>
      <c r="P5" s="16" t="str">
        <f t="shared" si="5"/>
        <v>CA4 &lt;&gt; RMD</v>
      </c>
      <c r="R5" s="17" t="str">
        <v>16</v>
      </c>
      <c r="S5" s="8" t="str">
        <v>RMD &lt;&gt; CA4</v>
      </c>
      <c r="T5" s="18">
        <f>IFERROR( IF( COUNTIF($R$2:R5,R5)=1, IF(VALUE(R5)=0,"",VALUE(R5)), "" ), "" )</f>
        <v>16</v>
      </c>
      <c r="U5" s="8" t="str">
        <f t="shared" si="6"/>
        <v>100G (Hundred Gig)</v>
      </c>
      <c r="W5" s="19">
        <v>1</v>
      </c>
      <c r="X5" s="19" t="s">
        <v>18</v>
      </c>
      <c r="Y5" s="7" t="str">
        <v>CA4 &lt;&gt; RMD</v>
      </c>
      <c r="Z5" s="45"/>
      <c r="AA5" s="46"/>
      <c r="AB5" s="46"/>
      <c r="AC5" s="46"/>
      <c r="AD5" s="46"/>
      <c r="AE5" s="46"/>
    </row>
    <row r="6" spans="1:31" ht="25.05" customHeight="1" x14ac:dyDescent="0.45">
      <c r="A6" s="2" t="s">
        <v>19</v>
      </c>
      <c r="B6" s="2" t="s">
        <v>20</v>
      </c>
      <c r="C6" s="2" t="s">
        <v>16</v>
      </c>
      <c r="D6" s="3">
        <v>45934.479386828702</v>
      </c>
      <c r="E6" s="2" t="s">
        <v>60</v>
      </c>
      <c r="F6" s="2" t="s">
        <v>14</v>
      </c>
      <c r="G6" s="2" t="s">
        <v>61</v>
      </c>
      <c r="H6" s="2" t="s">
        <v>52</v>
      </c>
      <c r="K6" s="15" t="str">
        <f t="shared" si="0"/>
        <v>BS</v>
      </c>
      <c r="L6" s="15" t="str">
        <f t="shared" si="1"/>
        <v>RMD</v>
      </c>
      <c r="M6" s="16" t="str">
        <f t="shared" si="2"/>
        <v>499</v>
      </c>
      <c r="N6" s="16" t="str">
        <f t="shared" si="3"/>
        <v>BS &lt;&gt; RMD</v>
      </c>
      <c r="O6" s="16" t="str">
        <f t="shared" si="4"/>
        <v>10G (Ten Gig)</v>
      </c>
      <c r="P6" s="16" t="str">
        <f t="shared" si="5"/>
        <v>BS &lt;&gt; RMD</v>
      </c>
      <c r="R6" s="17" t="str">
        <v>13</v>
      </c>
      <c r="S6" s="8" t="str">
        <v>BS &lt;&gt; RMD</v>
      </c>
      <c r="T6" s="18">
        <f>IFERROR( IF( COUNTIF($R$2:R6,R6)=1, IF(VALUE(R6)=0,"",VALUE(R6)), "" ), "" )</f>
        <v>13</v>
      </c>
      <c r="U6" s="8" t="str">
        <f t="shared" si="6"/>
        <v>100G (Hundred Gig)</v>
      </c>
      <c r="W6" s="19">
        <v>2</v>
      </c>
      <c r="X6" s="19" t="s">
        <v>18</v>
      </c>
      <c r="Y6" s="7" t="str">
        <v/>
      </c>
      <c r="Z6" s="45"/>
      <c r="AA6" s="46"/>
      <c r="AB6" s="46"/>
      <c r="AC6" s="46"/>
      <c r="AD6" s="46"/>
      <c r="AE6" s="46"/>
    </row>
    <row r="7" spans="1:31" ht="25.05" customHeight="1" x14ac:dyDescent="0.45">
      <c r="A7" s="2" t="s">
        <v>30</v>
      </c>
      <c r="B7" s="2" t="s">
        <v>31</v>
      </c>
      <c r="C7" s="2" t="s">
        <v>32</v>
      </c>
      <c r="D7" s="3">
        <v>45934.479386840278</v>
      </c>
      <c r="E7" s="2" t="s">
        <v>33</v>
      </c>
      <c r="F7" s="2" t="s">
        <v>14</v>
      </c>
      <c r="G7" s="2" t="s">
        <v>34</v>
      </c>
      <c r="H7" s="2" t="s">
        <v>62</v>
      </c>
      <c r="K7" s="15" t="str">
        <f t="shared" si="0"/>
        <v>RMD</v>
      </c>
      <c r="L7" s="15" t="str">
        <f t="shared" si="1"/>
        <v>CA4</v>
      </c>
      <c r="M7" s="16" t="str">
        <f t="shared" si="2"/>
        <v>16</v>
      </c>
      <c r="N7" s="16" t="str">
        <f t="shared" si="3"/>
        <v>RMD &lt;&gt; CA4</v>
      </c>
      <c r="O7" s="16" t="str">
        <f t="shared" si="4"/>
        <v>100G (Hundred Gig)</v>
      </c>
      <c r="P7" s="16" t="str">
        <f t="shared" si="5"/>
        <v>CA4 &lt;&gt; RMD</v>
      </c>
      <c r="R7" s="17" t="str">
        <v>460</v>
      </c>
      <c r="S7" s="8" t="str">
        <v>RMD &lt;&gt; CA4</v>
      </c>
      <c r="T7" s="18">
        <f>IFERROR( IF( COUNTIF($R$2:R7,R7)=1, IF(VALUE(R7)=0,"",VALUE(R7)), "" ), "" )</f>
        <v>460</v>
      </c>
      <c r="U7" s="8" t="str">
        <f t="shared" si="6"/>
        <v>10G (Ten Gig)</v>
      </c>
      <c r="W7" s="19">
        <v>2</v>
      </c>
      <c r="X7" s="19" t="s">
        <v>18</v>
      </c>
      <c r="Y7" s="7"/>
      <c r="Z7" s="45"/>
      <c r="AA7" s="46"/>
      <c r="AB7" s="46"/>
      <c r="AC7" s="46"/>
      <c r="AD7" s="46"/>
      <c r="AE7" s="46"/>
    </row>
    <row r="8" spans="1:31" ht="25.05" customHeight="1" x14ac:dyDescent="0.45">
      <c r="A8" s="2" t="s">
        <v>19</v>
      </c>
      <c r="B8" s="2" t="s">
        <v>20</v>
      </c>
      <c r="C8" s="2" t="s">
        <v>16</v>
      </c>
      <c r="D8" s="3">
        <v>45934.479386863422</v>
      </c>
      <c r="E8" s="2" t="s">
        <v>63</v>
      </c>
      <c r="F8" s="2" t="s">
        <v>14</v>
      </c>
      <c r="G8" s="2" t="s">
        <v>64</v>
      </c>
      <c r="H8" s="2" t="s">
        <v>65</v>
      </c>
      <c r="K8" s="15" t="str">
        <f t="shared" si="0"/>
        <v>BS</v>
      </c>
      <c r="L8" s="15" t="str">
        <f t="shared" si="1"/>
        <v>RMD</v>
      </c>
      <c r="M8" s="16" t="str">
        <f t="shared" si="2"/>
        <v>13</v>
      </c>
      <c r="N8" s="16" t="str">
        <f t="shared" si="3"/>
        <v>BS &lt;&gt; RMD</v>
      </c>
      <c r="O8" s="16" t="str">
        <f t="shared" si="4"/>
        <v>100G (Hundred Gig)</v>
      </c>
      <c r="P8" s="16" t="str">
        <f t="shared" si="5"/>
        <v>CA4 &lt;&gt; RMD</v>
      </c>
      <c r="R8" s="17" t="str">
        <v>459</v>
      </c>
      <c r="S8" s="8" t="str">
        <v>RMD &lt;&gt; CA4</v>
      </c>
      <c r="T8" s="18">
        <f>IFERROR( IF( COUNTIF($R$2:R8,R8)=1, IF(VALUE(R8)=0,"",VALUE(R8)), "" ), "" )</f>
        <v>459</v>
      </c>
      <c r="U8" s="8" t="str">
        <f t="shared" si="6"/>
        <v>10G (Ten Gig)</v>
      </c>
      <c r="W8" s="19">
        <v>1</v>
      </c>
      <c r="X8" s="19" t="s">
        <v>18</v>
      </c>
      <c r="Y8" s="7"/>
      <c r="Z8" s="45"/>
      <c r="AA8" s="46"/>
      <c r="AB8" s="46"/>
      <c r="AC8" s="46"/>
      <c r="AD8" s="46"/>
      <c r="AE8" s="46"/>
    </row>
    <row r="9" spans="1:31" ht="25.05" customHeight="1" x14ac:dyDescent="0.45">
      <c r="A9" s="2" t="s">
        <v>16</v>
      </c>
      <c r="B9" s="2" t="s">
        <v>17</v>
      </c>
      <c r="C9" s="2" t="s">
        <v>19</v>
      </c>
      <c r="D9" s="3">
        <v>45934.479387002313</v>
      </c>
      <c r="E9" s="2" t="s">
        <v>66</v>
      </c>
      <c r="F9" s="2" t="s">
        <v>14</v>
      </c>
      <c r="G9" s="2" t="s">
        <v>67</v>
      </c>
      <c r="H9" s="2" t="s">
        <v>68</v>
      </c>
      <c r="K9" s="15" t="str">
        <f t="shared" si="0"/>
        <v>RMD</v>
      </c>
      <c r="L9" s="15" t="str">
        <f t="shared" si="1"/>
        <v>BS</v>
      </c>
      <c r="M9" s="16" t="str">
        <f t="shared" si="2"/>
        <v>13</v>
      </c>
      <c r="N9" s="16" t="str">
        <f t="shared" si="3"/>
        <v>RMD &lt;&gt; BS</v>
      </c>
      <c r="O9" s="16" t="str">
        <f t="shared" si="4"/>
        <v>100G (Hundred Gig)</v>
      </c>
      <c r="P9" s="16" t="str">
        <f t="shared" si="5"/>
        <v/>
      </c>
      <c r="R9" s="17" t="e">
        <v>#VALUE!</v>
      </c>
      <c r="S9" s="8" t="str">
        <v/>
      </c>
      <c r="T9" s="18" t="str">
        <f>IFERROR( IF( COUNTIF($R$2:R9,R9)=1, IF(VALUE(R9)=0,"",VALUE(R9)), "" ), "" )</f>
        <v/>
      </c>
      <c r="U9" s="8" t="str">
        <f t="shared" si="6"/>
        <v/>
      </c>
      <c r="W9" s="19"/>
      <c r="X9" s="19"/>
      <c r="Y9" s="7"/>
      <c r="Z9" s="45"/>
      <c r="AA9" s="46"/>
      <c r="AB9" s="46"/>
      <c r="AC9" s="46"/>
      <c r="AD9" s="46"/>
      <c r="AE9" s="46"/>
    </row>
    <row r="10" spans="1:31" ht="25.05" customHeight="1" x14ac:dyDescent="0.45">
      <c r="A10" s="2" t="s">
        <v>30</v>
      </c>
      <c r="B10" s="2" t="s">
        <v>31</v>
      </c>
      <c r="C10" s="2" t="s">
        <v>32</v>
      </c>
      <c r="D10" s="3">
        <v>45934.47938704861</v>
      </c>
      <c r="E10" s="2" t="s">
        <v>69</v>
      </c>
      <c r="F10" s="2" t="s">
        <v>14</v>
      </c>
      <c r="G10" s="2" t="s">
        <v>70</v>
      </c>
      <c r="H10" s="2" t="s">
        <v>71</v>
      </c>
      <c r="K10" s="15" t="str">
        <f t="shared" si="0"/>
        <v>RMD</v>
      </c>
      <c r="L10" s="15" t="str">
        <f t="shared" si="1"/>
        <v>CA4</v>
      </c>
      <c r="M10" s="16" t="str">
        <f t="shared" si="2"/>
        <v>460</v>
      </c>
      <c r="N10" s="16" t="str">
        <f t="shared" si="3"/>
        <v>RMD &lt;&gt; CA4</v>
      </c>
      <c r="O10" s="16" t="str">
        <f t="shared" si="4"/>
        <v>10G (Ten Gig)</v>
      </c>
      <c r="P10" s="16" t="str">
        <f t="shared" si="5"/>
        <v/>
      </c>
      <c r="R10" s="17"/>
      <c r="S10" s="8" t="str">
        <v/>
      </c>
      <c r="T10" s="18" t="str">
        <f>IFERROR( IF( COUNTIF($R$2:R10,R10)=1, IF(VALUE(R10)=0,"",VALUE(R10)), "" ), "" )</f>
        <v/>
      </c>
      <c r="U10" s="8" t="str">
        <f t="shared" si="6"/>
        <v/>
      </c>
      <c r="W10" s="19"/>
      <c r="X10" s="19"/>
      <c r="Y10" s="7"/>
      <c r="Z10" s="45"/>
      <c r="AA10" s="46"/>
      <c r="AB10" s="46"/>
      <c r="AC10" s="46"/>
      <c r="AD10" s="46"/>
      <c r="AE10" s="46"/>
    </row>
    <row r="11" spans="1:31" ht="25.05" customHeight="1" x14ac:dyDescent="0.45">
      <c r="A11" s="2" t="s">
        <v>30</v>
      </c>
      <c r="B11" s="2" t="s">
        <v>31</v>
      </c>
      <c r="C11" s="2" t="s">
        <v>32</v>
      </c>
      <c r="D11" s="3">
        <v>45934.479387256943</v>
      </c>
      <c r="E11" s="2" t="s">
        <v>35</v>
      </c>
      <c r="F11" s="2" t="s">
        <v>14</v>
      </c>
      <c r="G11" s="2" t="s">
        <v>36</v>
      </c>
      <c r="H11" s="2" t="s">
        <v>72</v>
      </c>
      <c r="K11" s="15" t="str">
        <f t="shared" si="0"/>
        <v>RMD</v>
      </c>
      <c r="L11" s="15" t="str">
        <f t="shared" si="1"/>
        <v>CA4</v>
      </c>
      <c r="M11" s="16" t="str">
        <f t="shared" si="2"/>
        <v>459</v>
      </c>
      <c r="N11" s="16" t="str">
        <f t="shared" si="3"/>
        <v>RMD &lt;&gt; CA4</v>
      </c>
      <c r="O11" s="16" t="str">
        <f t="shared" si="4"/>
        <v>10G (Ten Gig)</v>
      </c>
      <c r="P11" s="16" t="str">
        <f t="shared" si="5"/>
        <v/>
      </c>
      <c r="R11" s="17"/>
      <c r="S11" s="8" t="str">
        <v/>
      </c>
      <c r="T11" s="18" t="str">
        <f>IFERROR( IF( COUNTIF($R$2:R11,R11)=1, IF(VALUE(R11)=0,"",VALUE(R11)), "" ), "" )</f>
        <v/>
      </c>
      <c r="U11" s="8" t="str">
        <f t="shared" si="6"/>
        <v/>
      </c>
      <c r="W11" s="19"/>
      <c r="X11" s="19"/>
      <c r="Y11" s="7"/>
      <c r="Z11" s="45"/>
      <c r="AA11" s="46"/>
      <c r="AB11" s="46"/>
      <c r="AC11" s="46"/>
      <c r="AD11" s="46"/>
      <c r="AE11" s="46"/>
    </row>
    <row r="12" spans="1:31" ht="25.05" customHeight="1" x14ac:dyDescent="0.45">
      <c r="A12" s="2" t="s">
        <v>16</v>
      </c>
      <c r="B12" s="2" t="s">
        <v>17</v>
      </c>
      <c r="C12" s="2" t="s">
        <v>24</v>
      </c>
      <c r="D12" s="3">
        <v>45934.479387361112</v>
      </c>
      <c r="E12" s="2" t="s">
        <v>28</v>
      </c>
      <c r="F12" s="2" t="s">
        <v>14</v>
      </c>
      <c r="G12" s="2" t="s">
        <v>29</v>
      </c>
      <c r="H12" s="2" t="s">
        <v>73</v>
      </c>
      <c r="K12" s="15" t="str">
        <f t="shared" si="0"/>
        <v>RMD</v>
      </c>
      <c r="L12" s="15" t="str">
        <f t="shared" si="1"/>
        <v>MKT</v>
      </c>
      <c r="M12" s="16" t="str">
        <f t="shared" si="2"/>
        <v>719</v>
      </c>
      <c r="N12" s="16" t="str">
        <f t="shared" si="3"/>
        <v>RMD &lt;&gt; MKT</v>
      </c>
      <c r="O12" s="16" t="str">
        <f t="shared" si="4"/>
        <v>10G (Ten Gig)</v>
      </c>
      <c r="P12" s="16" t="str">
        <f t="shared" si="5"/>
        <v/>
      </c>
      <c r="R12" s="17"/>
      <c r="S12" s="8" t="str">
        <v/>
      </c>
      <c r="T12" s="18" t="str">
        <f>IFERROR( IF( COUNTIF($R$2:R12,R12)=1, IF(VALUE(R12)=0,"",VALUE(R12)), "" ), "" )</f>
        <v/>
      </c>
      <c r="U12" s="8" t="str">
        <f t="shared" si="6"/>
        <v/>
      </c>
      <c r="W12" s="19"/>
      <c r="X12" s="19"/>
      <c r="Y12" s="7"/>
      <c r="Z12" s="45"/>
      <c r="AA12" s="46"/>
      <c r="AB12" s="46"/>
      <c r="AC12" s="46"/>
      <c r="AD12" s="46"/>
      <c r="AE12" s="46"/>
    </row>
    <row r="13" spans="1:31" ht="25.05" customHeight="1" x14ac:dyDescent="0.45">
      <c r="A13" s="2" t="s">
        <v>24</v>
      </c>
      <c r="B13" s="2" t="s">
        <v>25</v>
      </c>
      <c r="C13" s="2" t="s">
        <v>16</v>
      </c>
      <c r="D13" s="3">
        <v>45934.479387407409</v>
      </c>
      <c r="E13" s="2" t="s">
        <v>26</v>
      </c>
      <c r="F13" s="2" t="s">
        <v>14</v>
      </c>
      <c r="G13" s="2" t="s">
        <v>27</v>
      </c>
      <c r="H13" s="2" t="s">
        <v>74</v>
      </c>
      <c r="K13" s="15" t="str">
        <f t="shared" si="0"/>
        <v>MKT</v>
      </c>
      <c r="L13" s="15" t="str">
        <f t="shared" si="1"/>
        <v>RMD</v>
      </c>
      <c r="M13" s="16" t="str">
        <f t="shared" si="2"/>
        <v>719</v>
      </c>
      <c r="N13" s="16" t="str">
        <f t="shared" si="3"/>
        <v>MKT &lt;&gt; RMD</v>
      </c>
      <c r="O13" s="16" t="str">
        <f t="shared" si="4"/>
        <v>10G (Ten Gig)</v>
      </c>
      <c r="P13" s="16" t="str">
        <f t="shared" si="5"/>
        <v/>
      </c>
      <c r="R13" s="17"/>
      <c r="S13" s="8" t="str">
        <v/>
      </c>
      <c r="T13" s="18" t="str">
        <f>IFERROR( IF( COUNTIF($R$2:R13,R13)=1, IF(VALUE(R13)=0,"",VALUE(R13)), "" ), "" )</f>
        <v/>
      </c>
      <c r="U13" s="8" t="str">
        <f t="shared" si="6"/>
        <v/>
      </c>
      <c r="W13" s="19"/>
      <c r="X13" s="19"/>
      <c r="Y13" s="7"/>
      <c r="Z13" s="45"/>
      <c r="AA13" s="46"/>
      <c r="AB13" s="46"/>
      <c r="AC13" s="46"/>
      <c r="AD13" s="46"/>
      <c r="AE13" s="46"/>
    </row>
    <row r="14" spans="1:31" ht="25.05" customHeight="1" x14ac:dyDescent="0.45">
      <c r="A14" s="2" t="s">
        <v>16</v>
      </c>
      <c r="B14" s="2" t="s">
        <v>17</v>
      </c>
      <c r="C14" s="2" t="s">
        <v>19</v>
      </c>
      <c r="D14" s="3">
        <v>45934.479388946762</v>
      </c>
      <c r="E14" s="2" t="s">
        <v>76</v>
      </c>
      <c r="F14" s="2" t="s">
        <v>14</v>
      </c>
      <c r="G14" s="2" t="s">
        <v>77</v>
      </c>
      <c r="H14" s="2" t="s">
        <v>78</v>
      </c>
      <c r="K14" s="15" t="str">
        <f t="shared" si="0"/>
        <v>RMD</v>
      </c>
      <c r="L14" s="15" t="str">
        <f t="shared" si="1"/>
        <v>BS</v>
      </c>
      <c r="M14" s="16" t="str">
        <f t="shared" si="2"/>
        <v>499</v>
      </c>
      <c r="N14" s="16" t="str">
        <f t="shared" si="3"/>
        <v>RMD &lt;&gt; BS</v>
      </c>
      <c r="O14" s="16" t="str">
        <f t="shared" si="4"/>
        <v>10G (Ten Gig)</v>
      </c>
      <c r="P14" s="16" t="str">
        <f t="shared" si="5"/>
        <v/>
      </c>
      <c r="R14" s="17"/>
      <c r="S14" s="8" t="str">
        <v/>
      </c>
      <c r="T14" s="18" t="str">
        <f>IFERROR( IF( COUNTIF($R$2:R14,R14)=1, IF(VALUE(R14)=0,"",VALUE(R14)), "" ), "" )</f>
        <v/>
      </c>
      <c r="U14" s="8" t="str">
        <f t="shared" si="6"/>
        <v/>
      </c>
      <c r="W14" s="19"/>
      <c r="X14" s="19"/>
      <c r="Y14" s="7"/>
      <c r="Z14" s="45"/>
      <c r="AA14" s="46"/>
      <c r="AB14" s="46"/>
      <c r="AC14" s="46"/>
      <c r="AD14" s="46"/>
      <c r="AE14" s="46"/>
    </row>
    <row r="15" spans="1:31" ht="25.05" customHeight="1" x14ac:dyDescent="0.45">
      <c r="A15" s="2" t="s">
        <v>24</v>
      </c>
      <c r="B15" s="2" t="s">
        <v>25</v>
      </c>
      <c r="C15" s="2" t="s">
        <v>16</v>
      </c>
      <c r="D15" s="3">
        <v>45934.479441076393</v>
      </c>
      <c r="E15" s="2" t="s">
        <v>26</v>
      </c>
      <c r="F15" s="2" t="s">
        <v>14</v>
      </c>
      <c r="G15" s="2" t="s">
        <v>27</v>
      </c>
      <c r="H15" s="2" t="s">
        <v>82</v>
      </c>
      <c r="K15" s="15" t="str">
        <f t="shared" si="0"/>
        <v>MKT</v>
      </c>
      <c r="L15" s="15" t="str">
        <f t="shared" si="1"/>
        <v>RMD</v>
      </c>
      <c r="M15" s="16" t="str">
        <f t="shared" si="2"/>
        <v>719</v>
      </c>
      <c r="N15" s="16" t="str">
        <f t="shared" si="3"/>
        <v>MKT &lt;&gt; RMD</v>
      </c>
      <c r="O15" s="16" t="str">
        <f t="shared" si="4"/>
        <v>10G (Ten Gig)</v>
      </c>
      <c r="P15" s="16" t="str">
        <f t="shared" si="5"/>
        <v/>
      </c>
      <c r="R15" s="17"/>
      <c r="S15" s="8" t="str">
        <v/>
      </c>
      <c r="T15" s="18" t="str">
        <f>IFERROR( IF( COUNTIF($R$2:R15,R15)=1, IF(VALUE(R15)=0,"",VALUE(R15)), "" ), "" )</f>
        <v/>
      </c>
      <c r="U15" s="8" t="str">
        <f t="shared" si="6"/>
        <v/>
      </c>
      <c r="W15" s="19"/>
      <c r="X15" s="19"/>
      <c r="Y15" s="7"/>
      <c r="Z15" s="45"/>
      <c r="AA15" s="46"/>
      <c r="AB15" s="46"/>
      <c r="AC15" s="46"/>
      <c r="AD15" s="46"/>
      <c r="AE15" s="46"/>
    </row>
    <row r="16" spans="1:31" ht="25.05" customHeight="1" x14ac:dyDescent="0.45">
      <c r="A16" s="2" t="s">
        <v>16</v>
      </c>
      <c r="B16" s="2" t="s">
        <v>17</v>
      </c>
      <c r="C16" s="2" t="s">
        <v>24</v>
      </c>
      <c r="D16" s="3">
        <v>45934.479441157397</v>
      </c>
      <c r="E16" s="2" t="s">
        <v>28</v>
      </c>
      <c r="F16" s="2" t="s">
        <v>14</v>
      </c>
      <c r="G16" s="2" t="s">
        <v>29</v>
      </c>
      <c r="H16" s="2" t="s">
        <v>83</v>
      </c>
      <c r="K16" s="15" t="str">
        <f t="shared" si="0"/>
        <v>RMD</v>
      </c>
      <c r="L16" s="15" t="str">
        <f t="shared" si="1"/>
        <v>MKT</v>
      </c>
      <c r="M16" s="16" t="str">
        <f t="shared" si="2"/>
        <v>719</v>
      </c>
      <c r="N16" s="16" t="str">
        <f t="shared" si="3"/>
        <v>RMD &lt;&gt; MKT</v>
      </c>
      <c r="O16" s="16" t="str">
        <f t="shared" si="4"/>
        <v>10G (Ten Gig)</v>
      </c>
      <c r="P16" s="16" t="str">
        <f t="shared" si="5"/>
        <v/>
      </c>
      <c r="R16" s="17"/>
      <c r="S16" s="8" t="str">
        <v/>
      </c>
      <c r="T16" s="18" t="str">
        <f>IFERROR( IF( COUNTIF($R$2:R16,R16)=1, IF(VALUE(R16)=0,"",VALUE(R16)), "" ), "" )</f>
        <v/>
      </c>
      <c r="U16" s="8" t="str">
        <f t="shared" si="6"/>
        <v/>
      </c>
      <c r="W16" s="19"/>
      <c r="X16" s="19"/>
      <c r="Y16" s="7"/>
      <c r="Z16" s="45"/>
      <c r="AA16" s="46"/>
      <c r="AB16" s="46"/>
      <c r="AC16" s="46"/>
      <c r="AD16" s="46"/>
      <c r="AE16" s="46"/>
    </row>
    <row r="17" spans="1:31" ht="25.05" customHeight="1" x14ac:dyDescent="0.45">
      <c r="A17" s="2" t="s">
        <v>30</v>
      </c>
      <c r="B17" s="2" t="s">
        <v>31</v>
      </c>
      <c r="C17" s="2" t="s">
        <v>32</v>
      </c>
      <c r="D17" s="3">
        <v>45934.479569629628</v>
      </c>
      <c r="E17" s="2" t="s">
        <v>69</v>
      </c>
      <c r="F17" s="2" t="s">
        <v>14</v>
      </c>
      <c r="G17" s="2" t="s">
        <v>70</v>
      </c>
      <c r="H17" s="2" t="s">
        <v>88</v>
      </c>
      <c r="K17" s="15" t="str">
        <f t="shared" si="0"/>
        <v>RMD</v>
      </c>
      <c r="L17" s="15" t="str">
        <f t="shared" si="1"/>
        <v>CA4</v>
      </c>
      <c r="M17" s="16" t="str">
        <f t="shared" si="2"/>
        <v>460</v>
      </c>
      <c r="N17" s="16" t="str">
        <f t="shared" si="3"/>
        <v>RMD &lt;&gt; CA4</v>
      </c>
      <c r="O17" s="16" t="str">
        <f t="shared" si="4"/>
        <v>10G (Ten Gig)</v>
      </c>
      <c r="P17" s="16" t="str">
        <f t="shared" si="5"/>
        <v/>
      </c>
      <c r="R17" s="17"/>
      <c r="S17" s="8" t="str">
        <v/>
      </c>
      <c r="T17" s="18" t="str">
        <f>IFERROR( IF( COUNTIF($R$2:R17,R17)=1, IF(VALUE(R17)=0,"",VALUE(R17)), "" ), "" )</f>
        <v/>
      </c>
      <c r="U17" s="8" t="str">
        <f t="shared" si="6"/>
        <v/>
      </c>
      <c r="W17" s="19"/>
      <c r="X17" s="19"/>
      <c r="Y17" s="7"/>
      <c r="Z17" s="45"/>
      <c r="AA17" s="46"/>
      <c r="AB17" s="46"/>
      <c r="AC17" s="46"/>
      <c r="AD17" s="46"/>
      <c r="AE17" s="46"/>
    </row>
    <row r="18" spans="1:31" ht="25.05" customHeight="1" x14ac:dyDescent="0.45">
      <c r="A18" s="2" t="s">
        <v>16</v>
      </c>
      <c r="B18" s="2" t="s">
        <v>17</v>
      </c>
      <c r="C18" s="2" t="s">
        <v>24</v>
      </c>
      <c r="D18" s="3">
        <v>45934.479569687501</v>
      </c>
      <c r="E18" s="2" t="s">
        <v>28</v>
      </c>
      <c r="F18" s="2" t="s">
        <v>14</v>
      </c>
      <c r="G18" s="2" t="s">
        <v>29</v>
      </c>
      <c r="H18" s="2" t="s">
        <v>89</v>
      </c>
      <c r="K18" s="15" t="str">
        <f t="shared" si="0"/>
        <v>RMD</v>
      </c>
      <c r="L18" s="15" t="str">
        <f t="shared" si="1"/>
        <v>MKT</v>
      </c>
      <c r="M18" s="16" t="str">
        <f t="shared" si="2"/>
        <v>719</v>
      </c>
      <c r="N18" s="16" t="str">
        <f t="shared" si="3"/>
        <v>RMD &lt;&gt; MKT</v>
      </c>
      <c r="O18" s="16" t="str">
        <f t="shared" si="4"/>
        <v>10G (Ten Gig)</v>
      </c>
      <c r="P18" s="16" t="str">
        <f t="shared" si="5"/>
        <v/>
      </c>
      <c r="R18" s="17"/>
      <c r="S18" s="8" t="str">
        <v/>
      </c>
      <c r="T18" s="18" t="str">
        <f>IFERROR( IF( COUNTIF($R$2:R18,R18)=1, IF(VALUE(R18)=0,"",VALUE(R18)), "" ), "" )</f>
        <v/>
      </c>
      <c r="U18" s="8" t="str">
        <f t="shared" si="6"/>
        <v/>
      </c>
      <c r="W18" s="19"/>
      <c r="X18" s="19"/>
      <c r="Y18" s="7"/>
      <c r="Z18" s="45"/>
      <c r="AA18" s="46"/>
      <c r="AB18" s="46"/>
      <c r="AC18" s="46"/>
      <c r="AD18" s="46"/>
      <c r="AE18" s="46"/>
    </row>
    <row r="19" spans="1:31" ht="25.05" customHeight="1" x14ac:dyDescent="0.45">
      <c r="A19" s="2" t="s">
        <v>24</v>
      </c>
      <c r="B19" s="2" t="s">
        <v>25</v>
      </c>
      <c r="C19" s="2" t="s">
        <v>16</v>
      </c>
      <c r="D19" s="3">
        <v>45934.479569699077</v>
      </c>
      <c r="E19" s="2" t="s">
        <v>26</v>
      </c>
      <c r="F19" s="2" t="s">
        <v>14</v>
      </c>
      <c r="G19" s="2" t="s">
        <v>27</v>
      </c>
      <c r="H19" s="2" t="s">
        <v>90</v>
      </c>
      <c r="K19" s="15" t="str">
        <f t="shared" si="0"/>
        <v>MKT</v>
      </c>
      <c r="L19" s="15" t="str">
        <f t="shared" si="1"/>
        <v>RMD</v>
      </c>
      <c r="M19" s="16" t="str">
        <f t="shared" si="2"/>
        <v>719</v>
      </c>
      <c r="N19" s="16" t="str">
        <f t="shared" si="3"/>
        <v>MKT &lt;&gt; RMD</v>
      </c>
      <c r="O19" s="16" t="str">
        <f t="shared" si="4"/>
        <v>10G (Ten Gig)</v>
      </c>
      <c r="P19" s="16" t="str">
        <f t="shared" si="5"/>
        <v/>
      </c>
      <c r="R19" s="17"/>
      <c r="S19" s="8" t="str">
        <v/>
      </c>
      <c r="T19" s="18" t="str">
        <f>IFERROR( IF( COUNTIF($R$2:R19,R19)=1, IF(VALUE(R19)=0,"",VALUE(R19)), "" ), "" )</f>
        <v/>
      </c>
      <c r="U19" s="8" t="str">
        <f t="shared" si="6"/>
        <v/>
      </c>
      <c r="W19" s="19"/>
      <c r="X19" s="19"/>
      <c r="Y19" s="7"/>
    </row>
    <row r="20" spans="1:31" ht="25.05" customHeight="1" x14ac:dyDescent="0.45">
      <c r="A20" s="2"/>
      <c r="B20" s="2"/>
      <c r="C20" s="2"/>
      <c r="D20" s="3"/>
      <c r="E20" s="2"/>
      <c r="F20" s="2"/>
      <c r="G20" s="2"/>
      <c r="H20" s="2"/>
      <c r="K20" s="15" t="e">
        <f t="shared" si="0"/>
        <v>#VALUE!</v>
      </c>
      <c r="L20" s="15" t="e">
        <f t="shared" si="1"/>
        <v>#VALUE!</v>
      </c>
      <c r="M20" s="16" t="e">
        <f t="shared" si="2"/>
        <v>#VALUE!</v>
      </c>
      <c r="N20" s="16" t="e">
        <f t="shared" si="3"/>
        <v>#VALUE!</v>
      </c>
      <c r="O20" s="16" t="str">
        <f t="shared" si="4"/>
        <v>Other</v>
      </c>
      <c r="P20" s="16" t="str">
        <f t="shared" si="5"/>
        <v/>
      </c>
      <c r="R20" s="17"/>
      <c r="S20" s="8" t="str">
        <v/>
      </c>
      <c r="T20" s="18" t="str">
        <f>IFERROR( IF( COUNTIF($R$2:R20,R20)=1, IF(VALUE(R20)=0,"",VALUE(R20)), "" ), "" )</f>
        <v/>
      </c>
      <c r="U20" s="8" t="str">
        <f t="shared" si="6"/>
        <v/>
      </c>
      <c r="W20" s="19"/>
      <c r="X20" s="19"/>
      <c r="Y20" s="7"/>
    </row>
    <row r="21" spans="1:31" ht="25.05" customHeight="1" x14ac:dyDescent="0.45">
      <c r="A21" s="2"/>
      <c r="B21" s="2"/>
      <c r="C21" s="2"/>
      <c r="D21" s="3"/>
      <c r="E21" s="2"/>
      <c r="F21" s="2"/>
      <c r="G21" s="2"/>
      <c r="H21" s="2"/>
      <c r="K21" s="15" t="e">
        <f t="shared" si="0"/>
        <v>#VALUE!</v>
      </c>
      <c r="L21" s="15" t="e">
        <f t="shared" si="1"/>
        <v>#VALUE!</v>
      </c>
      <c r="M21" s="16" t="e">
        <f t="shared" si="2"/>
        <v>#VALUE!</v>
      </c>
      <c r="N21" s="16" t="e">
        <f t="shared" si="3"/>
        <v>#VALUE!</v>
      </c>
      <c r="O21" s="16" t="str">
        <f t="shared" si="4"/>
        <v>Other</v>
      </c>
      <c r="P21" s="16" t="str">
        <f t="shared" si="5"/>
        <v/>
      </c>
      <c r="R21" s="17"/>
      <c r="S21" s="8" t="str">
        <v/>
      </c>
      <c r="T21" s="18" t="str">
        <f>IFERROR( IF( COUNTIF($R$2:R21,R21)=1, IF(VALUE(R21)=0,"",VALUE(R21)), "" ), "" )</f>
        <v/>
      </c>
      <c r="U21" s="8" t="str">
        <f t="shared" si="6"/>
        <v/>
      </c>
      <c r="W21" s="19"/>
      <c r="X21" s="19"/>
      <c r="Y21" s="7"/>
    </row>
    <row r="22" spans="1:31" ht="25.05" customHeight="1" x14ac:dyDescent="0.45">
      <c r="A22" s="2"/>
      <c r="B22" s="2"/>
      <c r="C22" s="2"/>
      <c r="D22" s="3"/>
      <c r="E22" s="2"/>
      <c r="F22" s="2"/>
      <c r="G22" s="2"/>
      <c r="H22" s="2"/>
      <c r="K22" s="15" t="e">
        <f t="shared" si="0"/>
        <v>#VALUE!</v>
      </c>
      <c r="L22" s="15" t="e">
        <f t="shared" si="1"/>
        <v>#VALUE!</v>
      </c>
      <c r="M22" s="16" t="e">
        <f t="shared" si="2"/>
        <v>#VALUE!</v>
      </c>
      <c r="N22" s="16" t="e">
        <f t="shared" si="3"/>
        <v>#VALUE!</v>
      </c>
      <c r="O22" s="16" t="str">
        <f t="shared" si="4"/>
        <v>Other</v>
      </c>
      <c r="P22" s="16" t="str">
        <f t="shared" si="5"/>
        <v/>
      </c>
      <c r="R22" s="17"/>
      <c r="S22" s="8" t="str">
        <v/>
      </c>
      <c r="T22" s="18" t="str">
        <f>IFERROR( IF( COUNTIF($R$2:R22,R22)=1, IF(VALUE(R22)=0,"",VALUE(R22)), "" ), "" )</f>
        <v/>
      </c>
      <c r="U22" s="8" t="str">
        <f t="shared" si="6"/>
        <v/>
      </c>
      <c r="W22" s="19"/>
      <c r="X22" s="19"/>
      <c r="Y22" s="7"/>
    </row>
    <row r="23" spans="1:31" ht="25.05" customHeight="1" x14ac:dyDescent="0.45">
      <c r="A23" s="2"/>
      <c r="B23" s="2"/>
      <c r="C23" s="2"/>
      <c r="D23" s="3"/>
      <c r="E23" s="2"/>
      <c r="F23" s="2"/>
      <c r="G23" s="2"/>
      <c r="H23" s="2"/>
      <c r="K23" s="15" t="e">
        <f t="shared" si="0"/>
        <v>#VALUE!</v>
      </c>
      <c r="L23" s="15" t="e">
        <f t="shared" si="1"/>
        <v>#VALUE!</v>
      </c>
      <c r="M23" s="16" t="e">
        <f t="shared" si="2"/>
        <v>#VALUE!</v>
      </c>
      <c r="N23" s="16" t="e">
        <f t="shared" si="3"/>
        <v>#VALUE!</v>
      </c>
      <c r="O23" s="16" t="str">
        <f t="shared" si="4"/>
        <v>Other</v>
      </c>
      <c r="P23" s="16" t="str">
        <f t="shared" si="5"/>
        <v/>
      </c>
      <c r="R23" s="17"/>
      <c r="S23" s="8" t="str">
        <v/>
      </c>
      <c r="T23" s="18" t="str">
        <f>IFERROR( IF( COUNTIF($R$2:R23,R23)=1, IF(VALUE(R23)=0,"",VALUE(R23)), "" ), "" )</f>
        <v/>
      </c>
      <c r="U23" s="8" t="str">
        <f t="shared" si="6"/>
        <v/>
      </c>
      <c r="W23" s="19"/>
      <c r="X23" s="19"/>
      <c r="Y23" s="7"/>
    </row>
    <row r="24" spans="1:31" ht="25.05" customHeight="1" x14ac:dyDescent="0.45">
      <c r="A24" s="2"/>
      <c r="B24" s="2"/>
      <c r="C24" s="2"/>
      <c r="D24" s="3"/>
      <c r="E24" s="2"/>
      <c r="F24" s="2"/>
      <c r="G24" s="2"/>
      <c r="H24" s="2"/>
      <c r="K24" s="15" t="e">
        <f t="shared" si="0"/>
        <v>#VALUE!</v>
      </c>
      <c r="L24" s="15" t="e">
        <f t="shared" si="1"/>
        <v>#VALUE!</v>
      </c>
      <c r="M24" s="16" t="e">
        <f t="shared" si="2"/>
        <v>#VALUE!</v>
      </c>
      <c r="N24" s="16" t="e">
        <f t="shared" si="3"/>
        <v>#VALUE!</v>
      </c>
      <c r="O24" s="16" t="str">
        <f t="shared" si="4"/>
        <v>Other</v>
      </c>
      <c r="P24" s="16" t="str">
        <f t="shared" si="5"/>
        <v/>
      </c>
      <c r="R24" s="17"/>
      <c r="S24" s="8" t="str">
        <v/>
      </c>
      <c r="T24" s="18" t="str">
        <f>IFERROR( IF( COUNTIF($R$2:R24,R24)=1, IF(VALUE(R24)=0,"",VALUE(R24)), "" ), "" )</f>
        <v/>
      </c>
      <c r="U24" s="8" t="str">
        <f t="shared" si="6"/>
        <v/>
      </c>
      <c r="W24" s="19"/>
      <c r="X24" s="19"/>
      <c r="Y24" s="7"/>
    </row>
    <row r="25" spans="1:31" ht="25.05" customHeight="1" x14ac:dyDescent="0.45">
      <c r="A25" s="2"/>
      <c r="B25" s="2"/>
      <c r="C25" s="2"/>
      <c r="D25" s="3"/>
      <c r="E25" s="2"/>
      <c r="F25" s="2"/>
      <c r="G25" s="2"/>
      <c r="H25" s="2"/>
      <c r="K25" s="15" t="e">
        <f t="shared" si="0"/>
        <v>#VALUE!</v>
      </c>
      <c r="L25" s="15" t="e">
        <f t="shared" si="1"/>
        <v>#VALUE!</v>
      </c>
      <c r="M25" s="16" t="e">
        <f t="shared" si="2"/>
        <v>#VALUE!</v>
      </c>
      <c r="N25" s="16" t="e">
        <f t="shared" si="3"/>
        <v>#VALUE!</v>
      </c>
      <c r="O25" s="16" t="str">
        <f t="shared" si="4"/>
        <v>Other</v>
      </c>
      <c r="P25" s="16" t="str">
        <f t="shared" si="5"/>
        <v/>
      </c>
      <c r="R25" s="17"/>
      <c r="S25" s="8" t="str">
        <v/>
      </c>
      <c r="T25" s="18" t="str">
        <f>IFERROR( IF( COUNTIF($R$2:R25,R25)=1, IF(VALUE(R25)=0,"",VALUE(R25)), "" ), "" )</f>
        <v/>
      </c>
      <c r="U25" s="8" t="str">
        <f t="shared" si="6"/>
        <v/>
      </c>
      <c r="W25" s="19"/>
      <c r="X25" s="19"/>
      <c r="Y25" s="7"/>
    </row>
    <row r="26" spans="1:31" ht="25.05" customHeight="1" x14ac:dyDescent="0.45">
      <c r="A26" s="2"/>
      <c r="B26" s="2"/>
      <c r="C26" s="2"/>
      <c r="D26" s="3"/>
      <c r="E26" s="2"/>
      <c r="F26" s="2"/>
      <c r="G26" s="2"/>
      <c r="H26" s="2"/>
      <c r="K26" s="15" t="e">
        <f t="shared" si="0"/>
        <v>#VALUE!</v>
      </c>
      <c r="L26" s="15" t="e">
        <f t="shared" si="1"/>
        <v>#VALUE!</v>
      </c>
      <c r="M26" s="16" t="e">
        <f t="shared" si="2"/>
        <v>#VALUE!</v>
      </c>
      <c r="N26" s="16" t="e">
        <f t="shared" si="3"/>
        <v>#VALUE!</v>
      </c>
      <c r="O26" s="16" t="str">
        <f t="shared" si="4"/>
        <v>Other</v>
      </c>
      <c r="P26" s="16" t="str">
        <f t="shared" si="5"/>
        <v/>
      </c>
      <c r="R26" s="17"/>
      <c r="S26" s="8" t="str">
        <v/>
      </c>
      <c r="T26" s="18" t="str">
        <f>IFERROR( IF( COUNTIF($R$2:R26,R26)=1, IF(VALUE(R26)=0,"",VALUE(R26)), "" ), "" )</f>
        <v/>
      </c>
      <c r="U26" s="8" t="str">
        <f t="shared" si="6"/>
        <v/>
      </c>
      <c r="W26" s="19"/>
      <c r="X26" s="19"/>
      <c r="Y26" s="7"/>
    </row>
    <row r="27" spans="1:31" ht="25.05" customHeight="1" x14ac:dyDescent="0.45">
      <c r="A27" s="2"/>
      <c r="B27" s="2"/>
      <c r="C27" s="2"/>
      <c r="D27" s="3"/>
      <c r="E27" s="2"/>
      <c r="F27" s="2"/>
      <c r="G27" s="2"/>
      <c r="H27" s="2"/>
      <c r="K27" s="15" t="e">
        <f t="shared" si="0"/>
        <v>#VALUE!</v>
      </c>
      <c r="L27" s="15" t="e">
        <f t="shared" si="1"/>
        <v>#VALUE!</v>
      </c>
      <c r="M27" s="16" t="e">
        <f t="shared" si="2"/>
        <v>#VALUE!</v>
      </c>
      <c r="N27" s="16" t="e">
        <f t="shared" si="3"/>
        <v>#VALUE!</v>
      </c>
      <c r="O27" s="16" t="str">
        <f t="shared" si="4"/>
        <v>Other</v>
      </c>
      <c r="P27" s="16" t="str">
        <f t="shared" si="5"/>
        <v/>
      </c>
      <c r="R27" s="17"/>
      <c r="S27" s="8" t="str">
        <v/>
      </c>
      <c r="T27" s="18" t="str">
        <f>IFERROR( IF( COUNTIF($R$2:R27,R27)=1, IF(VALUE(R27)=0,"",VALUE(R27)), "" ), "" )</f>
        <v/>
      </c>
      <c r="U27" s="8" t="str">
        <f t="shared" si="6"/>
        <v/>
      </c>
      <c r="W27" s="19"/>
      <c r="X27" s="19"/>
      <c r="Y27" s="43" t="s">
        <v>2</v>
      </c>
    </row>
    <row r="28" spans="1:31" ht="25.05" customHeight="1" x14ac:dyDescent="0.45">
      <c r="A28" s="2"/>
      <c r="B28" s="2"/>
      <c r="C28" s="2"/>
      <c r="D28" s="3"/>
      <c r="E28" s="2"/>
      <c r="F28" s="2"/>
      <c r="G28" s="2"/>
      <c r="H28" s="2"/>
      <c r="K28" s="15" t="e">
        <f t="shared" si="0"/>
        <v>#VALUE!</v>
      </c>
      <c r="L28" s="15" t="e">
        <f t="shared" si="1"/>
        <v>#VALUE!</v>
      </c>
      <c r="M28" s="16" t="e">
        <f t="shared" si="2"/>
        <v>#VALUE!</v>
      </c>
      <c r="N28" s="16" t="e">
        <f t="shared" si="3"/>
        <v>#VALUE!</v>
      </c>
      <c r="O28" s="16" t="str">
        <f t="shared" si="4"/>
        <v>Other</v>
      </c>
      <c r="P28" s="16" t="str">
        <f t="shared" si="5"/>
        <v/>
      </c>
      <c r="R28" s="17"/>
      <c r="S28" s="8" t="str">
        <v/>
      </c>
      <c r="T28" s="18" t="str">
        <f>IFERROR( IF( COUNTIF($R$2:R28,R28)=1, IF(VALUE(R28)=0,"",VALUE(R28)), "" ), "" )</f>
        <v/>
      </c>
      <c r="U28" s="8" t="str">
        <f t="shared" si="6"/>
        <v/>
      </c>
      <c r="W28" s="19"/>
      <c r="X28" s="19"/>
      <c r="Y28" s="43"/>
    </row>
    <row r="29" spans="1:31" ht="25.05" customHeight="1" x14ac:dyDescent="0.45">
      <c r="A29" s="2"/>
      <c r="B29" s="2"/>
      <c r="C29" s="2"/>
      <c r="D29" s="3"/>
      <c r="E29" s="2"/>
      <c r="F29" s="2"/>
      <c r="G29" s="2"/>
      <c r="H29" s="2"/>
      <c r="K29" s="15" t="e">
        <f t="shared" si="0"/>
        <v>#VALUE!</v>
      </c>
      <c r="L29" s="15" t="e">
        <f t="shared" si="1"/>
        <v>#VALUE!</v>
      </c>
      <c r="M29" s="16" t="e">
        <f t="shared" si="2"/>
        <v>#VALUE!</v>
      </c>
      <c r="N29" s="16" t="e">
        <f t="shared" si="3"/>
        <v>#VALUE!</v>
      </c>
      <c r="O29" s="16" t="str">
        <f t="shared" si="4"/>
        <v>Other</v>
      </c>
      <c r="P29" s="16" t="str">
        <f t="shared" si="5"/>
        <v/>
      </c>
      <c r="R29" s="17"/>
      <c r="S29" s="8" t="str">
        <v/>
      </c>
      <c r="T29" s="18" t="str">
        <f>IFERROR( IF( COUNTIF($R$2:R29,R29)=1, IF(VALUE(R29)=0,"",VALUE(R29)), "" ), "" )</f>
        <v/>
      </c>
      <c r="U29" s="8" t="str">
        <f t="shared" si="6"/>
        <v/>
      </c>
      <c r="W29" s="19"/>
      <c r="X29" s="19"/>
      <c r="Y29" s="44" t="str">
        <f>"LR: " &amp; _xlfn.TEXTJOIN(" , ", TRUE, T2:T350)</f>
        <v>LR: 443 , 719 , 499 , 16 , 13 , 460 , 459</v>
      </c>
    </row>
    <row r="30" spans="1:31" ht="25.05" customHeight="1" x14ac:dyDescent="0.45">
      <c r="A30" s="2"/>
      <c r="B30" s="2"/>
      <c r="C30" s="2"/>
      <c r="D30" s="3"/>
      <c r="E30" s="2"/>
      <c r="F30" s="2"/>
      <c r="G30" s="2"/>
      <c r="H30" s="2"/>
      <c r="K30" s="15" t="e">
        <f t="shared" si="0"/>
        <v>#VALUE!</v>
      </c>
      <c r="L30" s="15" t="e">
        <f t="shared" si="1"/>
        <v>#VALUE!</v>
      </c>
      <c r="M30" s="16" t="e">
        <f t="shared" si="2"/>
        <v>#VALUE!</v>
      </c>
      <c r="N30" s="16" t="e">
        <f t="shared" si="3"/>
        <v>#VALUE!</v>
      </c>
      <c r="O30" s="16" t="str">
        <f t="shared" si="4"/>
        <v>Other</v>
      </c>
      <c r="P30" s="16" t="str">
        <f t="shared" si="5"/>
        <v/>
      </c>
      <c r="R30" s="17"/>
      <c r="S30" s="8" t="str">
        <v/>
      </c>
      <c r="T30" s="18" t="str">
        <f>IFERROR( IF( COUNTIF($R$2:R30,R30)=1, IF(VALUE(R30)=0,"",VALUE(R30)), "" ), "" )</f>
        <v/>
      </c>
      <c r="U30" s="8" t="str">
        <f t="shared" si="6"/>
        <v/>
      </c>
      <c r="W30" s="19"/>
      <c r="X30" s="19"/>
      <c r="Y30" s="44"/>
    </row>
    <row r="31" spans="1:31" ht="25.05" customHeight="1" x14ac:dyDescent="0.45">
      <c r="A31" s="2"/>
      <c r="B31" s="2"/>
      <c r="C31" s="2"/>
      <c r="D31" s="3"/>
      <c r="E31" s="2"/>
      <c r="F31" s="2"/>
      <c r="G31" s="2"/>
      <c r="H31" s="2"/>
      <c r="K31" s="15" t="e">
        <f t="shared" si="0"/>
        <v>#VALUE!</v>
      </c>
      <c r="L31" s="15" t="e">
        <f t="shared" si="1"/>
        <v>#VALUE!</v>
      </c>
      <c r="M31" s="16" t="e">
        <f t="shared" si="2"/>
        <v>#VALUE!</v>
      </c>
      <c r="N31" s="16" t="e">
        <f t="shared" si="3"/>
        <v>#VALUE!</v>
      </c>
      <c r="O31" s="16" t="str">
        <f t="shared" si="4"/>
        <v>Other</v>
      </c>
      <c r="P31" s="16" t="str">
        <f t="shared" si="5"/>
        <v/>
      </c>
      <c r="R31" s="17"/>
      <c r="S31" s="8" t="str">
        <v/>
      </c>
      <c r="T31" s="18" t="str">
        <f>IFERROR( IF( COUNTIF($R$2:R31,R31)=1, IF(VALUE(R31)=0,"",VALUE(R31)), "" ), "" )</f>
        <v/>
      </c>
      <c r="U31" s="8" t="str">
        <f t="shared" si="6"/>
        <v/>
      </c>
      <c r="W31" s="19"/>
      <c r="X31" s="19"/>
      <c r="Y31" s="44"/>
    </row>
    <row r="32" spans="1:31" ht="25.05" customHeight="1" x14ac:dyDescent="0.45">
      <c r="A32" s="2"/>
      <c r="B32" s="2"/>
      <c r="C32" s="2"/>
      <c r="D32" s="3"/>
      <c r="E32" s="2"/>
      <c r="F32" s="2"/>
      <c r="G32" s="2"/>
      <c r="H32" s="2"/>
      <c r="K32" s="15" t="e">
        <f t="shared" si="0"/>
        <v>#VALUE!</v>
      </c>
      <c r="L32" s="15" t="e">
        <f t="shared" si="1"/>
        <v>#VALUE!</v>
      </c>
      <c r="M32" s="16" t="e">
        <f t="shared" si="2"/>
        <v>#VALUE!</v>
      </c>
      <c r="N32" s="16" t="e">
        <f t="shared" si="3"/>
        <v>#VALUE!</v>
      </c>
      <c r="O32" s="16" t="str">
        <f t="shared" si="4"/>
        <v>Other</v>
      </c>
      <c r="P32" s="16" t="str">
        <f t="shared" si="5"/>
        <v/>
      </c>
      <c r="R32" s="17"/>
      <c r="S32" s="8" t="str">
        <v/>
      </c>
      <c r="T32" s="18" t="str">
        <f>IFERROR( IF( COUNTIF($R$2:R32,R32)=1, IF(VALUE(R32)=0,"",VALUE(R32)), "" ), "" )</f>
        <v/>
      </c>
      <c r="U32" s="8" t="str">
        <f t="shared" si="6"/>
        <v/>
      </c>
      <c r="W32" s="19"/>
      <c r="X32" s="19"/>
      <c r="Y32" s="43" t="s">
        <v>10</v>
      </c>
    </row>
    <row r="33" spans="1:25" ht="25.05" customHeight="1" x14ac:dyDescent="0.45">
      <c r="A33" s="2"/>
      <c r="B33" s="2"/>
      <c r="C33" s="2"/>
      <c r="D33" s="3"/>
      <c r="E33" s="2"/>
      <c r="F33" s="2"/>
      <c r="G33" s="2"/>
      <c r="H33" s="2"/>
      <c r="K33" s="15" t="e">
        <f t="shared" si="0"/>
        <v>#VALUE!</v>
      </c>
      <c r="L33" s="15" t="e">
        <f t="shared" si="1"/>
        <v>#VALUE!</v>
      </c>
      <c r="M33" s="16" t="e">
        <f t="shared" si="2"/>
        <v>#VALUE!</v>
      </c>
      <c r="N33" s="16" t="e">
        <f t="shared" si="3"/>
        <v>#VALUE!</v>
      </c>
      <c r="O33" s="16" t="str">
        <f t="shared" si="4"/>
        <v>Other</v>
      </c>
      <c r="P33" s="16" t="str">
        <f t="shared" si="5"/>
        <v/>
      </c>
      <c r="R33" s="17"/>
      <c r="S33" s="8" t="str">
        <v/>
      </c>
      <c r="T33" s="18" t="str">
        <f>IFERROR( IF( COUNTIF($R$2:R33,R33)=1, IF(VALUE(R33)=0,"",VALUE(R33)), "" ), "" )</f>
        <v/>
      </c>
      <c r="U33" s="8" t="str">
        <f t="shared" si="6"/>
        <v/>
      </c>
      <c r="W33" s="19"/>
      <c r="X33" s="19"/>
      <c r="Y33" s="43"/>
    </row>
    <row r="34" spans="1:25" ht="25.05" customHeight="1" x14ac:dyDescent="0.45">
      <c r="A34" s="2"/>
      <c r="B34" s="2"/>
      <c r="C34" s="2"/>
      <c r="D34" s="3"/>
      <c r="E34" s="2"/>
      <c r="F34" s="2"/>
      <c r="G34" s="2"/>
      <c r="H34" s="2"/>
      <c r="K34" s="15" t="e">
        <f t="shared" ref="K34:K65" si="7">LEFT(A34, FIND("-", A34)-1)</f>
        <v>#VALUE!</v>
      </c>
      <c r="L34" s="15" t="e">
        <f t="shared" ref="L34:L65" si="8">LEFT(C34, FIND("-", C34)-1)</f>
        <v>#VALUE!</v>
      </c>
      <c r="M34" s="16" t="e">
        <f t="shared" si="2"/>
        <v>#VALUE!</v>
      </c>
      <c r="N34" s="16" t="e">
        <f t="shared" ref="N34:N65" si="9">K34 &amp; " &lt;&gt; " &amp; L34</f>
        <v>#VALUE!</v>
      </c>
      <c r="O34" s="16" t="str">
        <f t="shared" ref="O34:O65" si="10">IF(LEFT(E34, 6)="TenGig", "10G (Ten Gig)", IF(LEFT(E34, 10)="HundredGig", "100G (Hundred Gig)", "Other"))</f>
        <v>Other</v>
      </c>
      <c r="P34" s="16" t="str">
        <f t="shared" si="5"/>
        <v/>
      </c>
      <c r="R34" s="17"/>
      <c r="S34" s="8" t="str">
        <v/>
      </c>
      <c r="T34" s="18" t="str">
        <f>IFERROR( IF( COUNTIF($R$2:R34,R34)=1, IF(VALUE(R34)=0,"",VALUE(R34)), "" ), "" )</f>
        <v/>
      </c>
      <c r="U34" s="8" t="str">
        <f t="shared" si="6"/>
        <v/>
      </c>
      <c r="W34" s="19"/>
      <c r="X34" s="19"/>
      <c r="Y34" s="44">
        <f>COUNTIF(T2:T430,"&gt;0")</f>
        <v>7</v>
      </c>
    </row>
    <row r="35" spans="1:25" ht="25.05" customHeight="1" x14ac:dyDescent="0.45">
      <c r="A35" s="2"/>
      <c r="B35" s="2"/>
      <c r="C35" s="2"/>
      <c r="D35" s="3"/>
      <c r="E35" s="2"/>
      <c r="F35" s="2"/>
      <c r="G35" s="2"/>
      <c r="H35" s="2"/>
      <c r="K35" s="15" t="e">
        <f t="shared" si="7"/>
        <v>#VALUE!</v>
      </c>
      <c r="L35" s="15" t="e">
        <f t="shared" si="8"/>
        <v>#VALUE!</v>
      </c>
      <c r="M35" s="16" t="e">
        <f t="shared" si="2"/>
        <v>#VALUE!</v>
      </c>
      <c r="N35" s="16" t="e">
        <f t="shared" si="9"/>
        <v>#VALUE!</v>
      </c>
      <c r="O35" s="16" t="str">
        <f t="shared" si="10"/>
        <v>Other</v>
      </c>
      <c r="P35" s="16" t="str">
        <f t="shared" si="5"/>
        <v/>
      </c>
      <c r="R35" s="17"/>
      <c r="S35" s="8" t="str">
        <v/>
      </c>
      <c r="T35" s="18" t="str">
        <f>IFERROR( IF( COUNTIF($R$2:R35,R35)=1, IF(VALUE(R35)=0,"",VALUE(R35)), "" ), "" )</f>
        <v/>
      </c>
      <c r="U35" s="8" t="str">
        <f t="shared" si="6"/>
        <v/>
      </c>
      <c r="W35" s="19"/>
      <c r="X35" s="19"/>
      <c r="Y35" s="44"/>
    </row>
    <row r="36" spans="1:25" ht="25.05" customHeight="1" x14ac:dyDescent="0.45">
      <c r="A36" s="2"/>
      <c r="B36" s="2"/>
      <c r="C36" s="2"/>
      <c r="D36" s="3"/>
      <c r="E36" s="2"/>
      <c r="F36" s="2"/>
      <c r="G36" s="2"/>
      <c r="H36" s="2"/>
      <c r="K36" s="15" t="e">
        <f t="shared" si="7"/>
        <v>#VALUE!</v>
      </c>
      <c r="L36" s="15" t="e">
        <f t="shared" si="8"/>
        <v>#VALUE!</v>
      </c>
      <c r="M36" s="16" t="e">
        <f t="shared" si="2"/>
        <v>#VALUE!</v>
      </c>
      <c r="N36" s="16" t="e">
        <f t="shared" si="9"/>
        <v>#VALUE!</v>
      </c>
      <c r="O36" s="16" t="str">
        <f t="shared" si="10"/>
        <v>Other</v>
      </c>
      <c r="P36" s="16" t="str">
        <f t="shared" si="5"/>
        <v/>
      </c>
      <c r="R36" s="17"/>
      <c r="S36" s="8" t="str">
        <v/>
      </c>
      <c r="T36" s="18" t="str">
        <f>IFERROR( IF( COUNTIF($R$2:R36,R36)=1, IF(VALUE(R36)=0,"",VALUE(R36)), "" ), "" )</f>
        <v/>
      </c>
      <c r="U36" s="8" t="str">
        <f t="shared" si="6"/>
        <v/>
      </c>
      <c r="W36" s="19"/>
      <c r="X36" s="19"/>
      <c r="Y36" s="44"/>
    </row>
    <row r="37" spans="1:25" ht="25.05" customHeight="1" x14ac:dyDescent="0.45">
      <c r="A37" s="2"/>
      <c r="B37" s="2"/>
      <c r="C37" s="2"/>
      <c r="D37" s="3"/>
      <c r="E37" s="2"/>
      <c r="F37" s="2"/>
      <c r="G37" s="2"/>
      <c r="H37" s="2"/>
      <c r="K37" s="15" t="e">
        <f t="shared" si="7"/>
        <v>#VALUE!</v>
      </c>
      <c r="L37" s="15" t="e">
        <f t="shared" si="8"/>
        <v>#VALUE!</v>
      </c>
      <c r="M37" s="16" t="e">
        <f t="shared" si="2"/>
        <v>#VALUE!</v>
      </c>
      <c r="N37" s="16" t="e">
        <f t="shared" si="9"/>
        <v>#VALUE!</v>
      </c>
      <c r="O37" s="16" t="str">
        <f t="shared" si="10"/>
        <v>Other</v>
      </c>
      <c r="P37" s="16" t="str">
        <f t="shared" si="5"/>
        <v/>
      </c>
      <c r="R37" s="17"/>
      <c r="S37" s="8" t="str">
        <v/>
      </c>
      <c r="T37" s="18" t="str">
        <f>IFERROR( IF( COUNTIF($R$2:R37,R37)=1, IF(VALUE(R37)=0,"",VALUE(R37)), "" ), "" )</f>
        <v/>
      </c>
      <c r="U37" s="8" t="str">
        <f t="shared" si="6"/>
        <v/>
      </c>
      <c r="V37" s="26"/>
      <c r="W37" s="19"/>
      <c r="X37" s="19"/>
      <c r="Y37" s="43" t="s">
        <v>12</v>
      </c>
    </row>
    <row r="38" spans="1:25" ht="25.05" customHeight="1" x14ac:dyDescent="0.45">
      <c r="A38" s="2"/>
      <c r="B38" s="2"/>
      <c r="C38" s="2"/>
      <c r="D38" s="3"/>
      <c r="E38" s="2"/>
      <c r="F38" s="2"/>
      <c r="G38" s="2"/>
      <c r="H38" s="2"/>
      <c r="K38" s="15" t="e">
        <f t="shared" si="7"/>
        <v>#VALUE!</v>
      </c>
      <c r="L38" s="15" t="e">
        <f t="shared" si="8"/>
        <v>#VALUE!</v>
      </c>
      <c r="M38" s="16" t="e">
        <f t="shared" si="2"/>
        <v>#VALUE!</v>
      </c>
      <c r="N38" s="16" t="e">
        <f t="shared" si="9"/>
        <v>#VALUE!</v>
      </c>
      <c r="O38" s="16" t="str">
        <f t="shared" si="10"/>
        <v>Other</v>
      </c>
      <c r="P38" s="16" t="str">
        <f t="shared" si="5"/>
        <v/>
      </c>
      <c r="R38" s="17"/>
      <c r="S38" s="8" t="str">
        <v/>
      </c>
      <c r="T38" s="18" t="str">
        <f>IFERROR( IF( COUNTIF($R$2:R38,R38)=1, IF(VALUE(R38)=0,"",VALUE(R38)), "" ), "" )</f>
        <v/>
      </c>
      <c r="U38" s="8" t="str">
        <f t="shared" si="6"/>
        <v/>
      </c>
      <c r="V38" s="26"/>
      <c r="W38" s="19"/>
      <c r="X38" s="19"/>
      <c r="Y38" s="43"/>
    </row>
    <row r="39" spans="1:25" ht="25.05" customHeight="1" x14ac:dyDescent="0.45">
      <c r="A39" s="2"/>
      <c r="B39" s="2"/>
      <c r="C39" s="2"/>
      <c r="D39" s="3"/>
      <c r="E39" s="2"/>
      <c r="F39" s="2"/>
      <c r="G39" s="2"/>
      <c r="H39" s="2"/>
      <c r="K39" s="15" t="e">
        <f t="shared" si="7"/>
        <v>#VALUE!</v>
      </c>
      <c r="L39" s="15" t="e">
        <f t="shared" si="8"/>
        <v>#VALUE!</v>
      </c>
      <c r="M39" s="16" t="e">
        <f t="shared" si="2"/>
        <v>#VALUE!</v>
      </c>
      <c r="N39" s="16" t="e">
        <f t="shared" si="9"/>
        <v>#VALUE!</v>
      </c>
      <c r="O39" s="16" t="str">
        <f t="shared" si="10"/>
        <v>Other</v>
      </c>
      <c r="P39" s="16" t="str">
        <f t="shared" si="5"/>
        <v/>
      </c>
      <c r="R39" s="17"/>
      <c r="S39" s="8" t="str">
        <v/>
      </c>
      <c r="T39" s="18" t="str">
        <f>IFERROR( IF( COUNTIF($R$2:R39,R39)=1, IF(VALUE(R39)=0,"",VALUE(R39)), "" ), "" )</f>
        <v/>
      </c>
      <c r="U39" s="8" t="str">
        <f t="shared" si="6"/>
        <v/>
      </c>
      <c r="V39" s="26"/>
      <c r="W39" s="19"/>
      <c r="X39" s="19"/>
      <c r="Y39" s="44">
        <f>COUNTIF($X:$X,"Down")</f>
        <v>0</v>
      </c>
    </row>
    <row r="40" spans="1:25" ht="25.05" customHeight="1" x14ac:dyDescent="0.45">
      <c r="A40" s="2"/>
      <c r="B40" s="2"/>
      <c r="C40" s="2"/>
      <c r="D40" s="3"/>
      <c r="E40" s="2"/>
      <c r="F40" s="2"/>
      <c r="G40" s="2"/>
      <c r="H40" s="2"/>
      <c r="K40" s="15" t="e">
        <f t="shared" si="7"/>
        <v>#VALUE!</v>
      </c>
      <c r="L40" s="15" t="e">
        <f t="shared" si="8"/>
        <v>#VALUE!</v>
      </c>
      <c r="M40" s="16" t="e">
        <f t="shared" si="2"/>
        <v>#VALUE!</v>
      </c>
      <c r="N40" s="16" t="e">
        <f t="shared" si="9"/>
        <v>#VALUE!</v>
      </c>
      <c r="O40" s="16" t="str">
        <f t="shared" si="10"/>
        <v>Other</v>
      </c>
      <c r="P40" s="16" t="str">
        <f t="shared" si="5"/>
        <v/>
      </c>
      <c r="R40" s="17"/>
      <c r="S40" s="8" t="str">
        <v/>
      </c>
      <c r="T40" s="18" t="str">
        <f>IFERROR( IF( COUNTIF($R$2:R40,R40)=1, IF(VALUE(R40)=0,"",VALUE(R40)), "" ), "" )</f>
        <v/>
      </c>
      <c r="U40" s="8" t="str">
        <f t="shared" si="6"/>
        <v/>
      </c>
      <c r="V40" s="26"/>
      <c r="W40" s="19"/>
      <c r="X40" s="19"/>
      <c r="Y40" s="44"/>
    </row>
    <row r="41" spans="1:25" ht="25.05" customHeight="1" x14ac:dyDescent="0.45">
      <c r="A41" s="2"/>
      <c r="B41" s="2"/>
      <c r="C41" s="2"/>
      <c r="D41" s="3"/>
      <c r="E41" s="2"/>
      <c r="F41" s="2"/>
      <c r="G41" s="2"/>
      <c r="H41" s="2"/>
      <c r="K41" s="15" t="e">
        <f t="shared" si="7"/>
        <v>#VALUE!</v>
      </c>
      <c r="L41" s="15" t="e">
        <f t="shared" si="8"/>
        <v>#VALUE!</v>
      </c>
      <c r="M41" s="16" t="e">
        <f t="shared" si="2"/>
        <v>#VALUE!</v>
      </c>
      <c r="N41" s="16" t="e">
        <f t="shared" si="9"/>
        <v>#VALUE!</v>
      </c>
      <c r="O41" s="16" t="str">
        <f t="shared" si="10"/>
        <v>Other</v>
      </c>
      <c r="P41" s="16" t="str">
        <f t="shared" si="5"/>
        <v/>
      </c>
      <c r="R41" s="17"/>
      <c r="S41" s="8" t="str">
        <v/>
      </c>
      <c r="T41" s="18" t="str">
        <f>IFERROR( IF( COUNTIF($R$2:R41,R41)=1, IF(VALUE(R41)=0,"",VALUE(R41)), "" ), "" )</f>
        <v/>
      </c>
      <c r="U41" s="8" t="str">
        <f t="shared" si="6"/>
        <v/>
      </c>
      <c r="V41" s="26"/>
      <c r="W41" s="19"/>
      <c r="X41" s="19"/>
      <c r="Y41" s="7"/>
    </row>
    <row r="42" spans="1:25" ht="25.05" customHeight="1" x14ac:dyDescent="0.45">
      <c r="A42" s="2"/>
      <c r="B42" s="2"/>
      <c r="C42" s="2"/>
      <c r="D42" s="3"/>
      <c r="E42" s="2"/>
      <c r="F42" s="2"/>
      <c r="G42" s="2"/>
      <c r="H42" s="2"/>
      <c r="K42" s="15" t="e">
        <f t="shared" si="7"/>
        <v>#VALUE!</v>
      </c>
      <c r="L42" s="15" t="e">
        <f t="shared" si="8"/>
        <v>#VALUE!</v>
      </c>
      <c r="M42" s="16" t="e">
        <f t="shared" si="2"/>
        <v>#VALUE!</v>
      </c>
      <c r="N42" s="16" t="e">
        <f t="shared" si="9"/>
        <v>#VALUE!</v>
      </c>
      <c r="O42" s="16" t="str">
        <f t="shared" si="10"/>
        <v>Other</v>
      </c>
      <c r="P42" s="16" t="str">
        <f t="shared" si="5"/>
        <v/>
      </c>
      <c r="R42" s="17"/>
      <c r="S42" s="8" t="str">
        <v/>
      </c>
      <c r="T42" s="18" t="str">
        <f>IFERROR( IF( COUNTIF($R$2:R42,R42)=1, IF(VALUE(R42)=0,"",VALUE(R42)), "" ), "" )</f>
        <v/>
      </c>
      <c r="U42" s="8" t="str">
        <f t="shared" si="6"/>
        <v/>
      </c>
      <c r="V42" s="26"/>
      <c r="W42" s="19"/>
      <c r="X42" s="19"/>
      <c r="Y42" s="7"/>
    </row>
    <row r="43" spans="1:25" ht="25.05" customHeight="1" x14ac:dyDescent="0.45">
      <c r="A43" s="2"/>
      <c r="B43" s="2"/>
      <c r="C43" s="2"/>
      <c r="D43" s="3"/>
      <c r="E43" s="2"/>
      <c r="F43" s="2"/>
      <c r="G43" s="2"/>
      <c r="H43" s="2"/>
      <c r="K43" s="15" t="e">
        <f t="shared" si="7"/>
        <v>#VALUE!</v>
      </c>
      <c r="L43" s="15" t="e">
        <f t="shared" si="8"/>
        <v>#VALUE!</v>
      </c>
      <c r="M43" s="16" t="e">
        <f t="shared" si="2"/>
        <v>#VALUE!</v>
      </c>
      <c r="N43" s="16" t="e">
        <f t="shared" si="9"/>
        <v>#VALUE!</v>
      </c>
      <c r="O43" s="16" t="str">
        <f t="shared" si="10"/>
        <v>Other</v>
      </c>
      <c r="P43" s="16" t="str">
        <f t="shared" si="5"/>
        <v/>
      </c>
      <c r="R43" s="17"/>
      <c r="S43" s="8" t="str">
        <v/>
      </c>
      <c r="T43" s="18" t="str">
        <f>IFERROR( IF( COUNTIF($R$2:R43,R43)=1, IF(VALUE(R43)=0,"",VALUE(R43)), "" ), "" )</f>
        <v/>
      </c>
      <c r="U43" s="8" t="str">
        <f t="shared" si="6"/>
        <v/>
      </c>
      <c r="V43" s="26"/>
      <c r="W43" s="19"/>
      <c r="X43" s="19"/>
      <c r="Y43" s="7"/>
    </row>
    <row r="44" spans="1:25" ht="25.05" customHeight="1" x14ac:dyDescent="0.45">
      <c r="A44" s="2"/>
      <c r="B44" s="2"/>
      <c r="C44" s="2"/>
      <c r="D44" s="3"/>
      <c r="E44" s="2"/>
      <c r="F44" s="2"/>
      <c r="G44" s="2"/>
      <c r="H44" s="2"/>
      <c r="K44" s="15" t="e">
        <f t="shared" si="7"/>
        <v>#VALUE!</v>
      </c>
      <c r="L44" s="15" t="e">
        <f t="shared" si="8"/>
        <v>#VALUE!</v>
      </c>
      <c r="M44" s="16" t="e">
        <f t="shared" si="2"/>
        <v>#VALUE!</v>
      </c>
      <c r="N44" s="16" t="e">
        <f t="shared" si="9"/>
        <v>#VALUE!</v>
      </c>
      <c r="O44" s="16" t="str">
        <f t="shared" si="10"/>
        <v>Other</v>
      </c>
      <c r="P44" s="16" t="str">
        <f t="shared" si="5"/>
        <v/>
      </c>
      <c r="R44" s="17"/>
      <c r="S44" s="8" t="str">
        <v/>
      </c>
      <c r="T44" s="18" t="str">
        <f>IFERROR( IF( COUNTIF($R$2:R44,R44)=1, IF(VALUE(R44)=0,"",VALUE(R44)), "" ), "" )</f>
        <v/>
      </c>
      <c r="U44" s="8" t="str">
        <f t="shared" si="6"/>
        <v/>
      </c>
      <c r="V44" s="26"/>
      <c r="W44" s="19"/>
      <c r="X44" s="19"/>
      <c r="Y44" s="7"/>
    </row>
    <row r="45" spans="1:25" ht="25.05" customHeight="1" x14ac:dyDescent="0.45">
      <c r="A45" s="2"/>
      <c r="B45" s="2"/>
      <c r="C45" s="2"/>
      <c r="D45" s="3"/>
      <c r="E45" s="2"/>
      <c r="F45" s="2"/>
      <c r="G45" s="2"/>
      <c r="H45" s="2"/>
      <c r="K45" s="15" t="e">
        <f t="shared" si="7"/>
        <v>#VALUE!</v>
      </c>
      <c r="L45" s="15" t="e">
        <f t="shared" si="8"/>
        <v>#VALUE!</v>
      </c>
      <c r="M45" s="16" t="e">
        <f t="shared" si="2"/>
        <v>#VALUE!</v>
      </c>
      <c r="N45" s="16" t="e">
        <f t="shared" si="9"/>
        <v>#VALUE!</v>
      </c>
      <c r="O45" s="16" t="str">
        <f t="shared" si="10"/>
        <v>Other</v>
      </c>
      <c r="P45" s="16" t="str">
        <f t="shared" si="5"/>
        <v/>
      </c>
      <c r="R45" s="17"/>
      <c r="S45" s="8" t="str">
        <v/>
      </c>
      <c r="T45" s="18" t="str">
        <f>IFERROR( IF( COUNTIF($R$2:R45,R45)=1, IF(VALUE(R45)=0,"",VALUE(R45)), "" ), "" )</f>
        <v/>
      </c>
      <c r="U45" s="8" t="str">
        <f t="shared" si="6"/>
        <v/>
      </c>
      <c r="V45" s="26"/>
      <c r="W45" s="19"/>
      <c r="X45" s="19"/>
      <c r="Y45" s="7"/>
    </row>
    <row r="46" spans="1:25" ht="25.05" customHeight="1" x14ac:dyDescent="0.45">
      <c r="A46" s="2"/>
      <c r="B46" s="2"/>
      <c r="C46" s="2"/>
      <c r="D46" s="3"/>
      <c r="E46" s="2"/>
      <c r="F46" s="2"/>
      <c r="G46" s="2"/>
      <c r="H46" s="2"/>
      <c r="K46" s="15" t="e">
        <f t="shared" si="7"/>
        <v>#VALUE!</v>
      </c>
      <c r="L46" s="15" t="e">
        <f t="shared" si="8"/>
        <v>#VALUE!</v>
      </c>
      <c r="M46" s="16" t="e">
        <f t="shared" si="2"/>
        <v>#VALUE!</v>
      </c>
      <c r="N46" s="16" t="e">
        <f t="shared" si="9"/>
        <v>#VALUE!</v>
      </c>
      <c r="O46" s="16" t="str">
        <f t="shared" si="10"/>
        <v>Other</v>
      </c>
      <c r="P46" s="16" t="str">
        <f t="shared" si="5"/>
        <v/>
      </c>
      <c r="R46" s="17"/>
      <c r="S46" s="8" t="str">
        <v/>
      </c>
      <c r="T46" s="18" t="str">
        <f>IFERROR( IF( COUNTIF($R$2:R46,R46)=1, IF(VALUE(R46)=0,"",VALUE(R46)), "" ), "" )</f>
        <v/>
      </c>
      <c r="U46" s="8" t="str">
        <f t="shared" si="6"/>
        <v/>
      </c>
      <c r="V46" s="26"/>
      <c r="W46" s="19"/>
      <c r="X46" s="19"/>
      <c r="Y46" s="7"/>
    </row>
    <row r="47" spans="1:25" ht="25.05" customHeight="1" x14ac:dyDescent="0.45">
      <c r="A47" s="2"/>
      <c r="B47" s="2"/>
      <c r="C47" s="2"/>
      <c r="D47" s="3"/>
      <c r="E47" s="2"/>
      <c r="F47" s="2"/>
      <c r="G47" s="2"/>
      <c r="H47" s="2"/>
      <c r="K47" s="15" t="e">
        <f t="shared" si="7"/>
        <v>#VALUE!</v>
      </c>
      <c r="L47" s="15" t="e">
        <f t="shared" si="8"/>
        <v>#VALUE!</v>
      </c>
      <c r="M47" s="16" t="e">
        <f t="shared" si="2"/>
        <v>#VALUE!</v>
      </c>
      <c r="N47" s="16" t="e">
        <f t="shared" si="9"/>
        <v>#VALUE!</v>
      </c>
      <c r="O47" s="16" t="str">
        <f t="shared" si="10"/>
        <v>Other</v>
      </c>
      <c r="P47" s="16" t="str">
        <f t="shared" si="5"/>
        <v/>
      </c>
      <c r="R47" s="17"/>
      <c r="S47" s="8" t="str">
        <v/>
      </c>
      <c r="T47" s="18" t="str">
        <f>IFERROR( IF( COUNTIF($R$2:R47,R47)=1, IF(VALUE(R47)=0,"",VALUE(R47)), "" ), "" )</f>
        <v/>
      </c>
      <c r="U47" s="8" t="str">
        <f t="shared" si="6"/>
        <v/>
      </c>
      <c r="V47" s="26"/>
      <c r="W47" s="19"/>
      <c r="X47" s="19"/>
      <c r="Y47" s="7"/>
    </row>
    <row r="48" spans="1:25" ht="25.05" customHeight="1" x14ac:dyDescent="0.45">
      <c r="A48" s="2"/>
      <c r="B48" s="2"/>
      <c r="C48" s="2"/>
      <c r="D48" s="3"/>
      <c r="E48" s="2"/>
      <c r="F48" s="2"/>
      <c r="G48" s="2"/>
      <c r="H48" s="2"/>
      <c r="K48" s="15" t="e">
        <f t="shared" si="7"/>
        <v>#VALUE!</v>
      </c>
      <c r="L48" s="15" t="e">
        <f t="shared" si="8"/>
        <v>#VALUE!</v>
      </c>
      <c r="M48" s="16" t="e">
        <f t="shared" si="2"/>
        <v>#VALUE!</v>
      </c>
      <c r="N48" s="16" t="e">
        <f t="shared" si="9"/>
        <v>#VALUE!</v>
      </c>
      <c r="O48" s="16" t="str">
        <f t="shared" si="10"/>
        <v>Other</v>
      </c>
      <c r="P48" s="16" t="str">
        <f t="shared" si="5"/>
        <v/>
      </c>
      <c r="R48" s="17"/>
      <c r="S48" s="8" t="str">
        <v/>
      </c>
      <c r="T48" s="18" t="str">
        <f>IFERROR( IF( COUNTIF($R$2:R48,R48)=1, IF(VALUE(R48)=0,"",VALUE(R48)), "" ), "" )</f>
        <v/>
      </c>
      <c r="U48" s="8" t="str">
        <f t="shared" si="6"/>
        <v/>
      </c>
      <c r="V48" s="26"/>
      <c r="W48" s="19"/>
      <c r="X48" s="19"/>
      <c r="Y48" s="7"/>
    </row>
    <row r="49" spans="1:25" ht="25.05" customHeight="1" x14ac:dyDescent="0.45">
      <c r="A49" s="2"/>
      <c r="B49" s="2"/>
      <c r="C49" s="2"/>
      <c r="D49" s="3"/>
      <c r="E49" s="2"/>
      <c r="F49" s="2"/>
      <c r="G49" s="2"/>
      <c r="H49" s="2"/>
      <c r="K49" s="15" t="e">
        <f t="shared" si="7"/>
        <v>#VALUE!</v>
      </c>
      <c r="L49" s="15" t="e">
        <f t="shared" si="8"/>
        <v>#VALUE!</v>
      </c>
      <c r="M49" s="16" t="e">
        <f t="shared" si="2"/>
        <v>#VALUE!</v>
      </c>
      <c r="N49" s="16" t="e">
        <f t="shared" si="9"/>
        <v>#VALUE!</v>
      </c>
      <c r="O49" s="16" t="str">
        <f t="shared" si="10"/>
        <v>Other</v>
      </c>
      <c r="P49" s="16" t="str">
        <f t="shared" si="5"/>
        <v/>
      </c>
      <c r="R49" s="17"/>
      <c r="S49" s="8" t="str">
        <v/>
      </c>
      <c r="T49" s="18" t="str">
        <f>IFERROR( IF( COUNTIF($R$2:R49,R49)=1, IF(VALUE(R49)=0,"",VALUE(R49)), "" ), "" )</f>
        <v/>
      </c>
      <c r="U49" s="8" t="str">
        <f t="shared" si="6"/>
        <v/>
      </c>
      <c r="V49" s="26"/>
      <c r="W49" s="19"/>
      <c r="X49" s="19"/>
      <c r="Y49" s="7"/>
    </row>
    <row r="50" spans="1:25" ht="25.05" customHeight="1" x14ac:dyDescent="0.45">
      <c r="A50" s="2"/>
      <c r="B50" s="2"/>
      <c r="C50" s="2"/>
      <c r="D50" s="3"/>
      <c r="E50" s="2"/>
      <c r="F50" s="2"/>
      <c r="G50" s="2"/>
      <c r="H50" s="2"/>
      <c r="K50" s="15" t="e">
        <f t="shared" si="7"/>
        <v>#VALUE!</v>
      </c>
      <c r="L50" s="15" t="e">
        <f t="shared" si="8"/>
        <v>#VALUE!</v>
      </c>
      <c r="M50" s="16" t="e">
        <f t="shared" si="2"/>
        <v>#VALUE!</v>
      </c>
      <c r="N50" s="16" t="e">
        <f t="shared" si="9"/>
        <v>#VALUE!</v>
      </c>
      <c r="O50" s="16" t="str">
        <f t="shared" si="10"/>
        <v>Other</v>
      </c>
      <c r="P50" s="16" t="str">
        <f t="shared" si="5"/>
        <v/>
      </c>
      <c r="R50" s="17"/>
      <c r="S50" s="8" t="str">
        <v/>
      </c>
      <c r="T50" s="18" t="str">
        <f>IFERROR( IF( COUNTIF($R$2:R50,R50)=1, IF(VALUE(R50)=0,"",VALUE(R50)), "" ), "" )</f>
        <v/>
      </c>
      <c r="U50" s="8" t="str">
        <f t="shared" si="6"/>
        <v/>
      </c>
      <c r="V50" s="26"/>
      <c r="W50" s="19"/>
      <c r="X50" s="19"/>
      <c r="Y50" s="7"/>
    </row>
    <row r="51" spans="1:25" ht="25.05" customHeight="1" x14ac:dyDescent="0.45">
      <c r="A51" s="2"/>
      <c r="B51" s="2"/>
      <c r="C51" s="2"/>
      <c r="D51" s="3"/>
      <c r="E51" s="2"/>
      <c r="F51" s="2"/>
      <c r="G51" s="2"/>
      <c r="H51" s="2"/>
      <c r="K51" s="15" t="e">
        <f t="shared" si="7"/>
        <v>#VALUE!</v>
      </c>
      <c r="L51" s="15" t="e">
        <f t="shared" si="8"/>
        <v>#VALUE!</v>
      </c>
      <c r="M51" s="16" t="e">
        <f t="shared" si="2"/>
        <v>#VALUE!</v>
      </c>
      <c r="N51" s="16" t="e">
        <f t="shared" si="9"/>
        <v>#VALUE!</v>
      </c>
      <c r="O51" s="16" t="str">
        <f t="shared" si="10"/>
        <v>Other</v>
      </c>
      <c r="P51" s="16" t="str">
        <f t="shared" si="5"/>
        <v/>
      </c>
      <c r="R51" s="17"/>
      <c r="S51" s="8" t="str">
        <v/>
      </c>
      <c r="T51" s="18" t="str">
        <f>IFERROR( IF( COUNTIF($R$2:R51,R51)=1, IF(VALUE(R51)=0,"",VALUE(R51)), "" ), "" )</f>
        <v/>
      </c>
      <c r="U51" s="8" t="str">
        <f t="shared" si="6"/>
        <v/>
      </c>
      <c r="V51" s="26"/>
      <c r="W51" s="19"/>
      <c r="X51" s="19"/>
      <c r="Y51" s="7"/>
    </row>
    <row r="52" spans="1:25" ht="25.05" customHeight="1" x14ac:dyDescent="0.45">
      <c r="A52" s="2"/>
      <c r="B52" s="2"/>
      <c r="C52" s="2"/>
      <c r="D52" s="3"/>
      <c r="E52" s="2"/>
      <c r="F52" s="2"/>
      <c r="G52" s="2"/>
      <c r="H52" s="2"/>
      <c r="K52" s="15" t="e">
        <f t="shared" si="7"/>
        <v>#VALUE!</v>
      </c>
      <c r="L52" s="15" t="e">
        <f t="shared" si="8"/>
        <v>#VALUE!</v>
      </c>
      <c r="M52" s="16" t="e">
        <f t="shared" si="2"/>
        <v>#VALUE!</v>
      </c>
      <c r="N52" s="16" t="e">
        <f t="shared" si="9"/>
        <v>#VALUE!</v>
      </c>
      <c r="O52" s="16" t="str">
        <f t="shared" si="10"/>
        <v>Other</v>
      </c>
      <c r="P52" s="16" t="str">
        <f t="shared" si="5"/>
        <v/>
      </c>
      <c r="R52" s="17"/>
      <c r="S52" s="8" t="str">
        <v/>
      </c>
      <c r="T52" s="18" t="str">
        <f>IFERROR( IF( COUNTIF($R$2:R52,R52)=1, IF(VALUE(R52)=0,"",VALUE(R52)), "" ), "" )</f>
        <v/>
      </c>
      <c r="U52" s="8" t="str">
        <f t="shared" si="6"/>
        <v/>
      </c>
      <c r="V52" s="26"/>
      <c r="W52" s="19"/>
      <c r="X52" s="19"/>
      <c r="Y52" s="7"/>
    </row>
    <row r="53" spans="1:25" ht="25.05" customHeight="1" x14ac:dyDescent="0.45">
      <c r="A53" s="2"/>
      <c r="B53" s="2"/>
      <c r="C53" s="2"/>
      <c r="D53" s="3"/>
      <c r="E53" s="2"/>
      <c r="F53" s="2"/>
      <c r="G53" s="2"/>
      <c r="H53" s="2"/>
      <c r="K53" s="15" t="e">
        <f t="shared" si="7"/>
        <v>#VALUE!</v>
      </c>
      <c r="L53" s="15" t="e">
        <f t="shared" si="8"/>
        <v>#VALUE!</v>
      </c>
      <c r="M53" s="16" t="e">
        <f t="shared" si="2"/>
        <v>#VALUE!</v>
      </c>
      <c r="N53" s="16" t="e">
        <f t="shared" si="9"/>
        <v>#VALUE!</v>
      </c>
      <c r="O53" s="16" t="str">
        <f t="shared" si="10"/>
        <v>Other</v>
      </c>
      <c r="P53" s="16" t="str">
        <f t="shared" si="5"/>
        <v/>
      </c>
      <c r="R53" s="17"/>
      <c r="S53" s="8" t="str">
        <v/>
      </c>
      <c r="T53" s="18" t="str">
        <f>IFERROR( IF( COUNTIF($R$2:R53,R53)=1, IF(VALUE(R53)=0,"",VALUE(R53)), "" ), "" )</f>
        <v/>
      </c>
      <c r="U53" s="8" t="str">
        <f t="shared" si="6"/>
        <v/>
      </c>
      <c r="V53" s="26"/>
      <c r="W53" s="19"/>
      <c r="X53" s="19"/>
      <c r="Y53" s="7"/>
    </row>
    <row r="54" spans="1:25" ht="25.05" customHeight="1" x14ac:dyDescent="0.45">
      <c r="A54" s="2"/>
      <c r="B54" s="2"/>
      <c r="C54" s="2"/>
      <c r="D54" s="3"/>
      <c r="E54" s="2"/>
      <c r="F54" s="2"/>
      <c r="G54" s="2"/>
      <c r="H54" s="2"/>
      <c r="K54" s="15" t="e">
        <f t="shared" si="7"/>
        <v>#VALUE!</v>
      </c>
      <c r="L54" s="15" t="e">
        <f t="shared" si="8"/>
        <v>#VALUE!</v>
      </c>
      <c r="M54" s="16" t="e">
        <f t="shared" si="2"/>
        <v>#VALUE!</v>
      </c>
      <c r="N54" s="16" t="e">
        <f t="shared" si="9"/>
        <v>#VALUE!</v>
      </c>
      <c r="O54" s="16" t="str">
        <f t="shared" si="10"/>
        <v>Other</v>
      </c>
      <c r="P54" s="16" t="str">
        <f t="shared" si="5"/>
        <v/>
      </c>
      <c r="R54" s="17"/>
      <c r="S54" s="8" t="str">
        <v/>
      </c>
      <c r="T54" s="18" t="str">
        <f>IFERROR( IF( COUNTIF($R$2:R54,R54)=1, IF(VALUE(R54)=0,"",VALUE(R54)), "" ), "" )</f>
        <v/>
      </c>
      <c r="U54" s="8" t="str">
        <f t="shared" si="6"/>
        <v/>
      </c>
      <c r="V54" s="26"/>
      <c r="W54" s="19"/>
      <c r="X54" s="19"/>
      <c r="Y54" s="7"/>
    </row>
    <row r="55" spans="1:25" ht="25.05" customHeight="1" x14ac:dyDescent="0.45">
      <c r="A55" s="2"/>
      <c r="B55" s="2"/>
      <c r="C55" s="2"/>
      <c r="D55" s="3"/>
      <c r="E55" s="2"/>
      <c r="F55" s="2"/>
      <c r="G55" s="2"/>
      <c r="H55" s="2"/>
      <c r="K55" s="15" t="e">
        <f t="shared" si="7"/>
        <v>#VALUE!</v>
      </c>
      <c r="L55" s="15" t="e">
        <f t="shared" si="8"/>
        <v>#VALUE!</v>
      </c>
      <c r="M55" s="16" t="e">
        <f t="shared" si="2"/>
        <v>#VALUE!</v>
      </c>
      <c r="N55" s="16" t="e">
        <f t="shared" si="9"/>
        <v>#VALUE!</v>
      </c>
      <c r="O55" s="16" t="str">
        <f t="shared" si="10"/>
        <v>Other</v>
      </c>
      <c r="P55" s="16" t="str">
        <f t="shared" si="5"/>
        <v/>
      </c>
      <c r="R55" s="17"/>
      <c r="S55" s="8" t="str">
        <v/>
      </c>
      <c r="T55" s="18" t="str">
        <f>IFERROR( IF( COUNTIF($R$2:R55,R55)=1, IF(VALUE(R55)=0,"",VALUE(R55)), "" ), "" )</f>
        <v/>
      </c>
      <c r="U55" s="8" t="str">
        <f t="shared" si="6"/>
        <v/>
      </c>
      <c r="V55" s="26"/>
      <c r="W55" s="19"/>
      <c r="X55" s="19"/>
      <c r="Y55" s="7"/>
    </row>
    <row r="56" spans="1:25" ht="25.05" customHeight="1" x14ac:dyDescent="0.45">
      <c r="A56" s="2"/>
      <c r="B56" s="2"/>
      <c r="C56" s="2"/>
      <c r="D56" s="3"/>
      <c r="E56" s="2"/>
      <c r="F56" s="2"/>
      <c r="G56" s="2"/>
      <c r="H56" s="2"/>
      <c r="K56" s="15" t="e">
        <f t="shared" si="7"/>
        <v>#VALUE!</v>
      </c>
      <c r="L56" s="15" t="e">
        <f t="shared" si="8"/>
        <v>#VALUE!</v>
      </c>
      <c r="M56" s="16" t="e">
        <f t="shared" si="2"/>
        <v>#VALUE!</v>
      </c>
      <c r="N56" s="16" t="e">
        <f t="shared" si="9"/>
        <v>#VALUE!</v>
      </c>
      <c r="O56" s="16" t="str">
        <f t="shared" si="10"/>
        <v>Other</v>
      </c>
      <c r="P56" s="16" t="str">
        <f t="shared" si="5"/>
        <v/>
      </c>
      <c r="R56" s="17"/>
      <c r="S56" s="8" t="str">
        <v/>
      </c>
      <c r="T56" s="18" t="str">
        <f>IFERROR( IF( COUNTIF($R$2:R56,R56)=1, IF(VALUE(R56)=0,"",VALUE(R56)), "" ), "" )</f>
        <v/>
      </c>
      <c r="U56" s="8" t="str">
        <f t="shared" si="6"/>
        <v/>
      </c>
      <c r="V56" s="26"/>
      <c r="W56" s="19"/>
      <c r="X56" s="19"/>
      <c r="Y56" s="7"/>
    </row>
    <row r="57" spans="1:25" ht="25.05" customHeight="1" x14ac:dyDescent="0.45">
      <c r="A57" s="2"/>
      <c r="B57" s="2"/>
      <c r="C57" s="2"/>
      <c r="D57" s="3"/>
      <c r="E57" s="2"/>
      <c r="F57" s="2"/>
      <c r="G57" s="2"/>
      <c r="H57" s="2"/>
      <c r="K57" s="15" t="e">
        <f t="shared" si="7"/>
        <v>#VALUE!</v>
      </c>
      <c r="L57" s="15" t="e">
        <f t="shared" si="8"/>
        <v>#VALUE!</v>
      </c>
      <c r="M57" s="16" t="e">
        <f t="shared" si="2"/>
        <v>#VALUE!</v>
      </c>
      <c r="N57" s="16" t="e">
        <f t="shared" si="9"/>
        <v>#VALUE!</v>
      </c>
      <c r="O57" s="16" t="str">
        <f t="shared" si="10"/>
        <v>Other</v>
      </c>
      <c r="P57" s="16" t="str">
        <f t="shared" si="5"/>
        <v/>
      </c>
      <c r="R57" s="17"/>
      <c r="S57" s="8" t="str">
        <v/>
      </c>
      <c r="T57" s="18" t="str">
        <f>IFERROR( IF( COUNTIF($R$2:R57,R57)=1, IF(VALUE(R57)=0,"",VALUE(R57)), "" ), "" )</f>
        <v/>
      </c>
      <c r="U57" s="8" t="str">
        <f t="shared" si="6"/>
        <v/>
      </c>
      <c r="V57" s="26"/>
      <c r="W57" s="19"/>
      <c r="X57" s="19"/>
      <c r="Y57" s="7"/>
    </row>
    <row r="58" spans="1:25" ht="25.05" customHeight="1" x14ac:dyDescent="0.45">
      <c r="A58" s="2"/>
      <c r="B58" s="2"/>
      <c r="C58" s="2"/>
      <c r="D58" s="3"/>
      <c r="E58" s="2"/>
      <c r="F58" s="2"/>
      <c r="G58" s="2"/>
      <c r="H58" s="2"/>
      <c r="K58" s="15" t="e">
        <f t="shared" si="7"/>
        <v>#VALUE!</v>
      </c>
      <c r="L58" s="15" t="e">
        <f t="shared" si="8"/>
        <v>#VALUE!</v>
      </c>
      <c r="M58" s="16" t="e">
        <f t="shared" si="2"/>
        <v>#VALUE!</v>
      </c>
      <c r="N58" s="16" t="e">
        <f t="shared" si="9"/>
        <v>#VALUE!</v>
      </c>
      <c r="O58" s="16" t="str">
        <f t="shared" si="10"/>
        <v>Other</v>
      </c>
      <c r="P58" s="16" t="str">
        <f t="shared" si="5"/>
        <v/>
      </c>
      <c r="R58" s="17"/>
      <c r="S58" s="8" t="str">
        <v/>
      </c>
      <c r="T58" s="18" t="str">
        <f>IFERROR( IF( COUNTIF($R$2:R58,R58)=1, IF(VALUE(R58)=0,"",VALUE(R58)), "" ), "" )</f>
        <v/>
      </c>
      <c r="U58" s="8" t="str">
        <f t="shared" si="6"/>
        <v/>
      </c>
      <c r="V58" s="26"/>
      <c r="W58" s="19"/>
      <c r="X58" s="19"/>
      <c r="Y58" s="7"/>
    </row>
    <row r="59" spans="1:25" ht="25.05" customHeight="1" x14ac:dyDescent="0.45">
      <c r="A59" s="2"/>
      <c r="B59" s="2"/>
      <c r="C59" s="2"/>
      <c r="D59" s="3"/>
      <c r="E59" s="2"/>
      <c r="F59" s="2"/>
      <c r="G59" s="2"/>
      <c r="H59" s="2"/>
      <c r="K59" s="15" t="e">
        <f t="shared" si="7"/>
        <v>#VALUE!</v>
      </c>
      <c r="L59" s="15" t="e">
        <f t="shared" si="8"/>
        <v>#VALUE!</v>
      </c>
      <c r="M59" s="16" t="e">
        <f t="shared" si="2"/>
        <v>#VALUE!</v>
      </c>
      <c r="N59" s="16" t="e">
        <f t="shared" si="9"/>
        <v>#VALUE!</v>
      </c>
      <c r="O59" s="16" t="str">
        <f t="shared" si="10"/>
        <v>Other</v>
      </c>
      <c r="P59" s="16" t="str">
        <f t="shared" si="5"/>
        <v/>
      </c>
      <c r="R59" s="17"/>
      <c r="S59" s="8" t="str">
        <v/>
      </c>
      <c r="T59" s="18" t="str">
        <f>IFERROR( IF( COUNTIF($R$2:R59,R59)=1, IF(VALUE(R59)=0,"",VALUE(R59)), "" ), "" )</f>
        <v/>
      </c>
      <c r="U59" s="8" t="str">
        <f t="shared" si="6"/>
        <v/>
      </c>
      <c r="V59" s="26"/>
      <c r="W59" s="19"/>
      <c r="X59" s="19"/>
      <c r="Y59" s="7"/>
    </row>
    <row r="60" spans="1:25" ht="25.05" customHeight="1" x14ac:dyDescent="0.45">
      <c r="A60" s="2"/>
      <c r="B60" s="2"/>
      <c r="C60" s="2"/>
      <c r="D60" s="3"/>
      <c r="E60" s="2"/>
      <c r="F60" s="2"/>
      <c r="G60" s="2"/>
      <c r="H60" s="2"/>
      <c r="K60" s="15" t="e">
        <f t="shared" si="7"/>
        <v>#VALUE!</v>
      </c>
      <c r="L60" s="15" t="e">
        <f t="shared" si="8"/>
        <v>#VALUE!</v>
      </c>
      <c r="M60" s="16" t="e">
        <f t="shared" si="2"/>
        <v>#VALUE!</v>
      </c>
      <c r="N60" s="16" t="e">
        <f t="shared" si="9"/>
        <v>#VALUE!</v>
      </c>
      <c r="O60" s="16" t="str">
        <f t="shared" si="10"/>
        <v>Other</v>
      </c>
      <c r="P60" s="16" t="str">
        <f t="shared" si="5"/>
        <v/>
      </c>
      <c r="R60" s="17"/>
      <c r="S60" s="8" t="str">
        <v/>
      </c>
      <c r="T60" s="18" t="str">
        <f>IFERROR( IF( COUNTIF($R$2:R60,R60)=1, IF(VALUE(R60)=0,"",VALUE(R60)), "" ), "" )</f>
        <v/>
      </c>
      <c r="U60" s="8" t="str">
        <f t="shared" si="6"/>
        <v/>
      </c>
      <c r="V60" s="26"/>
      <c r="W60" s="19"/>
      <c r="X60" s="19"/>
      <c r="Y60" s="7"/>
    </row>
    <row r="61" spans="1:25" ht="25.05" customHeight="1" x14ac:dyDescent="0.45">
      <c r="A61" s="2"/>
      <c r="B61" s="2"/>
      <c r="C61" s="2"/>
      <c r="D61" s="3"/>
      <c r="E61" s="2"/>
      <c r="F61" s="2"/>
      <c r="G61" s="2"/>
      <c r="H61" s="2"/>
      <c r="K61" s="15" t="e">
        <f t="shared" si="7"/>
        <v>#VALUE!</v>
      </c>
      <c r="L61" s="15" t="e">
        <f t="shared" si="8"/>
        <v>#VALUE!</v>
      </c>
      <c r="M61" s="16" t="e">
        <f t="shared" si="2"/>
        <v>#VALUE!</v>
      </c>
      <c r="N61" s="16" t="e">
        <f t="shared" si="9"/>
        <v>#VALUE!</v>
      </c>
      <c r="O61" s="16" t="str">
        <f t="shared" si="10"/>
        <v>Other</v>
      </c>
      <c r="P61" s="16" t="str">
        <f t="shared" si="5"/>
        <v/>
      </c>
      <c r="R61" s="17"/>
      <c r="S61" s="8" t="str">
        <v/>
      </c>
      <c r="T61" s="18" t="str">
        <f>IFERROR( IF( COUNTIF($R$2:R61,R61)=1, IF(VALUE(R61)=0,"",VALUE(R61)), "" ), "" )</f>
        <v/>
      </c>
      <c r="U61" s="8" t="str">
        <f t="shared" si="6"/>
        <v/>
      </c>
      <c r="V61" s="26"/>
      <c r="W61" s="19"/>
      <c r="X61" s="19"/>
      <c r="Y61" s="7"/>
    </row>
    <row r="62" spans="1:25" ht="25.05" customHeight="1" x14ac:dyDescent="0.45">
      <c r="A62" s="2"/>
      <c r="B62" s="2"/>
      <c r="C62" s="2"/>
      <c r="D62" s="3"/>
      <c r="E62" s="2"/>
      <c r="F62" s="2"/>
      <c r="G62" s="2"/>
      <c r="H62" s="2"/>
      <c r="K62" s="15" t="e">
        <f t="shared" si="7"/>
        <v>#VALUE!</v>
      </c>
      <c r="L62" s="15" t="e">
        <f t="shared" si="8"/>
        <v>#VALUE!</v>
      </c>
      <c r="M62" s="16" t="e">
        <f t="shared" si="2"/>
        <v>#VALUE!</v>
      </c>
      <c r="N62" s="16" t="e">
        <f t="shared" si="9"/>
        <v>#VALUE!</v>
      </c>
      <c r="O62" s="16" t="str">
        <f t="shared" si="10"/>
        <v>Other</v>
      </c>
      <c r="P62" s="16" t="str">
        <f t="shared" si="5"/>
        <v/>
      </c>
      <c r="R62" s="17"/>
      <c r="S62" s="8" t="str">
        <v/>
      </c>
      <c r="T62" s="18" t="str">
        <f>IFERROR( IF( COUNTIF($R$2:R62,R62)=1, IF(VALUE(R62)=0,"",VALUE(R62)), "" ), "" )</f>
        <v/>
      </c>
      <c r="U62" s="8" t="str">
        <f t="shared" si="6"/>
        <v/>
      </c>
      <c r="V62" s="26"/>
      <c r="W62" s="19"/>
      <c r="X62" s="19"/>
      <c r="Y62" s="7"/>
    </row>
    <row r="63" spans="1:25" ht="25.05" customHeight="1" x14ac:dyDescent="0.45">
      <c r="A63" s="2"/>
      <c r="B63" s="2"/>
      <c r="C63" s="2"/>
      <c r="D63" s="3"/>
      <c r="E63" s="2"/>
      <c r="F63" s="2"/>
      <c r="G63" s="2"/>
      <c r="H63" s="2"/>
      <c r="K63" s="15" t="e">
        <f t="shared" si="7"/>
        <v>#VALUE!</v>
      </c>
      <c r="L63" s="15" t="e">
        <f t="shared" si="8"/>
        <v>#VALUE!</v>
      </c>
      <c r="M63" s="16" t="e">
        <f t="shared" si="2"/>
        <v>#VALUE!</v>
      </c>
      <c r="N63" s="16" t="e">
        <f t="shared" si="9"/>
        <v>#VALUE!</v>
      </c>
      <c r="O63" s="16" t="str">
        <f t="shared" si="10"/>
        <v>Other</v>
      </c>
      <c r="P63" s="16" t="str">
        <f t="shared" si="5"/>
        <v/>
      </c>
      <c r="R63" s="17"/>
      <c r="S63" s="8" t="str">
        <v/>
      </c>
      <c r="T63" s="18" t="str">
        <f>IFERROR( IF( COUNTIF($R$2:R63,R63)=1, IF(VALUE(R63)=0,"",VALUE(R63)), "" ), "" )</f>
        <v/>
      </c>
      <c r="U63" s="8" t="str">
        <f t="shared" si="6"/>
        <v/>
      </c>
      <c r="V63" s="26"/>
      <c r="W63" s="19"/>
      <c r="X63" s="19"/>
      <c r="Y63" s="7"/>
    </row>
    <row r="64" spans="1:25" ht="25.05" customHeight="1" x14ac:dyDescent="0.45">
      <c r="A64" s="2"/>
      <c r="B64" s="2"/>
      <c r="C64" s="2"/>
      <c r="D64" s="3"/>
      <c r="E64" s="2"/>
      <c r="F64" s="2"/>
      <c r="G64" s="2"/>
      <c r="H64" s="2"/>
      <c r="K64" s="15" t="e">
        <f t="shared" si="7"/>
        <v>#VALUE!</v>
      </c>
      <c r="L64" s="15" t="e">
        <f t="shared" si="8"/>
        <v>#VALUE!</v>
      </c>
      <c r="M64" s="16" t="e">
        <f t="shared" si="2"/>
        <v>#VALUE!</v>
      </c>
      <c r="N64" s="16" t="e">
        <f t="shared" si="9"/>
        <v>#VALUE!</v>
      </c>
      <c r="O64" s="16" t="str">
        <f t="shared" si="10"/>
        <v>Other</v>
      </c>
      <c r="P64" s="16" t="str">
        <f t="shared" si="5"/>
        <v/>
      </c>
      <c r="R64" s="17"/>
      <c r="S64" s="8" t="str">
        <v/>
      </c>
      <c r="T64" s="18" t="str">
        <f>IFERROR( IF( COUNTIF($R$2:R64,R64)=1, IF(VALUE(R64)=0,"",VALUE(R64)), "" ), "" )</f>
        <v/>
      </c>
      <c r="U64" s="8" t="str">
        <f t="shared" si="6"/>
        <v/>
      </c>
      <c r="V64" s="26"/>
      <c r="W64" s="19"/>
      <c r="X64" s="19"/>
      <c r="Y64" s="7"/>
    </row>
    <row r="65" spans="1:25" ht="25.05" customHeight="1" x14ac:dyDescent="0.45">
      <c r="A65" s="2"/>
      <c r="B65" s="2"/>
      <c r="C65" s="2"/>
      <c r="D65" s="3"/>
      <c r="E65" s="2"/>
      <c r="F65" s="2"/>
      <c r="G65" s="2"/>
      <c r="H65" s="2"/>
      <c r="K65" s="15" t="e">
        <f t="shared" si="7"/>
        <v>#VALUE!</v>
      </c>
      <c r="L65" s="15" t="e">
        <f t="shared" si="8"/>
        <v>#VALUE!</v>
      </c>
      <c r="M65" s="16" t="e">
        <f t="shared" si="2"/>
        <v>#VALUE!</v>
      </c>
      <c r="N65" s="16" t="e">
        <f t="shared" si="9"/>
        <v>#VALUE!</v>
      </c>
      <c r="O65" s="16" t="str">
        <f t="shared" si="10"/>
        <v>Other</v>
      </c>
      <c r="P65" s="16" t="str">
        <f t="shared" si="5"/>
        <v/>
      </c>
      <c r="R65" s="17"/>
      <c r="S65" s="8" t="str">
        <v/>
      </c>
      <c r="T65" s="18" t="str">
        <f>IFERROR( IF( COUNTIF($R$2:R65,R65)=1, IF(VALUE(R65)=0,"",VALUE(R65)), "" ), "" )</f>
        <v/>
      </c>
      <c r="U65" s="8" t="str">
        <f t="shared" si="6"/>
        <v/>
      </c>
      <c r="V65" s="26"/>
      <c r="W65" s="19"/>
      <c r="X65" s="19"/>
      <c r="Y65" s="7"/>
    </row>
    <row r="66" spans="1:25" ht="25.05" customHeight="1" x14ac:dyDescent="0.45">
      <c r="A66" s="2"/>
      <c r="B66" s="2"/>
      <c r="C66" s="2"/>
      <c r="D66" s="3"/>
      <c r="E66" s="2"/>
      <c r="F66" s="2"/>
      <c r="G66" s="2"/>
      <c r="H66" s="2"/>
      <c r="K66" s="15" t="e">
        <f t="shared" ref="K66:K97" si="11">LEFT(A66, FIND("-", A66)-1)</f>
        <v>#VALUE!</v>
      </c>
      <c r="L66" s="15" t="e">
        <f t="shared" ref="L66:L97" si="12">LEFT(C66, FIND("-", C66)-1)</f>
        <v>#VALUE!</v>
      </c>
      <c r="M66" s="16" t="e">
        <f t="shared" ref="M66:M129" si="13">MID(G66,FIND("LR-",G66)+3,FIND("-",G66,FIND("LR-",G66)+3)-FIND("LR-",G66)-3)</f>
        <v>#VALUE!</v>
      </c>
      <c r="N66" s="16" t="e">
        <f t="shared" ref="N66:N97" si="14">K66 &amp; " &lt;&gt; " &amp; L66</f>
        <v>#VALUE!</v>
      </c>
      <c r="O66" s="16" t="str">
        <f t="shared" ref="O66:O97" si="15">IF(LEFT(E66, 6)="TenGig", "10G (Ten Gig)", IF(LEFT(E66, 10)="HundredGig", "100G (Hundred Gig)", "Other"))</f>
        <v>Other</v>
      </c>
      <c r="P66" s="16" t="str">
        <f t="shared" ref="P66:P129" si="16">IF(S66&lt;&gt;"",IF(LEFT(S66,FIND(" &lt;&gt; ",S66)-1) &lt; MID(S66,FIND(" &lt;&gt; ",S66)+4,LEN(S66)),LEFT(S66,FIND(" &lt;&gt; ",S66)-1) &amp; " &lt;&gt; " &amp; MID(S66,FIND(" &lt;&gt; ",S66)+4,LEN(S66)),MID(S66,FIND(" &lt;&gt; ",S66)+4,LEN(S66)) &amp; " &lt;&gt; " &amp; LEFT(S66,FIND(" &lt;&gt; ",S66)-1)),"")</f>
        <v/>
      </c>
      <c r="R66" s="17"/>
      <c r="S66" s="8" t="str">
        <v/>
      </c>
      <c r="T66" s="18" t="str">
        <f>IFERROR( IF( COUNTIF($R$2:R66,R66)=1, IF(VALUE(R66)=0,"",VALUE(R66)), "" ), "" )</f>
        <v/>
      </c>
      <c r="U66" s="8" t="str">
        <f t="shared" si="6"/>
        <v/>
      </c>
      <c r="V66" s="26"/>
      <c r="W66" s="19"/>
      <c r="X66" s="19"/>
      <c r="Y66" s="7"/>
    </row>
    <row r="67" spans="1:25" ht="25.05" customHeight="1" x14ac:dyDescent="0.45">
      <c r="A67" s="2"/>
      <c r="B67" s="2"/>
      <c r="C67" s="2"/>
      <c r="D67" s="3"/>
      <c r="E67" s="2"/>
      <c r="F67" s="2"/>
      <c r="G67" s="2"/>
      <c r="H67" s="2"/>
      <c r="K67" s="15" t="e">
        <f t="shared" si="11"/>
        <v>#VALUE!</v>
      </c>
      <c r="L67" s="15" t="e">
        <f t="shared" si="12"/>
        <v>#VALUE!</v>
      </c>
      <c r="M67" s="16" t="e">
        <f t="shared" si="13"/>
        <v>#VALUE!</v>
      </c>
      <c r="N67" s="16" t="e">
        <f t="shared" si="14"/>
        <v>#VALUE!</v>
      </c>
      <c r="O67" s="16" t="str">
        <f t="shared" si="15"/>
        <v>Other</v>
      </c>
      <c r="P67" s="16" t="str">
        <f t="shared" si="16"/>
        <v/>
      </c>
      <c r="R67" s="17"/>
      <c r="S67" s="8" t="str">
        <v/>
      </c>
      <c r="T67" s="18" t="str">
        <f>IFERROR( IF( COUNTIF($R$2:R67,R67)=1, IF(VALUE(R67)=0,"",VALUE(R67)), "" ), "" )</f>
        <v/>
      </c>
      <c r="U67" s="8" t="str">
        <f t="shared" ref="U67:U130" si="17">IFERROR( IF( _xlfn.XLOOKUP(R67, M67:M1065, O67:O1065)=0, "", _xlfn.XLOOKUP(R67, M67:M1065, O67:O1065) ), "" )</f>
        <v/>
      </c>
      <c r="V67" s="26"/>
      <c r="W67" s="19"/>
      <c r="X67" s="19"/>
      <c r="Y67" s="7"/>
    </row>
    <row r="68" spans="1:25" ht="25.05" customHeight="1" x14ac:dyDescent="0.45">
      <c r="A68" s="2"/>
      <c r="B68" s="2"/>
      <c r="C68" s="2"/>
      <c r="D68" s="3"/>
      <c r="E68" s="2"/>
      <c r="F68" s="2"/>
      <c r="G68" s="2"/>
      <c r="H68" s="2"/>
      <c r="K68" s="15" t="e">
        <f t="shared" si="11"/>
        <v>#VALUE!</v>
      </c>
      <c r="L68" s="15" t="e">
        <f t="shared" si="12"/>
        <v>#VALUE!</v>
      </c>
      <c r="M68" s="16" t="e">
        <f t="shared" si="13"/>
        <v>#VALUE!</v>
      </c>
      <c r="N68" s="16" t="e">
        <f t="shared" si="14"/>
        <v>#VALUE!</v>
      </c>
      <c r="O68" s="16" t="str">
        <f t="shared" si="15"/>
        <v>Other</v>
      </c>
      <c r="P68" s="16" t="str">
        <f t="shared" si="16"/>
        <v/>
      </c>
      <c r="R68" s="17"/>
      <c r="S68" s="8" t="str">
        <v/>
      </c>
      <c r="T68" s="18" t="str">
        <f>IFERROR( IF( COUNTIF($R$2:R68,R68)=1, IF(VALUE(R68)=0,"",VALUE(R68)), "" ), "" )</f>
        <v/>
      </c>
      <c r="U68" s="8" t="str">
        <f t="shared" si="17"/>
        <v/>
      </c>
      <c r="V68" s="26"/>
      <c r="W68" s="19"/>
      <c r="X68" s="19"/>
      <c r="Y68" s="7"/>
    </row>
    <row r="69" spans="1:25" ht="25.05" customHeight="1" x14ac:dyDescent="0.45">
      <c r="A69" s="2"/>
      <c r="B69" s="2"/>
      <c r="C69" s="2"/>
      <c r="D69" s="3"/>
      <c r="E69" s="2"/>
      <c r="F69" s="2"/>
      <c r="G69" s="2"/>
      <c r="H69" s="2"/>
      <c r="K69" s="15" t="e">
        <f t="shared" si="11"/>
        <v>#VALUE!</v>
      </c>
      <c r="L69" s="15" t="e">
        <f t="shared" si="12"/>
        <v>#VALUE!</v>
      </c>
      <c r="M69" s="16" t="e">
        <f t="shared" si="13"/>
        <v>#VALUE!</v>
      </c>
      <c r="N69" s="16" t="e">
        <f t="shared" si="14"/>
        <v>#VALUE!</v>
      </c>
      <c r="O69" s="16" t="str">
        <f t="shared" si="15"/>
        <v>Other</v>
      </c>
      <c r="P69" s="16" t="str">
        <f t="shared" si="16"/>
        <v/>
      </c>
      <c r="R69" s="17"/>
      <c r="S69" s="8" t="str">
        <v/>
      </c>
      <c r="T69" s="18" t="str">
        <f>IFERROR( IF( COUNTIF($R$2:R69,R69)=1, IF(VALUE(R69)=0,"",VALUE(R69)), "" ), "" )</f>
        <v/>
      </c>
      <c r="U69" s="8" t="str">
        <f t="shared" si="17"/>
        <v/>
      </c>
      <c r="V69" s="26"/>
      <c r="W69" s="19"/>
      <c r="X69" s="19"/>
      <c r="Y69" s="7"/>
    </row>
    <row r="70" spans="1:25" ht="25.05" customHeight="1" x14ac:dyDescent="0.45">
      <c r="A70" s="2"/>
      <c r="B70" s="2"/>
      <c r="C70" s="2"/>
      <c r="D70" s="3"/>
      <c r="E70" s="2"/>
      <c r="F70" s="2"/>
      <c r="G70" s="2"/>
      <c r="H70" s="2"/>
      <c r="K70" s="15" t="e">
        <f t="shared" si="11"/>
        <v>#VALUE!</v>
      </c>
      <c r="L70" s="15" t="e">
        <f t="shared" si="12"/>
        <v>#VALUE!</v>
      </c>
      <c r="M70" s="16" t="e">
        <f t="shared" si="13"/>
        <v>#VALUE!</v>
      </c>
      <c r="N70" s="16" t="e">
        <f t="shared" si="14"/>
        <v>#VALUE!</v>
      </c>
      <c r="O70" s="16" t="str">
        <f t="shared" si="15"/>
        <v>Other</v>
      </c>
      <c r="P70" s="16" t="str">
        <f t="shared" si="16"/>
        <v/>
      </c>
      <c r="R70" s="17"/>
      <c r="S70" s="8" t="str">
        <v/>
      </c>
      <c r="T70" s="18" t="str">
        <f>IFERROR( IF( COUNTIF($R$2:R70,R70)=1, IF(VALUE(R70)=0,"",VALUE(R70)), "" ), "" )</f>
        <v/>
      </c>
      <c r="U70" s="8" t="str">
        <f t="shared" si="17"/>
        <v/>
      </c>
      <c r="V70" s="26"/>
      <c r="W70" s="19"/>
      <c r="X70" s="19"/>
      <c r="Y70" s="7"/>
    </row>
    <row r="71" spans="1:25" ht="25.05" customHeight="1" x14ac:dyDescent="0.45">
      <c r="A71" s="2"/>
      <c r="B71" s="2"/>
      <c r="C71" s="2"/>
      <c r="D71" s="3"/>
      <c r="E71" s="2"/>
      <c r="F71" s="2"/>
      <c r="G71" s="2"/>
      <c r="H71" s="2"/>
      <c r="K71" s="15" t="e">
        <f t="shared" si="11"/>
        <v>#VALUE!</v>
      </c>
      <c r="L71" s="15" t="e">
        <f t="shared" si="12"/>
        <v>#VALUE!</v>
      </c>
      <c r="M71" s="16" t="e">
        <f t="shared" si="13"/>
        <v>#VALUE!</v>
      </c>
      <c r="N71" s="16" t="e">
        <f t="shared" si="14"/>
        <v>#VALUE!</v>
      </c>
      <c r="O71" s="16" t="str">
        <f t="shared" si="15"/>
        <v>Other</v>
      </c>
      <c r="P71" s="16" t="str">
        <f t="shared" si="16"/>
        <v/>
      </c>
      <c r="R71" s="17"/>
      <c r="S71" s="8" t="str">
        <v/>
      </c>
      <c r="T71" s="18" t="str">
        <f>IFERROR( IF( COUNTIF($R$2:R71,R71)=1, IF(VALUE(R71)=0,"",VALUE(R71)), "" ), "" )</f>
        <v/>
      </c>
      <c r="U71" s="8" t="str">
        <f t="shared" si="17"/>
        <v/>
      </c>
      <c r="V71" s="26"/>
      <c r="W71" s="19"/>
      <c r="X71" s="19"/>
      <c r="Y71" s="7"/>
    </row>
    <row r="72" spans="1:25" ht="25.05" customHeight="1" x14ac:dyDescent="0.45">
      <c r="A72" s="2"/>
      <c r="B72" s="2"/>
      <c r="C72" s="2"/>
      <c r="D72" s="3"/>
      <c r="E72" s="2"/>
      <c r="F72" s="2"/>
      <c r="G72" s="2"/>
      <c r="H72" s="2"/>
      <c r="K72" s="15" t="e">
        <f t="shared" si="11"/>
        <v>#VALUE!</v>
      </c>
      <c r="L72" s="15" t="e">
        <f t="shared" si="12"/>
        <v>#VALUE!</v>
      </c>
      <c r="M72" s="16" t="e">
        <f t="shared" si="13"/>
        <v>#VALUE!</v>
      </c>
      <c r="N72" s="16" t="e">
        <f t="shared" si="14"/>
        <v>#VALUE!</v>
      </c>
      <c r="O72" s="16" t="str">
        <f t="shared" si="15"/>
        <v>Other</v>
      </c>
      <c r="P72" s="16" t="str">
        <f t="shared" si="16"/>
        <v/>
      </c>
      <c r="R72" s="17"/>
      <c r="S72" s="8" t="str">
        <v/>
      </c>
      <c r="T72" s="18" t="str">
        <f>IFERROR( IF( COUNTIF($R$2:R72,R72)=1, IF(VALUE(R72)=0,"",VALUE(R72)), "" ), "" )</f>
        <v/>
      </c>
      <c r="U72" s="8" t="str">
        <f t="shared" si="17"/>
        <v/>
      </c>
      <c r="V72" s="26"/>
      <c r="W72" s="19"/>
      <c r="X72" s="19"/>
      <c r="Y72" s="7"/>
    </row>
    <row r="73" spans="1:25" ht="25.05" customHeight="1" x14ac:dyDescent="0.45">
      <c r="A73" s="2"/>
      <c r="B73" s="2"/>
      <c r="C73" s="2"/>
      <c r="D73" s="3"/>
      <c r="E73" s="2"/>
      <c r="F73" s="2"/>
      <c r="G73" s="2"/>
      <c r="H73" s="2"/>
      <c r="K73" s="15" t="e">
        <f t="shared" si="11"/>
        <v>#VALUE!</v>
      </c>
      <c r="L73" s="15" t="e">
        <f t="shared" si="12"/>
        <v>#VALUE!</v>
      </c>
      <c r="M73" s="16" t="e">
        <f t="shared" si="13"/>
        <v>#VALUE!</v>
      </c>
      <c r="N73" s="16" t="e">
        <f t="shared" si="14"/>
        <v>#VALUE!</v>
      </c>
      <c r="O73" s="16" t="str">
        <f t="shared" si="15"/>
        <v>Other</v>
      </c>
      <c r="P73" s="16" t="str">
        <f t="shared" si="16"/>
        <v/>
      </c>
      <c r="R73" s="17"/>
      <c r="S73" s="8" t="str">
        <v/>
      </c>
      <c r="T73" s="18" t="str">
        <f>IFERROR( IF( COUNTIF($R$2:R73,R73)=1, IF(VALUE(R73)=0,"",VALUE(R73)), "" ), "" )</f>
        <v/>
      </c>
      <c r="U73" s="8" t="str">
        <f t="shared" si="17"/>
        <v/>
      </c>
      <c r="V73" s="26"/>
      <c r="W73" s="19"/>
      <c r="X73" s="19"/>
      <c r="Y73" s="7"/>
    </row>
    <row r="74" spans="1:25" ht="25.05" customHeight="1" x14ac:dyDescent="0.45">
      <c r="A74" s="2"/>
      <c r="B74" s="2"/>
      <c r="C74" s="2"/>
      <c r="D74" s="3"/>
      <c r="E74" s="2"/>
      <c r="F74" s="2"/>
      <c r="G74" s="2"/>
      <c r="H74" s="2"/>
      <c r="K74" s="15" t="e">
        <f t="shared" si="11"/>
        <v>#VALUE!</v>
      </c>
      <c r="L74" s="15" t="e">
        <f t="shared" si="12"/>
        <v>#VALUE!</v>
      </c>
      <c r="M74" s="16" t="e">
        <f t="shared" si="13"/>
        <v>#VALUE!</v>
      </c>
      <c r="N74" s="16" t="e">
        <f t="shared" si="14"/>
        <v>#VALUE!</v>
      </c>
      <c r="O74" s="16" t="str">
        <f t="shared" si="15"/>
        <v>Other</v>
      </c>
      <c r="P74" s="16" t="str">
        <f t="shared" si="16"/>
        <v/>
      </c>
      <c r="R74" s="17"/>
      <c r="S74" s="8" t="str">
        <v/>
      </c>
      <c r="T74" s="18" t="str">
        <f>IFERROR( IF( COUNTIF($R$2:R74,R74)=1, IF(VALUE(R74)=0,"",VALUE(R74)), "" ), "" )</f>
        <v/>
      </c>
      <c r="U74" s="8" t="str">
        <f t="shared" si="17"/>
        <v/>
      </c>
      <c r="V74" s="26"/>
      <c r="W74" s="19"/>
      <c r="X74" s="19"/>
      <c r="Y74" s="7"/>
    </row>
    <row r="75" spans="1:25" ht="25.05" customHeight="1" x14ac:dyDescent="0.45">
      <c r="A75" s="2"/>
      <c r="B75" s="2"/>
      <c r="C75" s="2"/>
      <c r="D75" s="3"/>
      <c r="E75" s="2"/>
      <c r="F75" s="2"/>
      <c r="G75" s="2"/>
      <c r="H75" s="2"/>
      <c r="K75" s="15" t="e">
        <f t="shared" si="11"/>
        <v>#VALUE!</v>
      </c>
      <c r="L75" s="15" t="e">
        <f t="shared" si="12"/>
        <v>#VALUE!</v>
      </c>
      <c r="M75" s="16" t="e">
        <f t="shared" si="13"/>
        <v>#VALUE!</v>
      </c>
      <c r="N75" s="16" t="e">
        <f t="shared" si="14"/>
        <v>#VALUE!</v>
      </c>
      <c r="O75" s="16" t="str">
        <f t="shared" si="15"/>
        <v>Other</v>
      </c>
      <c r="P75" s="16" t="str">
        <f t="shared" si="16"/>
        <v/>
      </c>
      <c r="R75" s="17"/>
      <c r="S75" s="8" t="str">
        <v/>
      </c>
      <c r="T75" s="18" t="str">
        <f>IFERROR( IF( COUNTIF($R$2:R75,R75)=1, IF(VALUE(R75)=0,"",VALUE(R75)), "" ), "" )</f>
        <v/>
      </c>
      <c r="U75" s="8" t="str">
        <f t="shared" si="17"/>
        <v/>
      </c>
      <c r="V75" s="26"/>
      <c r="W75" s="19"/>
      <c r="X75" s="19"/>
      <c r="Y75" s="7"/>
    </row>
    <row r="76" spans="1:25" ht="25.05" customHeight="1" x14ac:dyDescent="0.45">
      <c r="A76" s="2"/>
      <c r="B76" s="2"/>
      <c r="C76" s="2"/>
      <c r="D76" s="3"/>
      <c r="E76" s="2"/>
      <c r="F76" s="2"/>
      <c r="G76" s="2"/>
      <c r="H76" s="2"/>
      <c r="K76" s="15" t="e">
        <f t="shared" si="11"/>
        <v>#VALUE!</v>
      </c>
      <c r="L76" s="15" t="e">
        <f t="shared" si="12"/>
        <v>#VALUE!</v>
      </c>
      <c r="M76" s="16" t="e">
        <f t="shared" si="13"/>
        <v>#VALUE!</v>
      </c>
      <c r="N76" s="16" t="e">
        <f t="shared" si="14"/>
        <v>#VALUE!</v>
      </c>
      <c r="O76" s="16" t="str">
        <f t="shared" si="15"/>
        <v>Other</v>
      </c>
      <c r="P76" s="16" t="str">
        <f t="shared" si="16"/>
        <v/>
      </c>
      <c r="R76" s="17"/>
      <c r="S76" s="8" t="str">
        <v/>
      </c>
      <c r="T76" s="18" t="str">
        <f>IFERROR( IF( COUNTIF($R$2:R76,R76)=1, IF(VALUE(R76)=0,"",VALUE(R76)), "" ), "" )</f>
        <v/>
      </c>
      <c r="U76" s="8" t="str">
        <f t="shared" si="17"/>
        <v/>
      </c>
      <c r="V76" s="26"/>
      <c r="W76" s="19"/>
      <c r="X76" s="19"/>
      <c r="Y76" s="7"/>
    </row>
    <row r="77" spans="1:25" ht="25.05" customHeight="1" x14ac:dyDescent="0.45">
      <c r="A77" s="2"/>
      <c r="B77" s="2"/>
      <c r="C77" s="2"/>
      <c r="D77" s="3"/>
      <c r="E77" s="2"/>
      <c r="F77" s="2"/>
      <c r="G77" s="2"/>
      <c r="H77" s="2"/>
      <c r="K77" s="15" t="e">
        <f t="shared" si="11"/>
        <v>#VALUE!</v>
      </c>
      <c r="L77" s="15" t="e">
        <f t="shared" si="12"/>
        <v>#VALUE!</v>
      </c>
      <c r="M77" s="16" t="e">
        <f t="shared" si="13"/>
        <v>#VALUE!</v>
      </c>
      <c r="N77" s="16" t="e">
        <f t="shared" si="14"/>
        <v>#VALUE!</v>
      </c>
      <c r="O77" s="16" t="str">
        <f t="shared" si="15"/>
        <v>Other</v>
      </c>
      <c r="P77" s="16" t="str">
        <f t="shared" si="16"/>
        <v/>
      </c>
      <c r="R77" s="17"/>
      <c r="S77" s="8" t="str">
        <v/>
      </c>
      <c r="T77" s="18" t="str">
        <f>IFERROR( IF( COUNTIF($R$2:R77,R77)=1, IF(VALUE(R77)=0,"",VALUE(R77)), "" ), "" )</f>
        <v/>
      </c>
      <c r="U77" s="8" t="str">
        <f t="shared" si="17"/>
        <v/>
      </c>
      <c r="V77" s="26"/>
      <c r="W77" s="19"/>
      <c r="X77" s="19"/>
      <c r="Y77" s="7"/>
    </row>
    <row r="78" spans="1:25" ht="25.05" customHeight="1" x14ac:dyDescent="0.45">
      <c r="A78" s="2"/>
      <c r="B78" s="2"/>
      <c r="C78" s="2"/>
      <c r="D78" s="3"/>
      <c r="E78" s="2"/>
      <c r="F78" s="2"/>
      <c r="G78" s="2"/>
      <c r="H78" s="2"/>
      <c r="K78" s="15" t="e">
        <f t="shared" si="11"/>
        <v>#VALUE!</v>
      </c>
      <c r="L78" s="15" t="e">
        <f t="shared" si="12"/>
        <v>#VALUE!</v>
      </c>
      <c r="M78" s="16" t="e">
        <f t="shared" si="13"/>
        <v>#VALUE!</v>
      </c>
      <c r="N78" s="16" t="e">
        <f t="shared" si="14"/>
        <v>#VALUE!</v>
      </c>
      <c r="O78" s="16" t="str">
        <f t="shared" si="15"/>
        <v>Other</v>
      </c>
      <c r="P78" s="16" t="str">
        <f t="shared" si="16"/>
        <v/>
      </c>
      <c r="R78" s="17"/>
      <c r="S78" s="8" t="str">
        <v/>
      </c>
      <c r="T78" s="18" t="str">
        <f>IFERROR( IF( COUNTIF($R$2:R78,R78)=1, IF(VALUE(R78)=0,"",VALUE(R78)), "" ), "" )</f>
        <v/>
      </c>
      <c r="U78" s="8" t="str">
        <f t="shared" si="17"/>
        <v/>
      </c>
      <c r="V78" s="26"/>
      <c r="W78" s="19"/>
      <c r="X78" s="19"/>
      <c r="Y78" s="7"/>
    </row>
    <row r="79" spans="1:25" ht="25.05" customHeight="1" x14ac:dyDescent="0.45">
      <c r="A79" s="2"/>
      <c r="B79" s="2"/>
      <c r="C79" s="2"/>
      <c r="D79" s="3"/>
      <c r="E79" s="2"/>
      <c r="F79" s="2"/>
      <c r="G79" s="2"/>
      <c r="H79" s="2"/>
      <c r="K79" s="15" t="e">
        <f t="shared" si="11"/>
        <v>#VALUE!</v>
      </c>
      <c r="L79" s="15" t="e">
        <f t="shared" si="12"/>
        <v>#VALUE!</v>
      </c>
      <c r="M79" s="16" t="e">
        <f t="shared" si="13"/>
        <v>#VALUE!</v>
      </c>
      <c r="N79" s="16" t="e">
        <f t="shared" si="14"/>
        <v>#VALUE!</v>
      </c>
      <c r="O79" s="16" t="str">
        <f t="shared" si="15"/>
        <v>Other</v>
      </c>
      <c r="P79" s="16" t="str">
        <f t="shared" si="16"/>
        <v/>
      </c>
      <c r="R79" s="17"/>
      <c r="S79" s="8" t="str">
        <v/>
      </c>
      <c r="T79" s="18" t="str">
        <f>IFERROR( IF( COUNTIF($R$2:R79,R79)=1, IF(VALUE(R79)=0,"",VALUE(R79)), "" ), "" )</f>
        <v/>
      </c>
      <c r="U79" s="8" t="str">
        <f t="shared" si="17"/>
        <v/>
      </c>
      <c r="V79" s="26"/>
      <c r="W79" s="19"/>
      <c r="X79" s="19"/>
      <c r="Y79" s="7"/>
    </row>
    <row r="80" spans="1:25" ht="25.05" customHeight="1" x14ac:dyDescent="0.45">
      <c r="A80" s="2"/>
      <c r="B80" s="2"/>
      <c r="C80" s="2"/>
      <c r="D80" s="3"/>
      <c r="E80" s="2"/>
      <c r="F80" s="2"/>
      <c r="G80" s="2"/>
      <c r="H80" s="2"/>
      <c r="K80" s="15" t="e">
        <f t="shared" si="11"/>
        <v>#VALUE!</v>
      </c>
      <c r="L80" s="15" t="e">
        <f t="shared" si="12"/>
        <v>#VALUE!</v>
      </c>
      <c r="M80" s="16" t="e">
        <f t="shared" si="13"/>
        <v>#VALUE!</v>
      </c>
      <c r="N80" s="16" t="e">
        <f t="shared" si="14"/>
        <v>#VALUE!</v>
      </c>
      <c r="O80" s="16" t="str">
        <f t="shared" si="15"/>
        <v>Other</v>
      </c>
      <c r="P80" s="16" t="str">
        <f t="shared" si="16"/>
        <v/>
      </c>
      <c r="R80" s="17"/>
      <c r="S80" s="8" t="str">
        <v/>
      </c>
      <c r="T80" s="18" t="str">
        <f>IFERROR( IF( COUNTIF($R$2:R80,R80)=1, IF(VALUE(R80)=0,"",VALUE(R80)), "" ), "" )</f>
        <v/>
      </c>
      <c r="U80" s="8" t="str">
        <f t="shared" si="17"/>
        <v/>
      </c>
      <c r="V80" s="26"/>
      <c r="W80" s="19"/>
      <c r="X80" s="19"/>
      <c r="Y80" s="7"/>
    </row>
    <row r="81" spans="1:25" ht="25.05" customHeight="1" x14ac:dyDescent="0.45">
      <c r="A81" s="2"/>
      <c r="B81" s="2"/>
      <c r="C81" s="2"/>
      <c r="D81" s="3"/>
      <c r="E81" s="2"/>
      <c r="F81" s="2"/>
      <c r="G81" s="2"/>
      <c r="H81" s="2"/>
      <c r="K81" s="15" t="e">
        <f t="shared" si="11"/>
        <v>#VALUE!</v>
      </c>
      <c r="L81" s="15" t="e">
        <f t="shared" si="12"/>
        <v>#VALUE!</v>
      </c>
      <c r="M81" s="16" t="e">
        <f t="shared" si="13"/>
        <v>#VALUE!</v>
      </c>
      <c r="N81" s="16" t="e">
        <f t="shared" si="14"/>
        <v>#VALUE!</v>
      </c>
      <c r="O81" s="16" t="str">
        <f t="shared" si="15"/>
        <v>Other</v>
      </c>
      <c r="P81" s="16" t="str">
        <f t="shared" si="16"/>
        <v/>
      </c>
      <c r="R81" s="17"/>
      <c r="S81" s="8" t="str">
        <v/>
      </c>
      <c r="T81" s="18" t="str">
        <f>IFERROR( IF( COUNTIF($R$2:R81,R81)=1, IF(VALUE(R81)=0,"",VALUE(R81)), "" ), "" )</f>
        <v/>
      </c>
      <c r="U81" s="8" t="str">
        <f t="shared" si="17"/>
        <v/>
      </c>
      <c r="V81" s="26"/>
      <c r="W81" s="19"/>
      <c r="X81" s="19"/>
      <c r="Y81" s="7"/>
    </row>
    <row r="82" spans="1:25" ht="25.05" customHeight="1" x14ac:dyDescent="0.45">
      <c r="A82" s="2"/>
      <c r="B82" s="2"/>
      <c r="C82" s="2"/>
      <c r="D82" s="3"/>
      <c r="E82" s="2"/>
      <c r="F82" s="2"/>
      <c r="G82" s="2"/>
      <c r="H82" s="2"/>
      <c r="K82" s="15" t="e">
        <f t="shared" si="11"/>
        <v>#VALUE!</v>
      </c>
      <c r="L82" s="15" t="e">
        <f t="shared" si="12"/>
        <v>#VALUE!</v>
      </c>
      <c r="M82" s="16" t="e">
        <f t="shared" si="13"/>
        <v>#VALUE!</v>
      </c>
      <c r="N82" s="16" t="e">
        <f t="shared" si="14"/>
        <v>#VALUE!</v>
      </c>
      <c r="O82" s="16" t="str">
        <f t="shared" si="15"/>
        <v>Other</v>
      </c>
      <c r="P82" s="16" t="str">
        <f t="shared" si="16"/>
        <v/>
      </c>
      <c r="R82" s="17"/>
      <c r="S82" s="8" t="str">
        <v/>
      </c>
      <c r="T82" s="18" t="str">
        <f>IFERROR( IF( COUNTIF($R$2:R82,R82)=1, IF(VALUE(R82)=0,"",VALUE(R82)), "" ), "" )</f>
        <v/>
      </c>
      <c r="U82" s="8" t="str">
        <f t="shared" si="17"/>
        <v/>
      </c>
      <c r="V82" s="26"/>
      <c r="W82" s="19"/>
      <c r="X82" s="19"/>
      <c r="Y82" s="7"/>
    </row>
    <row r="83" spans="1:25" ht="25.05" customHeight="1" x14ac:dyDescent="0.45">
      <c r="A83" s="2"/>
      <c r="B83" s="2"/>
      <c r="C83" s="2"/>
      <c r="D83" s="3"/>
      <c r="E83" s="2"/>
      <c r="F83" s="2"/>
      <c r="G83" s="2"/>
      <c r="H83" s="2"/>
      <c r="K83" s="15" t="e">
        <f t="shared" si="11"/>
        <v>#VALUE!</v>
      </c>
      <c r="L83" s="15" t="e">
        <f t="shared" si="12"/>
        <v>#VALUE!</v>
      </c>
      <c r="M83" s="16" t="e">
        <f t="shared" si="13"/>
        <v>#VALUE!</v>
      </c>
      <c r="N83" s="16" t="e">
        <f t="shared" si="14"/>
        <v>#VALUE!</v>
      </c>
      <c r="O83" s="16" t="str">
        <f t="shared" si="15"/>
        <v>Other</v>
      </c>
      <c r="P83" s="16" t="str">
        <f t="shared" si="16"/>
        <v/>
      </c>
      <c r="R83" s="17"/>
      <c r="S83" s="8" t="str">
        <v/>
      </c>
      <c r="T83" s="18" t="str">
        <f>IFERROR( IF( COUNTIF($R$2:R83,R83)=1, IF(VALUE(R83)=0,"",VALUE(R83)), "" ), "" )</f>
        <v/>
      </c>
      <c r="U83" s="8" t="str">
        <f t="shared" si="17"/>
        <v/>
      </c>
      <c r="V83" s="26"/>
      <c r="W83" s="19"/>
      <c r="X83" s="19"/>
      <c r="Y83" s="7"/>
    </row>
    <row r="84" spans="1:25" ht="25.05" customHeight="1" x14ac:dyDescent="0.45">
      <c r="A84" s="2"/>
      <c r="B84" s="2"/>
      <c r="C84" s="2"/>
      <c r="D84" s="3"/>
      <c r="E84" s="2"/>
      <c r="F84" s="2"/>
      <c r="G84" s="2"/>
      <c r="H84" s="2"/>
      <c r="K84" s="15" t="e">
        <f t="shared" si="11"/>
        <v>#VALUE!</v>
      </c>
      <c r="L84" s="15" t="e">
        <f t="shared" si="12"/>
        <v>#VALUE!</v>
      </c>
      <c r="M84" s="16" t="e">
        <f t="shared" si="13"/>
        <v>#VALUE!</v>
      </c>
      <c r="N84" s="16" t="e">
        <f t="shared" si="14"/>
        <v>#VALUE!</v>
      </c>
      <c r="O84" s="16" t="str">
        <f t="shared" si="15"/>
        <v>Other</v>
      </c>
      <c r="P84" s="16" t="str">
        <f t="shared" si="16"/>
        <v/>
      </c>
      <c r="R84" s="17"/>
      <c r="S84" s="8" t="str">
        <v/>
      </c>
      <c r="T84" s="18" t="str">
        <f>IFERROR( IF( COUNTIF($R$2:R84,R84)=1, IF(VALUE(R84)=0,"",VALUE(R84)), "" ), "" )</f>
        <v/>
      </c>
      <c r="U84" s="8" t="str">
        <f t="shared" si="17"/>
        <v/>
      </c>
      <c r="V84" s="26"/>
      <c r="W84" s="19"/>
      <c r="X84" s="19"/>
      <c r="Y84" s="7"/>
    </row>
    <row r="85" spans="1:25" ht="25.05" customHeight="1" x14ac:dyDescent="0.45">
      <c r="A85" s="2"/>
      <c r="B85" s="2"/>
      <c r="C85" s="2"/>
      <c r="D85" s="3"/>
      <c r="E85" s="2"/>
      <c r="F85" s="2"/>
      <c r="G85" s="2"/>
      <c r="H85" s="2"/>
      <c r="K85" s="15" t="e">
        <f t="shared" si="11"/>
        <v>#VALUE!</v>
      </c>
      <c r="L85" s="15" t="e">
        <f t="shared" si="12"/>
        <v>#VALUE!</v>
      </c>
      <c r="M85" s="16" t="e">
        <f t="shared" si="13"/>
        <v>#VALUE!</v>
      </c>
      <c r="N85" s="16" t="e">
        <f t="shared" si="14"/>
        <v>#VALUE!</v>
      </c>
      <c r="O85" s="16" t="str">
        <f t="shared" si="15"/>
        <v>Other</v>
      </c>
      <c r="P85" s="16" t="str">
        <f t="shared" si="16"/>
        <v/>
      </c>
      <c r="R85" s="17"/>
      <c r="S85" s="8" t="str">
        <v/>
      </c>
      <c r="T85" s="18" t="str">
        <f>IFERROR( IF( COUNTIF($R$2:R85,R85)=1, IF(VALUE(R85)=0,"",VALUE(R85)), "" ), "" )</f>
        <v/>
      </c>
      <c r="U85" s="8" t="str">
        <f t="shared" si="17"/>
        <v/>
      </c>
      <c r="V85" s="26"/>
      <c r="W85" s="19"/>
      <c r="X85" s="19"/>
      <c r="Y85" s="7"/>
    </row>
    <row r="86" spans="1:25" ht="25.05" customHeight="1" x14ac:dyDescent="0.45">
      <c r="A86" s="2"/>
      <c r="B86" s="2"/>
      <c r="C86" s="2"/>
      <c r="D86" s="3"/>
      <c r="E86" s="2"/>
      <c r="F86" s="2"/>
      <c r="G86" s="2"/>
      <c r="H86" s="2"/>
      <c r="K86" s="15" t="e">
        <f t="shared" si="11"/>
        <v>#VALUE!</v>
      </c>
      <c r="L86" s="15" t="e">
        <f t="shared" si="12"/>
        <v>#VALUE!</v>
      </c>
      <c r="M86" s="16" t="e">
        <f t="shared" si="13"/>
        <v>#VALUE!</v>
      </c>
      <c r="N86" s="16" t="e">
        <f t="shared" si="14"/>
        <v>#VALUE!</v>
      </c>
      <c r="O86" s="16" t="str">
        <f t="shared" si="15"/>
        <v>Other</v>
      </c>
      <c r="P86" s="16" t="str">
        <f t="shared" si="16"/>
        <v/>
      </c>
      <c r="R86" s="17"/>
      <c r="S86" s="8" t="str">
        <v/>
      </c>
      <c r="T86" s="18" t="str">
        <f>IFERROR( IF( COUNTIF($R$2:R86,R86)=1, IF(VALUE(R86)=0,"",VALUE(R86)), "" ), "" )</f>
        <v/>
      </c>
      <c r="U86" s="8" t="str">
        <f t="shared" si="17"/>
        <v/>
      </c>
      <c r="V86" s="26"/>
      <c r="W86" s="19"/>
      <c r="X86" s="19"/>
      <c r="Y86" s="7"/>
    </row>
    <row r="87" spans="1:25" ht="25.05" customHeight="1" x14ac:dyDescent="0.45">
      <c r="A87" s="2"/>
      <c r="B87" s="2"/>
      <c r="C87" s="2"/>
      <c r="D87" s="3"/>
      <c r="E87" s="2"/>
      <c r="F87" s="2"/>
      <c r="G87" s="2"/>
      <c r="H87" s="2"/>
      <c r="K87" s="15" t="e">
        <f t="shared" si="11"/>
        <v>#VALUE!</v>
      </c>
      <c r="L87" s="15" t="e">
        <f t="shared" si="12"/>
        <v>#VALUE!</v>
      </c>
      <c r="M87" s="16" t="e">
        <f t="shared" si="13"/>
        <v>#VALUE!</v>
      </c>
      <c r="N87" s="16" t="e">
        <f t="shared" si="14"/>
        <v>#VALUE!</v>
      </c>
      <c r="O87" s="16" t="str">
        <f t="shared" si="15"/>
        <v>Other</v>
      </c>
      <c r="P87" s="16" t="str">
        <f t="shared" si="16"/>
        <v/>
      </c>
      <c r="R87" s="17"/>
      <c r="S87" s="8" t="str">
        <v/>
      </c>
      <c r="T87" s="18" t="str">
        <f>IFERROR( IF( COUNTIF($R$2:R87,R87)=1, IF(VALUE(R87)=0,"",VALUE(R87)), "" ), "" )</f>
        <v/>
      </c>
      <c r="U87" s="8" t="str">
        <f t="shared" si="17"/>
        <v/>
      </c>
      <c r="V87" s="26"/>
      <c r="W87" s="19"/>
      <c r="X87" s="19"/>
      <c r="Y87" s="7"/>
    </row>
    <row r="88" spans="1:25" ht="25.05" customHeight="1" x14ac:dyDescent="0.45">
      <c r="A88" s="2"/>
      <c r="B88" s="2"/>
      <c r="C88" s="2"/>
      <c r="D88" s="3"/>
      <c r="E88" s="2"/>
      <c r="F88" s="2"/>
      <c r="G88" s="2"/>
      <c r="H88" s="2"/>
      <c r="K88" s="15" t="e">
        <f t="shared" si="11"/>
        <v>#VALUE!</v>
      </c>
      <c r="L88" s="15" t="e">
        <f t="shared" si="12"/>
        <v>#VALUE!</v>
      </c>
      <c r="M88" s="16" t="e">
        <f t="shared" si="13"/>
        <v>#VALUE!</v>
      </c>
      <c r="N88" s="16" t="e">
        <f t="shared" si="14"/>
        <v>#VALUE!</v>
      </c>
      <c r="O88" s="16" t="str">
        <f t="shared" si="15"/>
        <v>Other</v>
      </c>
      <c r="P88" s="16" t="str">
        <f t="shared" si="16"/>
        <v/>
      </c>
      <c r="R88" s="17"/>
      <c r="S88" s="8" t="str">
        <v/>
      </c>
      <c r="T88" s="18" t="str">
        <f>IFERROR( IF( COUNTIF($R$2:R88,R88)=1, IF(VALUE(R88)=0,"",VALUE(R88)), "" ), "" )</f>
        <v/>
      </c>
      <c r="U88" s="8" t="str">
        <f t="shared" si="17"/>
        <v/>
      </c>
      <c r="V88" s="26"/>
      <c r="W88" s="19"/>
      <c r="X88" s="19"/>
      <c r="Y88" s="7"/>
    </row>
    <row r="89" spans="1:25" ht="25.05" customHeight="1" x14ac:dyDescent="0.45">
      <c r="A89" s="2"/>
      <c r="B89" s="2"/>
      <c r="C89" s="2"/>
      <c r="D89" s="3"/>
      <c r="E89" s="2"/>
      <c r="F89" s="2"/>
      <c r="G89" s="2"/>
      <c r="H89" s="2"/>
      <c r="K89" s="15" t="e">
        <f t="shared" si="11"/>
        <v>#VALUE!</v>
      </c>
      <c r="L89" s="15" t="e">
        <f t="shared" si="12"/>
        <v>#VALUE!</v>
      </c>
      <c r="M89" s="16" t="e">
        <f t="shared" si="13"/>
        <v>#VALUE!</v>
      </c>
      <c r="N89" s="16" t="e">
        <f t="shared" si="14"/>
        <v>#VALUE!</v>
      </c>
      <c r="O89" s="16" t="str">
        <f t="shared" si="15"/>
        <v>Other</v>
      </c>
      <c r="P89" s="16" t="str">
        <f t="shared" si="16"/>
        <v/>
      </c>
      <c r="R89" s="17"/>
      <c r="S89" s="8" t="str">
        <v/>
      </c>
      <c r="T89" s="18" t="str">
        <f>IFERROR( IF( COUNTIF($R$2:R89,R89)=1, IF(VALUE(R89)=0,"",VALUE(R89)), "" ), "" )</f>
        <v/>
      </c>
      <c r="U89" s="8" t="str">
        <f t="shared" si="17"/>
        <v/>
      </c>
      <c r="V89" s="26"/>
      <c r="W89" s="19"/>
      <c r="X89" s="19"/>
      <c r="Y89" s="7"/>
    </row>
    <row r="90" spans="1:25" ht="25.05" customHeight="1" x14ac:dyDescent="0.45">
      <c r="A90" s="2"/>
      <c r="B90" s="2"/>
      <c r="C90" s="2"/>
      <c r="D90" s="3"/>
      <c r="E90" s="2"/>
      <c r="F90" s="2"/>
      <c r="G90" s="2"/>
      <c r="H90" s="2"/>
      <c r="K90" s="15" t="e">
        <f t="shared" si="11"/>
        <v>#VALUE!</v>
      </c>
      <c r="L90" s="15" t="e">
        <f t="shared" si="12"/>
        <v>#VALUE!</v>
      </c>
      <c r="M90" s="16" t="e">
        <f t="shared" si="13"/>
        <v>#VALUE!</v>
      </c>
      <c r="N90" s="16" t="e">
        <f t="shared" si="14"/>
        <v>#VALUE!</v>
      </c>
      <c r="O90" s="16" t="str">
        <f t="shared" si="15"/>
        <v>Other</v>
      </c>
      <c r="P90" s="16" t="str">
        <f t="shared" si="16"/>
        <v/>
      </c>
      <c r="R90" s="17"/>
      <c r="S90" s="8" t="str">
        <v/>
      </c>
      <c r="T90" s="18" t="str">
        <f>IFERROR( IF( COUNTIF($R$2:R90,R90)=1, IF(VALUE(R90)=0,"",VALUE(R90)), "" ), "" )</f>
        <v/>
      </c>
      <c r="U90" s="8" t="str">
        <f t="shared" si="17"/>
        <v/>
      </c>
      <c r="V90" s="26"/>
      <c r="W90" s="19"/>
      <c r="X90" s="19"/>
      <c r="Y90" s="7"/>
    </row>
    <row r="91" spans="1:25" ht="25.05" customHeight="1" x14ac:dyDescent="0.45">
      <c r="A91" s="2"/>
      <c r="B91" s="2"/>
      <c r="C91" s="2"/>
      <c r="D91" s="3"/>
      <c r="E91" s="2"/>
      <c r="F91" s="2"/>
      <c r="G91" s="2"/>
      <c r="H91" s="2"/>
      <c r="K91" s="15" t="e">
        <f t="shared" si="11"/>
        <v>#VALUE!</v>
      </c>
      <c r="L91" s="15" t="e">
        <f t="shared" si="12"/>
        <v>#VALUE!</v>
      </c>
      <c r="M91" s="16" t="e">
        <f t="shared" si="13"/>
        <v>#VALUE!</v>
      </c>
      <c r="N91" s="16" t="e">
        <f t="shared" si="14"/>
        <v>#VALUE!</v>
      </c>
      <c r="O91" s="16" t="str">
        <f t="shared" si="15"/>
        <v>Other</v>
      </c>
      <c r="P91" s="16" t="str">
        <f t="shared" si="16"/>
        <v/>
      </c>
      <c r="R91" s="17"/>
      <c r="S91" s="8" t="str">
        <v/>
      </c>
      <c r="T91" s="18" t="str">
        <f>IFERROR( IF( COUNTIF($R$2:R91,R91)=1, IF(VALUE(R91)=0,"",VALUE(R91)), "" ), "" )</f>
        <v/>
      </c>
      <c r="U91" s="8" t="str">
        <f t="shared" si="17"/>
        <v/>
      </c>
      <c r="V91" s="26"/>
      <c r="W91" s="19"/>
      <c r="X91" s="19"/>
      <c r="Y91" s="7"/>
    </row>
    <row r="92" spans="1:25" ht="25.05" customHeight="1" x14ac:dyDescent="0.45">
      <c r="A92" s="2"/>
      <c r="B92" s="2"/>
      <c r="C92" s="2"/>
      <c r="D92" s="3"/>
      <c r="E92" s="2"/>
      <c r="F92" s="2"/>
      <c r="G92" s="2"/>
      <c r="H92" s="2"/>
      <c r="K92" s="15" t="e">
        <f t="shared" si="11"/>
        <v>#VALUE!</v>
      </c>
      <c r="L92" s="15" t="e">
        <f t="shared" si="12"/>
        <v>#VALUE!</v>
      </c>
      <c r="M92" s="16" t="e">
        <f t="shared" si="13"/>
        <v>#VALUE!</v>
      </c>
      <c r="N92" s="16" t="e">
        <f t="shared" si="14"/>
        <v>#VALUE!</v>
      </c>
      <c r="O92" s="16" t="str">
        <f t="shared" si="15"/>
        <v>Other</v>
      </c>
      <c r="P92" s="16" t="str">
        <f t="shared" si="16"/>
        <v/>
      </c>
      <c r="R92" s="17"/>
      <c r="S92" s="8" t="str">
        <v/>
      </c>
      <c r="T92" s="18" t="str">
        <f>IFERROR( IF( COUNTIF($R$2:R92,R92)=1, IF(VALUE(R92)=0,"",VALUE(R92)), "" ), "" )</f>
        <v/>
      </c>
      <c r="U92" s="8" t="str">
        <f t="shared" si="17"/>
        <v/>
      </c>
      <c r="V92" s="26"/>
      <c r="W92" s="19"/>
      <c r="X92" s="19"/>
      <c r="Y92" s="7"/>
    </row>
    <row r="93" spans="1:25" ht="25.05" customHeight="1" x14ac:dyDescent="0.45">
      <c r="A93" s="2"/>
      <c r="B93" s="2"/>
      <c r="C93" s="2"/>
      <c r="D93" s="3"/>
      <c r="E93" s="2"/>
      <c r="F93" s="2"/>
      <c r="G93" s="2"/>
      <c r="H93" s="2"/>
      <c r="K93" s="15" t="e">
        <f t="shared" si="11"/>
        <v>#VALUE!</v>
      </c>
      <c r="L93" s="15" t="e">
        <f t="shared" si="12"/>
        <v>#VALUE!</v>
      </c>
      <c r="M93" s="16" t="e">
        <f t="shared" si="13"/>
        <v>#VALUE!</v>
      </c>
      <c r="N93" s="16" t="e">
        <f t="shared" si="14"/>
        <v>#VALUE!</v>
      </c>
      <c r="O93" s="16" t="str">
        <f t="shared" si="15"/>
        <v>Other</v>
      </c>
      <c r="P93" s="16" t="str">
        <f t="shared" si="16"/>
        <v/>
      </c>
      <c r="R93" s="17"/>
      <c r="S93" s="8" t="str">
        <v/>
      </c>
      <c r="T93" s="18" t="str">
        <f>IFERROR( IF( COUNTIF($R$2:R93,R93)=1, IF(VALUE(R93)=0,"",VALUE(R93)), "" ), "" )</f>
        <v/>
      </c>
      <c r="U93" s="8" t="str">
        <f t="shared" si="17"/>
        <v/>
      </c>
      <c r="V93" s="26"/>
      <c r="W93" s="19"/>
      <c r="X93" s="19"/>
      <c r="Y93" s="7"/>
    </row>
    <row r="94" spans="1:25" ht="25.05" customHeight="1" x14ac:dyDescent="0.45">
      <c r="A94" s="2"/>
      <c r="B94" s="2"/>
      <c r="C94" s="2"/>
      <c r="D94" s="3"/>
      <c r="E94" s="2"/>
      <c r="F94" s="2"/>
      <c r="G94" s="2"/>
      <c r="H94" s="2"/>
      <c r="K94" s="15" t="e">
        <f t="shared" si="11"/>
        <v>#VALUE!</v>
      </c>
      <c r="L94" s="15" t="e">
        <f t="shared" si="12"/>
        <v>#VALUE!</v>
      </c>
      <c r="M94" s="16" t="e">
        <f t="shared" si="13"/>
        <v>#VALUE!</v>
      </c>
      <c r="N94" s="16" t="e">
        <f t="shared" si="14"/>
        <v>#VALUE!</v>
      </c>
      <c r="O94" s="16" t="str">
        <f t="shared" si="15"/>
        <v>Other</v>
      </c>
      <c r="P94" s="16" t="str">
        <f t="shared" si="16"/>
        <v/>
      </c>
      <c r="R94" s="17"/>
      <c r="S94" s="8" t="str">
        <v/>
      </c>
      <c r="T94" s="18" t="str">
        <f>IFERROR( IF( COUNTIF($R$2:R94,R94)=1, IF(VALUE(R94)=0,"",VALUE(R94)), "" ), "" )</f>
        <v/>
      </c>
      <c r="U94" s="8" t="str">
        <f t="shared" si="17"/>
        <v/>
      </c>
      <c r="V94" s="26"/>
      <c r="W94" s="19"/>
      <c r="X94" s="19"/>
      <c r="Y94" s="7"/>
    </row>
    <row r="95" spans="1:25" ht="25.05" customHeight="1" x14ac:dyDescent="0.45">
      <c r="A95" s="2"/>
      <c r="B95" s="2"/>
      <c r="C95" s="2"/>
      <c r="D95" s="3"/>
      <c r="E95" s="2"/>
      <c r="F95" s="2"/>
      <c r="G95" s="2"/>
      <c r="H95" s="2"/>
      <c r="K95" s="15" t="e">
        <f t="shared" si="11"/>
        <v>#VALUE!</v>
      </c>
      <c r="L95" s="15" t="e">
        <f t="shared" si="12"/>
        <v>#VALUE!</v>
      </c>
      <c r="M95" s="16" t="e">
        <f t="shared" si="13"/>
        <v>#VALUE!</v>
      </c>
      <c r="N95" s="16" t="e">
        <f t="shared" si="14"/>
        <v>#VALUE!</v>
      </c>
      <c r="O95" s="16" t="str">
        <f t="shared" si="15"/>
        <v>Other</v>
      </c>
      <c r="P95" s="16" t="str">
        <f t="shared" si="16"/>
        <v/>
      </c>
      <c r="R95" s="17"/>
      <c r="S95" s="8" t="str">
        <v/>
      </c>
      <c r="T95" s="18" t="str">
        <f>IFERROR( IF( COUNTIF($R$2:R95,R95)=1, IF(VALUE(R95)=0,"",VALUE(R95)), "" ), "" )</f>
        <v/>
      </c>
      <c r="U95" s="8" t="str">
        <f t="shared" si="17"/>
        <v/>
      </c>
      <c r="V95" s="26"/>
      <c r="W95" s="19"/>
      <c r="X95" s="19"/>
      <c r="Y95" s="7"/>
    </row>
    <row r="96" spans="1:25" ht="25.05" customHeight="1" x14ac:dyDescent="0.45">
      <c r="A96" s="2"/>
      <c r="B96" s="2"/>
      <c r="C96" s="2"/>
      <c r="D96" s="3"/>
      <c r="E96" s="2"/>
      <c r="F96" s="2"/>
      <c r="G96" s="2"/>
      <c r="H96" s="2"/>
      <c r="K96" s="15" t="e">
        <f t="shared" si="11"/>
        <v>#VALUE!</v>
      </c>
      <c r="L96" s="15" t="e">
        <f t="shared" si="12"/>
        <v>#VALUE!</v>
      </c>
      <c r="M96" s="16" t="e">
        <f t="shared" si="13"/>
        <v>#VALUE!</v>
      </c>
      <c r="N96" s="16" t="e">
        <f t="shared" si="14"/>
        <v>#VALUE!</v>
      </c>
      <c r="O96" s="16" t="str">
        <f t="shared" si="15"/>
        <v>Other</v>
      </c>
      <c r="P96" s="16" t="str">
        <f t="shared" si="16"/>
        <v/>
      </c>
      <c r="R96" s="17"/>
      <c r="S96" s="8" t="str">
        <v/>
      </c>
      <c r="T96" s="18" t="str">
        <f>IFERROR( IF( COUNTIF($R$2:R96,R96)=1, IF(VALUE(R96)=0,"",VALUE(R96)), "" ), "" )</f>
        <v/>
      </c>
      <c r="U96" s="8" t="str">
        <f t="shared" si="17"/>
        <v/>
      </c>
      <c r="V96" s="26"/>
      <c r="W96" s="19"/>
      <c r="X96" s="19"/>
      <c r="Y96" s="7"/>
    </row>
    <row r="97" spans="1:25" ht="25.05" customHeight="1" x14ac:dyDescent="0.45">
      <c r="A97" s="2"/>
      <c r="B97" s="2"/>
      <c r="C97" s="2"/>
      <c r="D97" s="3"/>
      <c r="E97" s="2"/>
      <c r="F97" s="2"/>
      <c r="G97" s="2"/>
      <c r="H97" s="2"/>
      <c r="K97" s="15" t="e">
        <f t="shared" si="11"/>
        <v>#VALUE!</v>
      </c>
      <c r="L97" s="15" t="e">
        <f t="shared" si="12"/>
        <v>#VALUE!</v>
      </c>
      <c r="M97" s="16" t="e">
        <f t="shared" si="13"/>
        <v>#VALUE!</v>
      </c>
      <c r="N97" s="16" t="e">
        <f t="shared" si="14"/>
        <v>#VALUE!</v>
      </c>
      <c r="O97" s="16" t="str">
        <f t="shared" si="15"/>
        <v>Other</v>
      </c>
      <c r="P97" s="16" t="str">
        <f t="shared" si="16"/>
        <v/>
      </c>
      <c r="R97" s="17"/>
      <c r="S97" s="8" t="str">
        <v/>
      </c>
      <c r="T97" s="18" t="str">
        <f>IFERROR( IF( COUNTIF($R$2:R97,R97)=1, IF(VALUE(R97)=0,"",VALUE(R97)), "" ), "" )</f>
        <v/>
      </c>
      <c r="U97" s="8" t="str">
        <f t="shared" si="17"/>
        <v/>
      </c>
      <c r="V97" s="26"/>
      <c r="W97" s="19"/>
      <c r="X97" s="19"/>
      <c r="Y97" s="7"/>
    </row>
    <row r="98" spans="1:25" ht="25.05" customHeight="1" x14ac:dyDescent="0.45">
      <c r="A98" s="2"/>
      <c r="B98" s="2"/>
      <c r="C98" s="2"/>
      <c r="D98" s="3"/>
      <c r="E98" s="2"/>
      <c r="F98" s="2"/>
      <c r="G98" s="2"/>
      <c r="H98" s="2"/>
      <c r="K98" s="15" t="e">
        <f t="shared" ref="K98:K129" si="18">LEFT(A98, FIND("-", A98)-1)</f>
        <v>#VALUE!</v>
      </c>
      <c r="L98" s="15" t="e">
        <f t="shared" ref="L98:L129" si="19">LEFT(C98, FIND("-", C98)-1)</f>
        <v>#VALUE!</v>
      </c>
      <c r="M98" s="16" t="e">
        <f t="shared" si="13"/>
        <v>#VALUE!</v>
      </c>
      <c r="N98" s="16" t="e">
        <f t="shared" ref="N98:N129" si="20">K98 &amp; " &lt;&gt; " &amp; L98</f>
        <v>#VALUE!</v>
      </c>
      <c r="O98" s="16" t="str">
        <f t="shared" ref="O98:O129" si="21">IF(LEFT(E98, 6)="TenGig", "10G (Ten Gig)", IF(LEFT(E98, 10)="HundredGig", "100G (Hundred Gig)", "Other"))</f>
        <v>Other</v>
      </c>
      <c r="P98" s="16" t="str">
        <f t="shared" si="16"/>
        <v/>
      </c>
      <c r="R98" s="17"/>
      <c r="S98" s="8" t="str">
        <v/>
      </c>
      <c r="T98" s="18" t="str">
        <f>IFERROR( IF( COUNTIF($R$2:R98,R98)=1, IF(VALUE(R98)=0,"",VALUE(R98)), "" ), "" )</f>
        <v/>
      </c>
      <c r="U98" s="8" t="str">
        <f t="shared" si="17"/>
        <v/>
      </c>
      <c r="V98" s="26"/>
      <c r="W98" s="19"/>
      <c r="X98" s="19"/>
      <c r="Y98" s="7"/>
    </row>
    <row r="99" spans="1:25" ht="25.05" customHeight="1" x14ac:dyDescent="0.45">
      <c r="A99" s="2"/>
      <c r="B99" s="2"/>
      <c r="C99" s="2"/>
      <c r="D99" s="3"/>
      <c r="E99" s="2"/>
      <c r="F99" s="2"/>
      <c r="G99" s="2"/>
      <c r="H99" s="2"/>
      <c r="K99" s="15" t="e">
        <f t="shared" si="18"/>
        <v>#VALUE!</v>
      </c>
      <c r="L99" s="15" t="e">
        <f t="shared" si="19"/>
        <v>#VALUE!</v>
      </c>
      <c r="M99" s="16" t="e">
        <f t="shared" si="13"/>
        <v>#VALUE!</v>
      </c>
      <c r="N99" s="16" t="e">
        <f t="shared" si="20"/>
        <v>#VALUE!</v>
      </c>
      <c r="O99" s="16" t="str">
        <f t="shared" si="21"/>
        <v>Other</v>
      </c>
      <c r="P99" s="16" t="str">
        <f t="shared" si="16"/>
        <v/>
      </c>
      <c r="R99" s="17"/>
      <c r="S99" s="8" t="str">
        <v/>
      </c>
      <c r="T99" s="18" t="str">
        <f>IFERROR( IF( COUNTIF($R$2:R99,R99)=1, IF(VALUE(R99)=0,"",VALUE(R99)), "" ), "" )</f>
        <v/>
      </c>
      <c r="U99" s="8" t="str">
        <f t="shared" si="17"/>
        <v/>
      </c>
      <c r="V99" s="26"/>
      <c r="W99" s="19"/>
      <c r="X99" s="19"/>
      <c r="Y99" s="7"/>
    </row>
    <row r="100" spans="1:25" ht="25.05" customHeight="1" x14ac:dyDescent="0.45">
      <c r="A100" s="2"/>
      <c r="B100" s="2"/>
      <c r="C100" s="2"/>
      <c r="D100" s="3"/>
      <c r="E100" s="2"/>
      <c r="F100" s="2"/>
      <c r="G100" s="2"/>
      <c r="H100" s="2"/>
      <c r="K100" s="15" t="e">
        <f t="shared" si="18"/>
        <v>#VALUE!</v>
      </c>
      <c r="L100" s="15" t="e">
        <f t="shared" si="19"/>
        <v>#VALUE!</v>
      </c>
      <c r="M100" s="16" t="e">
        <f t="shared" si="13"/>
        <v>#VALUE!</v>
      </c>
      <c r="N100" s="16" t="e">
        <f t="shared" si="20"/>
        <v>#VALUE!</v>
      </c>
      <c r="O100" s="16" t="str">
        <f t="shared" si="21"/>
        <v>Other</v>
      </c>
      <c r="P100" s="16" t="str">
        <f t="shared" si="16"/>
        <v/>
      </c>
      <c r="R100" s="17"/>
      <c r="S100" s="8" t="str">
        <v/>
      </c>
      <c r="T100" s="18" t="str">
        <f>IFERROR( IF( COUNTIF($R$2:R100,R100)=1, IF(VALUE(R100)=0,"",VALUE(R100)), "" ), "" )</f>
        <v/>
      </c>
      <c r="U100" s="8" t="str">
        <f t="shared" si="17"/>
        <v/>
      </c>
      <c r="V100" s="26"/>
      <c r="W100" s="19"/>
      <c r="X100" s="19"/>
      <c r="Y100" s="7"/>
    </row>
    <row r="101" spans="1:25" ht="25.05" customHeight="1" x14ac:dyDescent="0.45">
      <c r="A101" s="2"/>
      <c r="B101" s="2"/>
      <c r="C101" s="2"/>
      <c r="D101" s="3"/>
      <c r="E101" s="2"/>
      <c r="F101" s="2"/>
      <c r="G101" s="2"/>
      <c r="H101" s="2"/>
      <c r="K101" s="15" t="e">
        <f t="shared" si="18"/>
        <v>#VALUE!</v>
      </c>
      <c r="L101" s="15" t="e">
        <f t="shared" si="19"/>
        <v>#VALUE!</v>
      </c>
      <c r="M101" s="16" t="e">
        <f t="shared" si="13"/>
        <v>#VALUE!</v>
      </c>
      <c r="N101" s="16" t="e">
        <f t="shared" si="20"/>
        <v>#VALUE!</v>
      </c>
      <c r="O101" s="16" t="str">
        <f t="shared" si="21"/>
        <v>Other</v>
      </c>
      <c r="P101" s="16" t="str">
        <f t="shared" si="16"/>
        <v/>
      </c>
      <c r="R101" s="17"/>
      <c r="S101" s="8" t="str">
        <v/>
      </c>
      <c r="T101" s="18" t="str">
        <f>IFERROR( IF( COUNTIF($R$2:R101,R101)=1, IF(VALUE(R101)=0,"",VALUE(R101)), "" ), "" )</f>
        <v/>
      </c>
      <c r="U101" s="8" t="str">
        <f t="shared" si="17"/>
        <v/>
      </c>
      <c r="V101" s="26"/>
      <c r="W101" s="19"/>
      <c r="X101" s="19"/>
      <c r="Y101" s="7"/>
    </row>
    <row r="102" spans="1:25" ht="25.05" customHeight="1" x14ac:dyDescent="0.45">
      <c r="A102" s="2"/>
      <c r="B102" s="2"/>
      <c r="C102" s="2"/>
      <c r="D102" s="3"/>
      <c r="E102" s="2"/>
      <c r="F102" s="2"/>
      <c r="G102" s="2"/>
      <c r="H102" s="2"/>
      <c r="K102" s="15" t="e">
        <f t="shared" si="18"/>
        <v>#VALUE!</v>
      </c>
      <c r="L102" s="15" t="e">
        <f t="shared" si="19"/>
        <v>#VALUE!</v>
      </c>
      <c r="M102" s="16" t="e">
        <f t="shared" si="13"/>
        <v>#VALUE!</v>
      </c>
      <c r="N102" s="16" t="e">
        <f t="shared" si="20"/>
        <v>#VALUE!</v>
      </c>
      <c r="O102" s="16" t="str">
        <f t="shared" si="21"/>
        <v>Other</v>
      </c>
      <c r="P102" s="16" t="str">
        <f t="shared" si="16"/>
        <v/>
      </c>
      <c r="R102" s="17"/>
      <c r="S102" s="8" t="str">
        <v/>
      </c>
      <c r="T102" s="18" t="str">
        <f>IFERROR( IF( COUNTIF($R$2:R102,R102)=1, IF(VALUE(R102)=0,"",VALUE(R102)), "" ), "" )</f>
        <v/>
      </c>
      <c r="U102" s="8" t="str">
        <f t="shared" si="17"/>
        <v/>
      </c>
      <c r="V102" s="26"/>
      <c r="W102" s="19"/>
      <c r="X102" s="19"/>
      <c r="Y102" s="7"/>
    </row>
    <row r="103" spans="1:25" ht="25.05" customHeight="1" x14ac:dyDescent="0.45">
      <c r="A103" s="2"/>
      <c r="B103" s="2"/>
      <c r="C103" s="2"/>
      <c r="D103" s="3"/>
      <c r="E103" s="2"/>
      <c r="F103" s="2"/>
      <c r="G103" s="2"/>
      <c r="H103" s="2"/>
      <c r="K103" s="15" t="e">
        <f t="shared" si="18"/>
        <v>#VALUE!</v>
      </c>
      <c r="L103" s="15" t="e">
        <f t="shared" si="19"/>
        <v>#VALUE!</v>
      </c>
      <c r="M103" s="16" t="e">
        <f t="shared" si="13"/>
        <v>#VALUE!</v>
      </c>
      <c r="N103" s="16" t="e">
        <f t="shared" si="20"/>
        <v>#VALUE!</v>
      </c>
      <c r="O103" s="16" t="str">
        <f t="shared" si="21"/>
        <v>Other</v>
      </c>
      <c r="P103" s="16" t="str">
        <f t="shared" si="16"/>
        <v/>
      </c>
      <c r="R103" s="17"/>
      <c r="S103" s="8" t="str">
        <v/>
      </c>
      <c r="T103" s="18" t="str">
        <f>IFERROR( IF( COUNTIF($R$2:R103,R103)=1, IF(VALUE(R103)=0,"",VALUE(R103)), "" ), "" )</f>
        <v/>
      </c>
      <c r="U103" s="8" t="str">
        <f t="shared" si="17"/>
        <v/>
      </c>
      <c r="V103" s="26"/>
      <c r="W103" s="19"/>
      <c r="X103" s="19"/>
      <c r="Y103" s="7"/>
    </row>
    <row r="104" spans="1:25" ht="25.05" customHeight="1" x14ac:dyDescent="0.45">
      <c r="A104" s="2"/>
      <c r="B104" s="2"/>
      <c r="C104" s="2"/>
      <c r="D104" s="3"/>
      <c r="E104" s="2"/>
      <c r="F104" s="2"/>
      <c r="G104" s="2"/>
      <c r="H104" s="2"/>
      <c r="K104" s="15" t="e">
        <f t="shared" si="18"/>
        <v>#VALUE!</v>
      </c>
      <c r="L104" s="15" t="e">
        <f t="shared" si="19"/>
        <v>#VALUE!</v>
      </c>
      <c r="M104" s="16" t="e">
        <f t="shared" si="13"/>
        <v>#VALUE!</v>
      </c>
      <c r="N104" s="16" t="e">
        <f t="shared" si="20"/>
        <v>#VALUE!</v>
      </c>
      <c r="O104" s="16" t="str">
        <f t="shared" si="21"/>
        <v>Other</v>
      </c>
      <c r="P104" s="16" t="str">
        <f t="shared" si="16"/>
        <v/>
      </c>
      <c r="R104" s="17"/>
      <c r="S104" s="8" t="str">
        <v/>
      </c>
      <c r="T104" s="18" t="str">
        <f>IFERROR( IF( COUNTIF($R$2:R104,R104)=1, IF(VALUE(R104)=0,"",VALUE(R104)), "" ), "" )</f>
        <v/>
      </c>
      <c r="U104" s="8" t="str">
        <f t="shared" si="17"/>
        <v/>
      </c>
      <c r="V104" s="26"/>
      <c r="W104" s="19"/>
      <c r="X104" s="19"/>
      <c r="Y104" s="7"/>
    </row>
    <row r="105" spans="1:25" ht="25.05" customHeight="1" x14ac:dyDescent="0.45">
      <c r="A105" s="2"/>
      <c r="B105" s="2"/>
      <c r="C105" s="2"/>
      <c r="D105" s="3"/>
      <c r="E105" s="2"/>
      <c r="F105" s="2"/>
      <c r="G105" s="2"/>
      <c r="H105" s="2"/>
      <c r="K105" s="15" t="e">
        <f t="shared" si="18"/>
        <v>#VALUE!</v>
      </c>
      <c r="L105" s="15" t="e">
        <f t="shared" si="19"/>
        <v>#VALUE!</v>
      </c>
      <c r="M105" s="16" t="e">
        <f t="shared" si="13"/>
        <v>#VALUE!</v>
      </c>
      <c r="N105" s="16" t="e">
        <f t="shared" si="20"/>
        <v>#VALUE!</v>
      </c>
      <c r="O105" s="16" t="str">
        <f t="shared" si="21"/>
        <v>Other</v>
      </c>
      <c r="P105" s="16" t="str">
        <f t="shared" si="16"/>
        <v/>
      </c>
      <c r="R105" s="17"/>
      <c r="S105" s="8" t="str">
        <v/>
      </c>
      <c r="T105" s="18" t="str">
        <f>IFERROR( IF( COUNTIF($R$2:R105,R105)=1, IF(VALUE(R105)=0,"",VALUE(R105)), "" ), "" )</f>
        <v/>
      </c>
      <c r="U105" s="8" t="str">
        <f t="shared" si="17"/>
        <v/>
      </c>
      <c r="V105" s="26"/>
      <c r="W105" s="19"/>
      <c r="X105" s="19"/>
      <c r="Y105" s="7"/>
    </row>
    <row r="106" spans="1:25" ht="25.05" customHeight="1" x14ac:dyDescent="0.45">
      <c r="A106" s="2"/>
      <c r="B106" s="2"/>
      <c r="C106" s="2"/>
      <c r="D106" s="3"/>
      <c r="E106" s="2"/>
      <c r="F106" s="2"/>
      <c r="G106" s="2"/>
      <c r="H106" s="2"/>
      <c r="K106" s="15" t="e">
        <f t="shared" si="18"/>
        <v>#VALUE!</v>
      </c>
      <c r="L106" s="15" t="e">
        <f t="shared" si="19"/>
        <v>#VALUE!</v>
      </c>
      <c r="M106" s="16" t="e">
        <f t="shared" si="13"/>
        <v>#VALUE!</v>
      </c>
      <c r="N106" s="16" t="e">
        <f t="shared" si="20"/>
        <v>#VALUE!</v>
      </c>
      <c r="O106" s="16" t="str">
        <f t="shared" si="21"/>
        <v>Other</v>
      </c>
      <c r="P106" s="16" t="str">
        <f t="shared" si="16"/>
        <v/>
      </c>
      <c r="R106" s="17"/>
      <c r="S106" s="8" t="str">
        <v/>
      </c>
      <c r="T106" s="18" t="str">
        <f>IFERROR( IF( COUNTIF($R$2:R106,R106)=1, IF(VALUE(R106)=0,"",VALUE(R106)), "" ), "" )</f>
        <v/>
      </c>
      <c r="U106" s="8" t="str">
        <f t="shared" si="17"/>
        <v/>
      </c>
      <c r="V106" s="26"/>
      <c r="W106" s="19"/>
      <c r="X106" s="19"/>
      <c r="Y106" s="7"/>
    </row>
    <row r="107" spans="1:25" ht="25.05" customHeight="1" x14ac:dyDescent="0.45">
      <c r="A107" s="2"/>
      <c r="B107" s="2"/>
      <c r="C107" s="2"/>
      <c r="D107" s="3"/>
      <c r="E107" s="2"/>
      <c r="F107" s="2"/>
      <c r="G107" s="2"/>
      <c r="H107" s="2"/>
      <c r="K107" s="15" t="e">
        <f t="shared" si="18"/>
        <v>#VALUE!</v>
      </c>
      <c r="L107" s="15" t="e">
        <f t="shared" si="19"/>
        <v>#VALUE!</v>
      </c>
      <c r="M107" s="16" t="e">
        <f t="shared" si="13"/>
        <v>#VALUE!</v>
      </c>
      <c r="N107" s="16" t="e">
        <f t="shared" si="20"/>
        <v>#VALUE!</v>
      </c>
      <c r="O107" s="16" t="str">
        <f t="shared" si="21"/>
        <v>Other</v>
      </c>
      <c r="P107" s="16" t="str">
        <f t="shared" si="16"/>
        <v/>
      </c>
      <c r="R107" s="17"/>
      <c r="S107" s="8" t="str">
        <v/>
      </c>
      <c r="T107" s="18" t="str">
        <f>IFERROR( IF( COUNTIF($R$2:R107,R107)=1, IF(VALUE(R107)=0,"",VALUE(R107)), "" ), "" )</f>
        <v/>
      </c>
      <c r="U107" s="8" t="str">
        <f t="shared" si="17"/>
        <v/>
      </c>
      <c r="V107" s="26"/>
      <c r="W107" s="19"/>
      <c r="X107" s="19"/>
      <c r="Y107" s="7"/>
    </row>
    <row r="108" spans="1:25" ht="25.05" customHeight="1" x14ac:dyDescent="0.45">
      <c r="A108" s="2"/>
      <c r="B108" s="2"/>
      <c r="C108" s="2"/>
      <c r="D108" s="3"/>
      <c r="E108" s="2"/>
      <c r="F108" s="2"/>
      <c r="G108" s="2"/>
      <c r="H108" s="2"/>
      <c r="K108" s="15" t="e">
        <f t="shared" si="18"/>
        <v>#VALUE!</v>
      </c>
      <c r="L108" s="15" t="e">
        <f t="shared" si="19"/>
        <v>#VALUE!</v>
      </c>
      <c r="M108" s="16" t="e">
        <f t="shared" si="13"/>
        <v>#VALUE!</v>
      </c>
      <c r="N108" s="16" t="e">
        <f t="shared" si="20"/>
        <v>#VALUE!</v>
      </c>
      <c r="O108" s="16" t="str">
        <f t="shared" si="21"/>
        <v>Other</v>
      </c>
      <c r="P108" s="16" t="str">
        <f t="shared" si="16"/>
        <v/>
      </c>
      <c r="R108" s="17"/>
      <c r="S108" s="8" t="str">
        <v/>
      </c>
      <c r="T108" s="18" t="str">
        <f>IFERROR( IF( COUNTIF($R$2:R108,R108)=1, IF(VALUE(R108)=0,"",VALUE(R108)), "" ), "" )</f>
        <v/>
      </c>
      <c r="U108" s="8" t="str">
        <f t="shared" si="17"/>
        <v/>
      </c>
      <c r="V108" s="26"/>
      <c r="W108" s="19"/>
      <c r="X108" s="19"/>
      <c r="Y108" s="7"/>
    </row>
    <row r="109" spans="1:25" ht="25.05" customHeight="1" x14ac:dyDescent="0.45">
      <c r="A109" s="2"/>
      <c r="B109" s="2"/>
      <c r="C109" s="2"/>
      <c r="D109" s="3"/>
      <c r="E109" s="2"/>
      <c r="F109" s="2"/>
      <c r="G109" s="2"/>
      <c r="H109" s="2"/>
      <c r="K109" s="15" t="e">
        <f t="shared" si="18"/>
        <v>#VALUE!</v>
      </c>
      <c r="L109" s="15" t="e">
        <f t="shared" si="19"/>
        <v>#VALUE!</v>
      </c>
      <c r="M109" s="16" t="e">
        <f t="shared" si="13"/>
        <v>#VALUE!</v>
      </c>
      <c r="N109" s="16" t="e">
        <f t="shared" si="20"/>
        <v>#VALUE!</v>
      </c>
      <c r="O109" s="16" t="str">
        <f t="shared" si="21"/>
        <v>Other</v>
      </c>
      <c r="P109" s="16" t="str">
        <f t="shared" si="16"/>
        <v/>
      </c>
      <c r="R109" s="17"/>
      <c r="S109" s="8" t="str">
        <v/>
      </c>
      <c r="T109" s="18" t="str">
        <f>IFERROR( IF( COUNTIF($R$2:R109,R109)=1, IF(VALUE(R109)=0,"",VALUE(R109)), "" ), "" )</f>
        <v/>
      </c>
      <c r="U109" s="8" t="str">
        <f t="shared" si="17"/>
        <v/>
      </c>
      <c r="V109" s="26"/>
      <c r="W109" s="19"/>
      <c r="X109" s="19"/>
      <c r="Y109" s="7"/>
    </row>
    <row r="110" spans="1:25" ht="25.05" customHeight="1" x14ac:dyDescent="0.45">
      <c r="A110" s="2"/>
      <c r="B110" s="2"/>
      <c r="C110" s="2"/>
      <c r="D110" s="3"/>
      <c r="E110" s="2"/>
      <c r="F110" s="2"/>
      <c r="G110" s="2"/>
      <c r="H110" s="2"/>
      <c r="K110" s="15" t="e">
        <f t="shared" si="18"/>
        <v>#VALUE!</v>
      </c>
      <c r="L110" s="15" t="e">
        <f t="shared" si="19"/>
        <v>#VALUE!</v>
      </c>
      <c r="M110" s="16" t="e">
        <f t="shared" si="13"/>
        <v>#VALUE!</v>
      </c>
      <c r="N110" s="16" t="e">
        <f t="shared" si="20"/>
        <v>#VALUE!</v>
      </c>
      <c r="O110" s="16" t="str">
        <f t="shared" si="21"/>
        <v>Other</v>
      </c>
      <c r="P110" s="16" t="str">
        <f t="shared" si="16"/>
        <v/>
      </c>
      <c r="R110" s="17"/>
      <c r="S110" s="8" t="str">
        <v/>
      </c>
      <c r="T110" s="18" t="str">
        <f>IFERROR( IF( COUNTIF($R$2:R110,R110)=1, IF(VALUE(R110)=0,"",VALUE(R110)), "" ), "" )</f>
        <v/>
      </c>
      <c r="U110" s="8" t="str">
        <f t="shared" si="17"/>
        <v/>
      </c>
      <c r="V110" s="26"/>
      <c r="W110" s="19"/>
      <c r="X110" s="19"/>
      <c r="Y110" s="7"/>
    </row>
    <row r="111" spans="1:25" ht="25.05" customHeight="1" x14ac:dyDescent="0.45">
      <c r="A111" s="2"/>
      <c r="B111" s="2"/>
      <c r="C111" s="2"/>
      <c r="D111" s="3"/>
      <c r="E111" s="2"/>
      <c r="F111" s="2"/>
      <c r="G111" s="2"/>
      <c r="H111" s="2"/>
      <c r="K111" s="15" t="e">
        <f t="shared" si="18"/>
        <v>#VALUE!</v>
      </c>
      <c r="L111" s="15" t="e">
        <f t="shared" si="19"/>
        <v>#VALUE!</v>
      </c>
      <c r="M111" s="16" t="e">
        <f t="shared" si="13"/>
        <v>#VALUE!</v>
      </c>
      <c r="N111" s="16" t="e">
        <f t="shared" si="20"/>
        <v>#VALUE!</v>
      </c>
      <c r="O111" s="16" t="str">
        <f t="shared" si="21"/>
        <v>Other</v>
      </c>
      <c r="P111" s="16" t="str">
        <f t="shared" si="16"/>
        <v/>
      </c>
      <c r="R111" s="17"/>
      <c r="S111" s="8" t="str">
        <v/>
      </c>
      <c r="T111" s="18" t="str">
        <f>IFERROR( IF( COUNTIF($R$2:R111,R111)=1, IF(VALUE(R111)=0,"",VALUE(R111)), "" ), "" )</f>
        <v/>
      </c>
      <c r="U111" s="8" t="str">
        <f t="shared" si="17"/>
        <v/>
      </c>
      <c r="V111" s="26"/>
      <c r="W111" s="19"/>
      <c r="X111" s="19"/>
      <c r="Y111" s="7"/>
    </row>
    <row r="112" spans="1:25" ht="25.05" customHeight="1" x14ac:dyDescent="0.45">
      <c r="A112" s="2"/>
      <c r="B112" s="2"/>
      <c r="C112" s="2"/>
      <c r="D112" s="3"/>
      <c r="E112" s="2"/>
      <c r="F112" s="2"/>
      <c r="G112" s="2"/>
      <c r="H112" s="2"/>
      <c r="K112" s="15" t="e">
        <f t="shared" si="18"/>
        <v>#VALUE!</v>
      </c>
      <c r="L112" s="15" t="e">
        <f t="shared" si="19"/>
        <v>#VALUE!</v>
      </c>
      <c r="M112" s="16" t="e">
        <f t="shared" si="13"/>
        <v>#VALUE!</v>
      </c>
      <c r="N112" s="16" t="e">
        <f t="shared" si="20"/>
        <v>#VALUE!</v>
      </c>
      <c r="O112" s="16" t="str">
        <f t="shared" si="21"/>
        <v>Other</v>
      </c>
      <c r="P112" s="16" t="str">
        <f t="shared" si="16"/>
        <v/>
      </c>
      <c r="R112" s="17"/>
      <c r="S112" s="8" t="str">
        <v/>
      </c>
      <c r="T112" s="18" t="str">
        <f>IFERROR( IF( COUNTIF($R$2:R112,R112)=1, IF(VALUE(R112)=0,"",VALUE(R112)), "" ), "" )</f>
        <v/>
      </c>
      <c r="U112" s="8" t="str">
        <f t="shared" si="17"/>
        <v/>
      </c>
      <c r="V112" s="26"/>
      <c r="W112" s="19"/>
      <c r="X112" s="19"/>
      <c r="Y112" s="7"/>
    </row>
    <row r="113" spans="1:25" ht="25.05" customHeight="1" x14ac:dyDescent="0.45">
      <c r="A113" s="2"/>
      <c r="B113" s="2"/>
      <c r="C113" s="2"/>
      <c r="D113" s="3"/>
      <c r="E113" s="2"/>
      <c r="F113" s="2"/>
      <c r="G113" s="2"/>
      <c r="H113" s="2"/>
      <c r="K113" s="15" t="e">
        <f t="shared" si="18"/>
        <v>#VALUE!</v>
      </c>
      <c r="L113" s="15" t="e">
        <f t="shared" si="19"/>
        <v>#VALUE!</v>
      </c>
      <c r="M113" s="16" t="e">
        <f t="shared" si="13"/>
        <v>#VALUE!</v>
      </c>
      <c r="N113" s="16" t="e">
        <f t="shared" si="20"/>
        <v>#VALUE!</v>
      </c>
      <c r="O113" s="16" t="str">
        <f t="shared" si="21"/>
        <v>Other</v>
      </c>
      <c r="P113" s="16" t="str">
        <f t="shared" si="16"/>
        <v/>
      </c>
      <c r="R113" s="17"/>
      <c r="S113" s="8" t="str">
        <v/>
      </c>
      <c r="T113" s="18" t="str">
        <f>IFERROR( IF( COUNTIF($R$2:R113,R113)=1, IF(VALUE(R113)=0,"",VALUE(R113)), "" ), "" )</f>
        <v/>
      </c>
      <c r="U113" s="8" t="str">
        <f t="shared" si="17"/>
        <v/>
      </c>
      <c r="V113" s="26"/>
      <c r="W113" s="19"/>
      <c r="X113" s="19"/>
      <c r="Y113" s="7"/>
    </row>
    <row r="114" spans="1:25" ht="25.05" customHeight="1" x14ac:dyDescent="0.45">
      <c r="A114" s="2"/>
      <c r="B114" s="2"/>
      <c r="C114" s="2"/>
      <c r="D114" s="3"/>
      <c r="E114" s="2"/>
      <c r="F114" s="2"/>
      <c r="G114" s="2"/>
      <c r="H114" s="2"/>
      <c r="K114" s="15" t="e">
        <f t="shared" si="18"/>
        <v>#VALUE!</v>
      </c>
      <c r="L114" s="15" t="e">
        <f t="shared" si="19"/>
        <v>#VALUE!</v>
      </c>
      <c r="M114" s="16" t="e">
        <f t="shared" si="13"/>
        <v>#VALUE!</v>
      </c>
      <c r="N114" s="16" t="e">
        <f t="shared" si="20"/>
        <v>#VALUE!</v>
      </c>
      <c r="O114" s="16" t="str">
        <f t="shared" si="21"/>
        <v>Other</v>
      </c>
      <c r="P114" s="16" t="str">
        <f t="shared" si="16"/>
        <v/>
      </c>
      <c r="R114" s="17"/>
      <c r="S114" s="8" t="str">
        <v/>
      </c>
      <c r="T114" s="18" t="str">
        <f>IFERROR( IF( COUNTIF($R$2:R114,R114)=1, IF(VALUE(R114)=0,"",VALUE(R114)), "" ), "" )</f>
        <v/>
      </c>
      <c r="U114" s="8" t="str">
        <f t="shared" si="17"/>
        <v/>
      </c>
      <c r="V114" s="26"/>
      <c r="W114" s="19"/>
      <c r="X114" s="19"/>
      <c r="Y114" s="7"/>
    </row>
    <row r="115" spans="1:25" ht="25.05" customHeight="1" x14ac:dyDescent="0.45">
      <c r="A115" s="2"/>
      <c r="B115" s="2"/>
      <c r="C115" s="2"/>
      <c r="D115" s="3"/>
      <c r="E115" s="2"/>
      <c r="F115" s="2"/>
      <c r="G115" s="2"/>
      <c r="H115" s="2"/>
      <c r="K115" s="15" t="e">
        <f t="shared" si="18"/>
        <v>#VALUE!</v>
      </c>
      <c r="L115" s="15" t="e">
        <f t="shared" si="19"/>
        <v>#VALUE!</v>
      </c>
      <c r="M115" s="16" t="e">
        <f t="shared" si="13"/>
        <v>#VALUE!</v>
      </c>
      <c r="N115" s="16" t="e">
        <f t="shared" si="20"/>
        <v>#VALUE!</v>
      </c>
      <c r="O115" s="16" t="str">
        <f t="shared" si="21"/>
        <v>Other</v>
      </c>
      <c r="P115" s="16" t="str">
        <f t="shared" si="16"/>
        <v/>
      </c>
      <c r="R115" s="17"/>
      <c r="S115" s="8" t="str">
        <v/>
      </c>
      <c r="T115" s="18" t="str">
        <f>IFERROR( IF( COUNTIF($R$2:R115,R115)=1, IF(VALUE(R115)=0,"",VALUE(R115)), "" ), "" )</f>
        <v/>
      </c>
      <c r="U115" s="8" t="str">
        <f t="shared" si="17"/>
        <v/>
      </c>
      <c r="V115" s="26"/>
      <c r="W115" s="19"/>
      <c r="X115" s="19"/>
      <c r="Y115" s="7"/>
    </row>
    <row r="116" spans="1:25" ht="25.05" customHeight="1" x14ac:dyDescent="0.45">
      <c r="A116" s="2"/>
      <c r="B116" s="2"/>
      <c r="C116" s="2"/>
      <c r="D116" s="3"/>
      <c r="E116" s="2"/>
      <c r="F116" s="2"/>
      <c r="G116" s="2"/>
      <c r="H116" s="2"/>
      <c r="K116" s="15" t="e">
        <f t="shared" si="18"/>
        <v>#VALUE!</v>
      </c>
      <c r="L116" s="15" t="e">
        <f t="shared" si="19"/>
        <v>#VALUE!</v>
      </c>
      <c r="M116" s="16" t="e">
        <f t="shared" si="13"/>
        <v>#VALUE!</v>
      </c>
      <c r="N116" s="16" t="e">
        <f t="shared" si="20"/>
        <v>#VALUE!</v>
      </c>
      <c r="O116" s="16" t="str">
        <f t="shared" si="21"/>
        <v>Other</v>
      </c>
      <c r="P116" s="16" t="str">
        <f t="shared" si="16"/>
        <v/>
      </c>
      <c r="R116" s="17"/>
      <c r="S116" s="8" t="str">
        <v/>
      </c>
      <c r="T116" s="18" t="str">
        <f>IFERROR( IF( COUNTIF($R$2:R116,R116)=1, IF(VALUE(R116)=0,"",VALUE(R116)), "" ), "" )</f>
        <v/>
      </c>
      <c r="U116" s="8" t="str">
        <f t="shared" si="17"/>
        <v/>
      </c>
      <c r="V116" s="26"/>
      <c r="W116" s="19"/>
      <c r="X116" s="19"/>
      <c r="Y116" s="7"/>
    </row>
    <row r="117" spans="1:25" ht="25.05" customHeight="1" x14ac:dyDescent="0.45">
      <c r="A117" s="2"/>
      <c r="B117" s="2"/>
      <c r="C117" s="2"/>
      <c r="D117" s="3"/>
      <c r="E117" s="2"/>
      <c r="F117" s="2"/>
      <c r="G117" s="2"/>
      <c r="H117" s="2"/>
      <c r="K117" s="15" t="e">
        <f t="shared" si="18"/>
        <v>#VALUE!</v>
      </c>
      <c r="L117" s="15" t="e">
        <f t="shared" si="19"/>
        <v>#VALUE!</v>
      </c>
      <c r="M117" s="16" t="e">
        <f t="shared" si="13"/>
        <v>#VALUE!</v>
      </c>
      <c r="N117" s="16" t="e">
        <f t="shared" si="20"/>
        <v>#VALUE!</v>
      </c>
      <c r="O117" s="16" t="str">
        <f t="shared" si="21"/>
        <v>Other</v>
      </c>
      <c r="P117" s="16" t="str">
        <f t="shared" si="16"/>
        <v/>
      </c>
      <c r="R117" s="17"/>
      <c r="S117" s="8" t="str">
        <v/>
      </c>
      <c r="T117" s="18" t="str">
        <f>IFERROR( IF( COUNTIF($R$2:R117,R117)=1, IF(VALUE(R117)=0,"",VALUE(R117)), "" ), "" )</f>
        <v/>
      </c>
      <c r="U117" s="8" t="str">
        <f t="shared" si="17"/>
        <v/>
      </c>
      <c r="V117" s="26"/>
      <c r="W117" s="19"/>
      <c r="X117" s="19"/>
      <c r="Y117" s="7"/>
    </row>
    <row r="118" spans="1:25" ht="25.05" customHeight="1" x14ac:dyDescent="0.45">
      <c r="A118" s="2"/>
      <c r="B118" s="2"/>
      <c r="C118" s="2"/>
      <c r="D118" s="3"/>
      <c r="E118" s="2"/>
      <c r="F118" s="2"/>
      <c r="G118" s="2"/>
      <c r="H118" s="2"/>
      <c r="K118" s="15" t="e">
        <f t="shared" si="18"/>
        <v>#VALUE!</v>
      </c>
      <c r="L118" s="15" t="e">
        <f t="shared" si="19"/>
        <v>#VALUE!</v>
      </c>
      <c r="M118" s="16" t="e">
        <f t="shared" si="13"/>
        <v>#VALUE!</v>
      </c>
      <c r="N118" s="16" t="e">
        <f t="shared" si="20"/>
        <v>#VALUE!</v>
      </c>
      <c r="O118" s="16" t="str">
        <f t="shared" si="21"/>
        <v>Other</v>
      </c>
      <c r="P118" s="16" t="str">
        <f t="shared" si="16"/>
        <v/>
      </c>
      <c r="R118" s="17"/>
      <c r="S118" s="8" t="str">
        <v/>
      </c>
      <c r="T118" s="18" t="str">
        <f>IFERROR( IF( COUNTIF($R$2:R118,R118)=1, IF(VALUE(R118)=0,"",VALUE(R118)), "" ), "" )</f>
        <v/>
      </c>
      <c r="U118" s="8" t="str">
        <f t="shared" si="17"/>
        <v/>
      </c>
      <c r="V118" s="26"/>
      <c r="W118" s="19"/>
      <c r="X118" s="19"/>
      <c r="Y118" s="7"/>
    </row>
    <row r="119" spans="1:25" ht="25.05" customHeight="1" x14ac:dyDescent="0.45">
      <c r="A119" s="2"/>
      <c r="B119" s="2"/>
      <c r="C119" s="2"/>
      <c r="D119" s="3"/>
      <c r="E119" s="2"/>
      <c r="F119" s="2"/>
      <c r="G119" s="2"/>
      <c r="H119" s="2"/>
      <c r="K119" s="15" t="e">
        <f t="shared" si="18"/>
        <v>#VALUE!</v>
      </c>
      <c r="L119" s="15" t="e">
        <f t="shared" si="19"/>
        <v>#VALUE!</v>
      </c>
      <c r="M119" s="16" t="e">
        <f t="shared" si="13"/>
        <v>#VALUE!</v>
      </c>
      <c r="N119" s="16" t="e">
        <f t="shared" si="20"/>
        <v>#VALUE!</v>
      </c>
      <c r="O119" s="16" t="str">
        <f t="shared" si="21"/>
        <v>Other</v>
      </c>
      <c r="P119" s="16" t="str">
        <f t="shared" si="16"/>
        <v/>
      </c>
      <c r="R119" s="17"/>
      <c r="S119" s="8" t="str">
        <v/>
      </c>
      <c r="T119" s="18" t="str">
        <f>IFERROR( IF( COUNTIF($R$2:R119,R119)=1, IF(VALUE(R119)=0,"",VALUE(R119)), "" ), "" )</f>
        <v/>
      </c>
      <c r="U119" s="8" t="str">
        <f t="shared" si="17"/>
        <v/>
      </c>
      <c r="V119" s="26"/>
      <c r="W119" s="19"/>
      <c r="X119" s="19"/>
      <c r="Y119" s="7"/>
    </row>
    <row r="120" spans="1:25" ht="25.05" customHeight="1" x14ac:dyDescent="0.45">
      <c r="A120" s="2"/>
      <c r="B120" s="2"/>
      <c r="C120" s="2"/>
      <c r="D120" s="3"/>
      <c r="E120" s="2"/>
      <c r="F120" s="2"/>
      <c r="G120" s="2"/>
      <c r="H120" s="2"/>
      <c r="K120" s="15" t="e">
        <f t="shared" si="18"/>
        <v>#VALUE!</v>
      </c>
      <c r="L120" s="15" t="e">
        <f t="shared" si="19"/>
        <v>#VALUE!</v>
      </c>
      <c r="M120" s="16" t="e">
        <f t="shared" si="13"/>
        <v>#VALUE!</v>
      </c>
      <c r="N120" s="16" t="e">
        <f t="shared" si="20"/>
        <v>#VALUE!</v>
      </c>
      <c r="O120" s="16" t="str">
        <f t="shared" si="21"/>
        <v>Other</v>
      </c>
      <c r="P120" s="16" t="str">
        <f t="shared" si="16"/>
        <v/>
      </c>
      <c r="R120" s="17"/>
      <c r="S120" s="8" t="str">
        <v/>
      </c>
      <c r="T120" s="18" t="str">
        <f>IFERROR( IF( COUNTIF($R$2:R120,R120)=1, IF(VALUE(R120)=0,"",VALUE(R120)), "" ), "" )</f>
        <v/>
      </c>
      <c r="U120" s="8" t="str">
        <f t="shared" si="17"/>
        <v/>
      </c>
      <c r="V120" s="26"/>
      <c r="W120" s="19"/>
      <c r="X120" s="19"/>
      <c r="Y120" s="7"/>
    </row>
    <row r="121" spans="1:25" ht="25.05" customHeight="1" x14ac:dyDescent="0.45">
      <c r="A121" s="2"/>
      <c r="B121" s="2"/>
      <c r="C121" s="2"/>
      <c r="D121" s="3"/>
      <c r="E121" s="2"/>
      <c r="F121" s="2"/>
      <c r="G121" s="2"/>
      <c r="H121" s="2"/>
      <c r="K121" s="15" t="e">
        <f t="shared" si="18"/>
        <v>#VALUE!</v>
      </c>
      <c r="L121" s="15" t="e">
        <f t="shared" si="19"/>
        <v>#VALUE!</v>
      </c>
      <c r="M121" s="16" t="e">
        <f t="shared" si="13"/>
        <v>#VALUE!</v>
      </c>
      <c r="N121" s="16" t="e">
        <f t="shared" si="20"/>
        <v>#VALUE!</v>
      </c>
      <c r="O121" s="16" t="str">
        <f t="shared" si="21"/>
        <v>Other</v>
      </c>
      <c r="P121" s="16" t="str">
        <f t="shared" si="16"/>
        <v/>
      </c>
      <c r="R121" s="17"/>
      <c r="S121" s="8" t="str">
        <v/>
      </c>
      <c r="T121" s="18" t="str">
        <f>IFERROR( IF( COUNTIF($R$2:R121,R121)=1, IF(VALUE(R121)=0,"",VALUE(R121)), "" ), "" )</f>
        <v/>
      </c>
      <c r="U121" s="8" t="str">
        <f t="shared" si="17"/>
        <v/>
      </c>
      <c r="V121" s="26"/>
      <c r="W121" s="19"/>
      <c r="X121" s="19"/>
      <c r="Y121" s="7"/>
    </row>
    <row r="122" spans="1:25" ht="25.05" customHeight="1" x14ac:dyDescent="0.45">
      <c r="A122" s="2"/>
      <c r="B122" s="2"/>
      <c r="C122" s="2"/>
      <c r="D122" s="3"/>
      <c r="E122" s="2"/>
      <c r="F122" s="2"/>
      <c r="G122" s="2"/>
      <c r="H122" s="2"/>
      <c r="K122" s="15" t="e">
        <f t="shared" si="18"/>
        <v>#VALUE!</v>
      </c>
      <c r="L122" s="15" t="e">
        <f t="shared" si="19"/>
        <v>#VALUE!</v>
      </c>
      <c r="M122" s="16" t="e">
        <f t="shared" si="13"/>
        <v>#VALUE!</v>
      </c>
      <c r="N122" s="16" t="e">
        <f t="shared" si="20"/>
        <v>#VALUE!</v>
      </c>
      <c r="O122" s="16" t="str">
        <f t="shared" si="21"/>
        <v>Other</v>
      </c>
      <c r="P122" s="16" t="str">
        <f t="shared" si="16"/>
        <v/>
      </c>
      <c r="R122" s="17"/>
      <c r="S122" s="8" t="str">
        <v/>
      </c>
      <c r="T122" s="18" t="str">
        <f>IFERROR( IF( COUNTIF($R$2:R122,R122)=1, IF(VALUE(R122)=0,"",VALUE(R122)), "" ), "" )</f>
        <v/>
      </c>
      <c r="U122" s="8" t="str">
        <f t="shared" si="17"/>
        <v/>
      </c>
      <c r="V122" s="26"/>
      <c r="W122" s="19"/>
      <c r="X122" s="19"/>
      <c r="Y122" s="7"/>
    </row>
    <row r="123" spans="1:25" ht="25.05" customHeight="1" x14ac:dyDescent="0.45">
      <c r="A123" s="2"/>
      <c r="B123" s="2"/>
      <c r="C123" s="2"/>
      <c r="D123" s="3"/>
      <c r="E123" s="2"/>
      <c r="F123" s="2"/>
      <c r="G123" s="2"/>
      <c r="H123" s="2"/>
      <c r="K123" s="15" t="e">
        <f t="shared" si="18"/>
        <v>#VALUE!</v>
      </c>
      <c r="L123" s="15" t="e">
        <f t="shared" si="19"/>
        <v>#VALUE!</v>
      </c>
      <c r="M123" s="16" t="e">
        <f t="shared" si="13"/>
        <v>#VALUE!</v>
      </c>
      <c r="N123" s="16" t="e">
        <f t="shared" si="20"/>
        <v>#VALUE!</v>
      </c>
      <c r="O123" s="16" t="str">
        <f t="shared" si="21"/>
        <v>Other</v>
      </c>
      <c r="P123" s="16" t="str">
        <f t="shared" si="16"/>
        <v/>
      </c>
      <c r="R123" s="17"/>
      <c r="S123" s="8" t="str">
        <v/>
      </c>
      <c r="T123" s="18" t="str">
        <f>IFERROR( IF( COUNTIF($R$2:R123,R123)=1, IF(VALUE(R123)=0,"",VALUE(R123)), "" ), "" )</f>
        <v/>
      </c>
      <c r="U123" s="8" t="str">
        <f t="shared" si="17"/>
        <v/>
      </c>
      <c r="V123" s="26"/>
      <c r="W123" s="19"/>
      <c r="X123" s="19"/>
      <c r="Y123" s="7"/>
    </row>
    <row r="124" spans="1:25" ht="25.05" customHeight="1" x14ac:dyDescent="0.45">
      <c r="A124" s="2"/>
      <c r="B124" s="2"/>
      <c r="C124" s="2"/>
      <c r="D124" s="3"/>
      <c r="E124" s="2"/>
      <c r="F124" s="2"/>
      <c r="G124" s="2"/>
      <c r="H124" s="2"/>
      <c r="K124" s="15" t="e">
        <f t="shared" si="18"/>
        <v>#VALUE!</v>
      </c>
      <c r="L124" s="15" t="e">
        <f t="shared" si="19"/>
        <v>#VALUE!</v>
      </c>
      <c r="M124" s="16" t="e">
        <f t="shared" si="13"/>
        <v>#VALUE!</v>
      </c>
      <c r="N124" s="16" t="e">
        <f t="shared" si="20"/>
        <v>#VALUE!</v>
      </c>
      <c r="O124" s="16" t="str">
        <f t="shared" si="21"/>
        <v>Other</v>
      </c>
      <c r="P124" s="16" t="str">
        <f t="shared" si="16"/>
        <v/>
      </c>
      <c r="R124" s="17"/>
      <c r="S124" s="8" t="str">
        <v/>
      </c>
      <c r="T124" s="18" t="str">
        <f>IFERROR( IF( COUNTIF($R$2:R124,R124)=1, IF(VALUE(R124)=0,"",VALUE(R124)), "" ), "" )</f>
        <v/>
      </c>
      <c r="U124" s="8" t="str">
        <f t="shared" si="17"/>
        <v/>
      </c>
      <c r="V124" s="26"/>
      <c r="W124" s="19"/>
      <c r="X124" s="19"/>
      <c r="Y124" s="7"/>
    </row>
    <row r="125" spans="1:25" ht="25.05" customHeight="1" x14ac:dyDescent="0.45">
      <c r="A125" s="2"/>
      <c r="B125" s="2"/>
      <c r="C125" s="2"/>
      <c r="D125" s="3"/>
      <c r="E125" s="2"/>
      <c r="F125" s="2"/>
      <c r="G125" s="2"/>
      <c r="H125" s="2"/>
      <c r="K125" s="15" t="e">
        <f t="shared" si="18"/>
        <v>#VALUE!</v>
      </c>
      <c r="L125" s="15" t="e">
        <f t="shared" si="19"/>
        <v>#VALUE!</v>
      </c>
      <c r="M125" s="16" t="e">
        <f t="shared" si="13"/>
        <v>#VALUE!</v>
      </c>
      <c r="N125" s="16" t="e">
        <f t="shared" si="20"/>
        <v>#VALUE!</v>
      </c>
      <c r="O125" s="16" t="str">
        <f t="shared" si="21"/>
        <v>Other</v>
      </c>
      <c r="P125" s="16" t="str">
        <f t="shared" si="16"/>
        <v/>
      </c>
      <c r="R125" s="17"/>
      <c r="S125" s="8" t="str">
        <v/>
      </c>
      <c r="T125" s="18" t="str">
        <f>IFERROR( IF( COUNTIF($R$2:R125,R125)=1, IF(VALUE(R125)=0,"",VALUE(R125)), "" ), "" )</f>
        <v/>
      </c>
      <c r="U125" s="8" t="str">
        <f t="shared" si="17"/>
        <v/>
      </c>
      <c r="V125" s="26"/>
      <c r="W125" s="19"/>
      <c r="X125" s="19"/>
      <c r="Y125" s="7"/>
    </row>
    <row r="126" spans="1:25" ht="25.05" customHeight="1" x14ac:dyDescent="0.45">
      <c r="A126" s="2"/>
      <c r="B126" s="2"/>
      <c r="C126" s="2"/>
      <c r="D126" s="3"/>
      <c r="E126" s="2"/>
      <c r="F126" s="2"/>
      <c r="G126" s="2"/>
      <c r="H126" s="2"/>
      <c r="K126" s="15" t="e">
        <f t="shared" si="18"/>
        <v>#VALUE!</v>
      </c>
      <c r="L126" s="15" t="e">
        <f t="shared" si="19"/>
        <v>#VALUE!</v>
      </c>
      <c r="M126" s="16" t="e">
        <f t="shared" si="13"/>
        <v>#VALUE!</v>
      </c>
      <c r="N126" s="16" t="e">
        <f t="shared" si="20"/>
        <v>#VALUE!</v>
      </c>
      <c r="O126" s="16" t="str">
        <f t="shared" si="21"/>
        <v>Other</v>
      </c>
      <c r="P126" s="16" t="str">
        <f t="shared" si="16"/>
        <v/>
      </c>
      <c r="R126" s="17"/>
      <c r="S126" s="8" t="str">
        <v/>
      </c>
      <c r="T126" s="18" t="str">
        <f>IFERROR( IF( COUNTIF($R$2:R126,R126)=1, IF(VALUE(R126)=0,"",VALUE(R126)), "" ), "" )</f>
        <v/>
      </c>
      <c r="U126" s="8" t="str">
        <f t="shared" si="17"/>
        <v/>
      </c>
      <c r="V126" s="26"/>
      <c r="W126" s="19"/>
      <c r="X126" s="19"/>
      <c r="Y126" s="7"/>
    </row>
    <row r="127" spans="1:25" ht="25.05" customHeight="1" x14ac:dyDescent="0.45">
      <c r="A127" s="2"/>
      <c r="B127" s="2"/>
      <c r="C127" s="2"/>
      <c r="D127" s="3"/>
      <c r="E127" s="2"/>
      <c r="F127" s="2"/>
      <c r="G127" s="2"/>
      <c r="H127" s="2"/>
      <c r="K127" s="15" t="e">
        <f t="shared" si="18"/>
        <v>#VALUE!</v>
      </c>
      <c r="L127" s="15" t="e">
        <f t="shared" si="19"/>
        <v>#VALUE!</v>
      </c>
      <c r="M127" s="16" t="e">
        <f t="shared" si="13"/>
        <v>#VALUE!</v>
      </c>
      <c r="N127" s="16" t="e">
        <f t="shared" si="20"/>
        <v>#VALUE!</v>
      </c>
      <c r="O127" s="16" t="str">
        <f t="shared" si="21"/>
        <v>Other</v>
      </c>
      <c r="P127" s="16" t="str">
        <f t="shared" si="16"/>
        <v/>
      </c>
      <c r="R127" s="17"/>
      <c r="S127" s="8" t="str">
        <v/>
      </c>
      <c r="T127" s="18" t="str">
        <f>IFERROR( IF( COUNTIF($R$2:R127,R127)=1, IF(VALUE(R127)=0,"",VALUE(R127)), "" ), "" )</f>
        <v/>
      </c>
      <c r="U127" s="8" t="str">
        <f t="shared" si="17"/>
        <v/>
      </c>
      <c r="V127" s="26"/>
      <c r="W127" s="19"/>
      <c r="X127" s="19"/>
      <c r="Y127" s="7"/>
    </row>
    <row r="128" spans="1:25" ht="25.05" customHeight="1" x14ac:dyDescent="0.45">
      <c r="A128" s="2"/>
      <c r="B128" s="2"/>
      <c r="C128" s="2"/>
      <c r="D128" s="3"/>
      <c r="E128" s="2"/>
      <c r="F128" s="2"/>
      <c r="G128" s="2"/>
      <c r="H128" s="2"/>
      <c r="K128" s="15" t="e">
        <f t="shared" si="18"/>
        <v>#VALUE!</v>
      </c>
      <c r="L128" s="15" t="e">
        <f t="shared" si="19"/>
        <v>#VALUE!</v>
      </c>
      <c r="M128" s="16" t="e">
        <f t="shared" si="13"/>
        <v>#VALUE!</v>
      </c>
      <c r="N128" s="16" t="e">
        <f t="shared" si="20"/>
        <v>#VALUE!</v>
      </c>
      <c r="O128" s="16" t="str">
        <f t="shared" si="21"/>
        <v>Other</v>
      </c>
      <c r="P128" s="16" t="str">
        <f t="shared" si="16"/>
        <v/>
      </c>
      <c r="R128" s="17"/>
      <c r="S128" s="8" t="str">
        <v/>
      </c>
      <c r="T128" s="18" t="str">
        <f>IFERROR( IF( COUNTIF($R$2:R128,R128)=1, IF(VALUE(R128)=0,"",VALUE(R128)), "" ), "" )</f>
        <v/>
      </c>
      <c r="U128" s="8" t="str">
        <f t="shared" si="17"/>
        <v/>
      </c>
      <c r="V128" s="26"/>
      <c r="W128" s="19"/>
      <c r="X128" s="19"/>
      <c r="Y128" s="7"/>
    </row>
    <row r="129" spans="1:25" ht="25.05" customHeight="1" x14ac:dyDescent="0.45">
      <c r="A129" s="2"/>
      <c r="B129" s="2"/>
      <c r="C129" s="2"/>
      <c r="D129" s="3"/>
      <c r="E129" s="2"/>
      <c r="F129" s="2"/>
      <c r="G129" s="2"/>
      <c r="H129" s="2"/>
      <c r="K129" s="15" t="e">
        <f t="shared" si="18"/>
        <v>#VALUE!</v>
      </c>
      <c r="L129" s="15" t="e">
        <f t="shared" si="19"/>
        <v>#VALUE!</v>
      </c>
      <c r="M129" s="16" t="e">
        <f t="shared" si="13"/>
        <v>#VALUE!</v>
      </c>
      <c r="N129" s="16" t="e">
        <f t="shared" si="20"/>
        <v>#VALUE!</v>
      </c>
      <c r="O129" s="16" t="str">
        <f t="shared" si="21"/>
        <v>Other</v>
      </c>
      <c r="P129" s="16" t="str">
        <f t="shared" si="16"/>
        <v/>
      </c>
      <c r="R129" s="17"/>
      <c r="S129" s="8" t="str">
        <v/>
      </c>
      <c r="T129" s="18" t="str">
        <f>IFERROR( IF( COUNTIF($R$2:R129,R129)=1, IF(VALUE(R129)=0,"",VALUE(R129)), "" ), "" )</f>
        <v/>
      </c>
      <c r="U129" s="8" t="str">
        <f t="shared" si="17"/>
        <v/>
      </c>
      <c r="V129" s="26"/>
      <c r="W129" s="19"/>
      <c r="X129" s="19"/>
      <c r="Y129" s="7"/>
    </row>
    <row r="130" spans="1:25" ht="25.05" customHeight="1" x14ac:dyDescent="0.45">
      <c r="A130" s="2"/>
      <c r="B130" s="2"/>
      <c r="C130" s="2"/>
      <c r="D130" s="3"/>
      <c r="E130" s="2"/>
      <c r="F130" s="2"/>
      <c r="G130" s="2"/>
      <c r="H130" s="2"/>
      <c r="K130" s="15" t="e">
        <f t="shared" ref="K130:K166" si="22">LEFT(A130, FIND("-", A130)-1)</f>
        <v>#VALUE!</v>
      </c>
      <c r="L130" s="15" t="e">
        <f t="shared" ref="L130:L161" si="23">LEFT(C130, FIND("-", C130)-1)</f>
        <v>#VALUE!</v>
      </c>
      <c r="M130" s="16" t="e">
        <f t="shared" ref="M130:M193" si="24">MID(G130,FIND("LR-",G130)+3,FIND("-",G130,FIND("LR-",G130)+3)-FIND("LR-",G130)-3)</f>
        <v>#VALUE!</v>
      </c>
      <c r="N130" s="16" t="e">
        <f t="shared" ref="N130:N161" si="25">K130 &amp; " &lt;&gt; " &amp; L130</f>
        <v>#VALUE!</v>
      </c>
      <c r="O130" s="16" t="str">
        <f t="shared" ref="O130:O165" si="26">IF(LEFT(E130, 6)="TenGig", "10G (Ten Gig)", IF(LEFT(E130, 10)="HundredGig", "100G (Hundred Gig)", "Other"))</f>
        <v>Other</v>
      </c>
      <c r="P130" s="16" t="str">
        <f t="shared" ref="P130:P193" si="27">IF(S130&lt;&gt;"",IF(LEFT(S130,FIND(" &lt;&gt; ",S130)-1) &lt; MID(S130,FIND(" &lt;&gt; ",S130)+4,LEN(S130)),LEFT(S130,FIND(" &lt;&gt; ",S130)-1) &amp; " &lt;&gt; " &amp; MID(S130,FIND(" &lt;&gt; ",S130)+4,LEN(S130)),MID(S130,FIND(" &lt;&gt; ",S130)+4,LEN(S130)) &amp; " &lt;&gt; " &amp; LEFT(S130,FIND(" &lt;&gt; ",S130)-1)),"")</f>
        <v/>
      </c>
      <c r="R130" s="17"/>
      <c r="S130" s="8" t="str">
        <v/>
      </c>
      <c r="T130" s="18" t="str">
        <f>IFERROR( IF( COUNTIF($R$2:R130,R130)=1, IF(VALUE(R130)=0,"",VALUE(R130)), "" ), "" )</f>
        <v/>
      </c>
      <c r="U130" s="8" t="str">
        <f t="shared" si="17"/>
        <v/>
      </c>
      <c r="V130" s="26"/>
      <c r="W130" s="19"/>
      <c r="X130" s="19"/>
      <c r="Y130" s="7"/>
    </row>
    <row r="131" spans="1:25" ht="25.05" customHeight="1" x14ac:dyDescent="0.45">
      <c r="A131" s="2"/>
      <c r="B131" s="2"/>
      <c r="C131" s="2"/>
      <c r="D131" s="3"/>
      <c r="E131" s="2"/>
      <c r="F131" s="2"/>
      <c r="G131" s="2"/>
      <c r="H131" s="2"/>
      <c r="K131" s="15" t="e">
        <f t="shared" si="22"/>
        <v>#VALUE!</v>
      </c>
      <c r="L131" s="15" t="e">
        <f t="shared" si="23"/>
        <v>#VALUE!</v>
      </c>
      <c r="M131" s="16" t="e">
        <f t="shared" si="24"/>
        <v>#VALUE!</v>
      </c>
      <c r="N131" s="16" t="e">
        <f t="shared" si="25"/>
        <v>#VALUE!</v>
      </c>
      <c r="O131" s="16" t="str">
        <f t="shared" si="26"/>
        <v>Other</v>
      </c>
      <c r="P131" s="16" t="str">
        <f t="shared" si="27"/>
        <v/>
      </c>
      <c r="R131" s="17"/>
      <c r="S131" s="8" t="str">
        <v/>
      </c>
      <c r="T131" s="18" t="str">
        <f>IFERROR( IF( COUNTIF($R$2:R131,R131)=1, IF(VALUE(R131)=0,"",VALUE(R131)), "" ), "" )</f>
        <v/>
      </c>
      <c r="U131" s="8" t="str">
        <f t="shared" ref="U131:U194" si="28">IFERROR( IF( _xlfn.XLOOKUP(R131, M131:M1129, O131:O1129)=0, "", _xlfn.XLOOKUP(R131, M131:M1129, O131:O1129) ), "" )</f>
        <v/>
      </c>
      <c r="V131" s="26"/>
      <c r="W131" s="19"/>
      <c r="X131" s="19"/>
      <c r="Y131" s="7"/>
    </row>
    <row r="132" spans="1:25" ht="25.05" customHeight="1" x14ac:dyDescent="0.45">
      <c r="A132" s="2"/>
      <c r="B132" s="2"/>
      <c r="C132" s="2"/>
      <c r="D132" s="3"/>
      <c r="E132" s="2"/>
      <c r="F132" s="2"/>
      <c r="G132" s="2"/>
      <c r="H132" s="2"/>
      <c r="K132" s="15" t="e">
        <f t="shared" si="22"/>
        <v>#VALUE!</v>
      </c>
      <c r="L132" s="15" t="e">
        <f t="shared" si="23"/>
        <v>#VALUE!</v>
      </c>
      <c r="M132" s="16" t="e">
        <f t="shared" si="24"/>
        <v>#VALUE!</v>
      </c>
      <c r="N132" s="16" t="e">
        <f t="shared" si="25"/>
        <v>#VALUE!</v>
      </c>
      <c r="O132" s="16" t="str">
        <f t="shared" si="26"/>
        <v>Other</v>
      </c>
      <c r="P132" s="16" t="str">
        <f t="shared" si="27"/>
        <v/>
      </c>
      <c r="R132" s="17"/>
      <c r="S132" s="8" t="str">
        <v/>
      </c>
      <c r="T132" s="18" t="str">
        <f>IFERROR( IF( COUNTIF($R$2:R132,R132)=1, IF(VALUE(R132)=0,"",VALUE(R132)), "" ), "" )</f>
        <v/>
      </c>
      <c r="U132" s="8" t="str">
        <f t="shared" si="28"/>
        <v/>
      </c>
      <c r="V132" s="26"/>
      <c r="W132" s="19"/>
      <c r="X132" s="19"/>
      <c r="Y132" s="7"/>
    </row>
    <row r="133" spans="1:25" ht="25.05" customHeight="1" x14ac:dyDescent="0.45">
      <c r="A133" s="2"/>
      <c r="B133" s="2"/>
      <c r="C133" s="2"/>
      <c r="D133" s="3"/>
      <c r="E133" s="2"/>
      <c r="F133" s="2"/>
      <c r="G133" s="2"/>
      <c r="H133" s="2"/>
      <c r="K133" s="15" t="e">
        <f t="shared" si="22"/>
        <v>#VALUE!</v>
      </c>
      <c r="L133" s="15" t="e">
        <f t="shared" si="23"/>
        <v>#VALUE!</v>
      </c>
      <c r="M133" s="16" t="e">
        <f t="shared" si="24"/>
        <v>#VALUE!</v>
      </c>
      <c r="N133" s="16" t="e">
        <f t="shared" si="25"/>
        <v>#VALUE!</v>
      </c>
      <c r="O133" s="16" t="str">
        <f t="shared" si="26"/>
        <v>Other</v>
      </c>
      <c r="P133" s="16" t="str">
        <f t="shared" si="27"/>
        <v/>
      </c>
      <c r="R133" s="17"/>
      <c r="S133" s="8" t="str">
        <v/>
      </c>
      <c r="T133" s="18" t="str">
        <f>IFERROR( IF( COUNTIF($R$2:R133,R133)=1, IF(VALUE(R133)=0,"",VALUE(R133)), "" ), "" )</f>
        <v/>
      </c>
      <c r="U133" s="8" t="str">
        <f t="shared" si="28"/>
        <v/>
      </c>
      <c r="V133" s="26"/>
      <c r="W133" s="19"/>
      <c r="X133" s="19"/>
      <c r="Y133" s="7"/>
    </row>
    <row r="134" spans="1:25" ht="25.05" customHeight="1" x14ac:dyDescent="0.45">
      <c r="A134" s="2"/>
      <c r="B134" s="2"/>
      <c r="C134" s="2"/>
      <c r="D134" s="3"/>
      <c r="E134" s="2"/>
      <c r="F134" s="2"/>
      <c r="G134" s="2"/>
      <c r="H134" s="2"/>
      <c r="K134" s="15" t="e">
        <f t="shared" si="22"/>
        <v>#VALUE!</v>
      </c>
      <c r="L134" s="15" t="e">
        <f t="shared" si="23"/>
        <v>#VALUE!</v>
      </c>
      <c r="M134" s="16" t="e">
        <f t="shared" si="24"/>
        <v>#VALUE!</v>
      </c>
      <c r="N134" s="16" t="e">
        <f t="shared" si="25"/>
        <v>#VALUE!</v>
      </c>
      <c r="O134" s="16" t="str">
        <f t="shared" si="26"/>
        <v>Other</v>
      </c>
      <c r="P134" s="16" t="str">
        <f t="shared" si="27"/>
        <v/>
      </c>
      <c r="R134" s="17"/>
      <c r="S134" s="8" t="str">
        <v/>
      </c>
      <c r="T134" s="18" t="str">
        <f>IFERROR( IF( COUNTIF($R$2:R134,R134)=1, IF(VALUE(R134)=0,"",VALUE(R134)), "" ), "" )</f>
        <v/>
      </c>
      <c r="U134" s="8" t="str">
        <f t="shared" si="28"/>
        <v/>
      </c>
      <c r="V134" s="26"/>
      <c r="W134" s="19"/>
      <c r="X134" s="19"/>
      <c r="Y134" s="7"/>
    </row>
    <row r="135" spans="1:25" ht="25.05" customHeight="1" x14ac:dyDescent="0.45">
      <c r="A135" s="2"/>
      <c r="B135" s="2"/>
      <c r="C135" s="2"/>
      <c r="D135" s="3"/>
      <c r="E135" s="2"/>
      <c r="F135" s="2"/>
      <c r="G135" s="2"/>
      <c r="H135" s="2"/>
      <c r="K135" s="15" t="e">
        <f t="shared" si="22"/>
        <v>#VALUE!</v>
      </c>
      <c r="L135" s="15" t="e">
        <f t="shared" si="23"/>
        <v>#VALUE!</v>
      </c>
      <c r="M135" s="16" t="e">
        <f t="shared" si="24"/>
        <v>#VALUE!</v>
      </c>
      <c r="N135" s="16" t="e">
        <f t="shared" si="25"/>
        <v>#VALUE!</v>
      </c>
      <c r="O135" s="16" t="str">
        <f t="shared" si="26"/>
        <v>Other</v>
      </c>
      <c r="P135" s="16" t="str">
        <f t="shared" si="27"/>
        <v/>
      </c>
      <c r="R135" s="17"/>
      <c r="S135" s="8" t="str">
        <v/>
      </c>
      <c r="T135" s="18" t="str">
        <f>IFERROR( IF( COUNTIF($R$2:R135,R135)=1, IF(VALUE(R135)=0,"",VALUE(R135)), "" ), "" )</f>
        <v/>
      </c>
      <c r="U135" s="8" t="str">
        <f t="shared" si="28"/>
        <v/>
      </c>
      <c r="V135" s="26"/>
      <c r="W135" s="19"/>
      <c r="X135" s="19"/>
      <c r="Y135" s="7"/>
    </row>
    <row r="136" spans="1:25" ht="25.05" customHeight="1" x14ac:dyDescent="0.45">
      <c r="A136" s="2"/>
      <c r="B136" s="2"/>
      <c r="C136" s="2"/>
      <c r="D136" s="3"/>
      <c r="E136" s="2"/>
      <c r="F136" s="2"/>
      <c r="G136" s="2"/>
      <c r="H136" s="2"/>
      <c r="K136" s="15" t="e">
        <f t="shared" si="22"/>
        <v>#VALUE!</v>
      </c>
      <c r="L136" s="15" t="e">
        <f t="shared" si="23"/>
        <v>#VALUE!</v>
      </c>
      <c r="M136" s="16" t="e">
        <f t="shared" si="24"/>
        <v>#VALUE!</v>
      </c>
      <c r="N136" s="16" t="e">
        <f t="shared" si="25"/>
        <v>#VALUE!</v>
      </c>
      <c r="O136" s="16" t="str">
        <f t="shared" si="26"/>
        <v>Other</v>
      </c>
      <c r="P136" s="16" t="str">
        <f t="shared" si="27"/>
        <v/>
      </c>
      <c r="R136" s="17"/>
      <c r="S136" s="8" t="str">
        <v/>
      </c>
      <c r="T136" s="18" t="str">
        <f>IFERROR( IF( COUNTIF($R$2:R136,R136)=1, IF(VALUE(R136)=0,"",VALUE(R136)), "" ), "" )</f>
        <v/>
      </c>
      <c r="U136" s="8" t="str">
        <f t="shared" si="28"/>
        <v/>
      </c>
      <c r="V136" s="26"/>
      <c r="W136" s="19"/>
      <c r="X136" s="19"/>
      <c r="Y136" s="7"/>
    </row>
    <row r="137" spans="1:25" ht="25.05" customHeight="1" x14ac:dyDescent="0.45">
      <c r="A137" s="2"/>
      <c r="B137" s="2"/>
      <c r="C137" s="2"/>
      <c r="D137" s="3"/>
      <c r="E137" s="2"/>
      <c r="F137" s="2"/>
      <c r="G137" s="2"/>
      <c r="H137" s="2"/>
      <c r="K137" s="15" t="e">
        <f t="shared" si="22"/>
        <v>#VALUE!</v>
      </c>
      <c r="L137" s="15" t="e">
        <f t="shared" si="23"/>
        <v>#VALUE!</v>
      </c>
      <c r="M137" s="16" t="e">
        <f t="shared" si="24"/>
        <v>#VALUE!</v>
      </c>
      <c r="N137" s="16" t="e">
        <f t="shared" si="25"/>
        <v>#VALUE!</v>
      </c>
      <c r="O137" s="16" t="str">
        <f t="shared" si="26"/>
        <v>Other</v>
      </c>
      <c r="P137" s="16" t="str">
        <f t="shared" si="27"/>
        <v/>
      </c>
      <c r="R137" s="17"/>
      <c r="S137" s="8" t="str">
        <v/>
      </c>
      <c r="T137" s="18" t="str">
        <f>IFERROR( IF( COUNTIF($R$2:R137,R137)=1, IF(VALUE(R137)=0,"",VALUE(R137)), "" ), "" )</f>
        <v/>
      </c>
      <c r="U137" s="8" t="str">
        <f t="shared" si="28"/>
        <v/>
      </c>
      <c r="V137" s="26"/>
      <c r="W137" s="19"/>
      <c r="X137" s="19"/>
      <c r="Y137" s="7"/>
    </row>
    <row r="138" spans="1:25" ht="25.05" customHeight="1" x14ac:dyDescent="0.45">
      <c r="A138" s="2"/>
      <c r="B138" s="2"/>
      <c r="C138" s="2"/>
      <c r="D138" s="3"/>
      <c r="E138" s="2"/>
      <c r="F138" s="2"/>
      <c r="G138" s="2"/>
      <c r="H138" s="2"/>
      <c r="K138" s="15" t="e">
        <f t="shared" si="22"/>
        <v>#VALUE!</v>
      </c>
      <c r="L138" s="15" t="e">
        <f t="shared" si="23"/>
        <v>#VALUE!</v>
      </c>
      <c r="M138" s="16" t="e">
        <f t="shared" si="24"/>
        <v>#VALUE!</v>
      </c>
      <c r="N138" s="16" t="e">
        <f t="shared" si="25"/>
        <v>#VALUE!</v>
      </c>
      <c r="O138" s="16" t="str">
        <f t="shared" si="26"/>
        <v>Other</v>
      </c>
      <c r="P138" s="16" t="str">
        <f t="shared" si="27"/>
        <v/>
      </c>
      <c r="R138" s="17"/>
      <c r="S138" s="8" t="str">
        <v/>
      </c>
      <c r="T138" s="18" t="str">
        <f>IFERROR( IF( COUNTIF($R$2:R138,R138)=1, IF(VALUE(R138)=0,"",VALUE(R138)), "" ), "" )</f>
        <v/>
      </c>
      <c r="U138" s="8" t="str">
        <f t="shared" si="28"/>
        <v/>
      </c>
      <c r="V138" s="26"/>
      <c r="W138" s="19"/>
      <c r="X138" s="19"/>
      <c r="Y138" s="7"/>
    </row>
    <row r="139" spans="1:25" ht="25.05" customHeight="1" x14ac:dyDescent="0.45">
      <c r="A139" s="2"/>
      <c r="B139" s="2"/>
      <c r="C139" s="2"/>
      <c r="D139" s="3"/>
      <c r="E139" s="2"/>
      <c r="F139" s="2"/>
      <c r="G139" s="2"/>
      <c r="H139" s="2"/>
      <c r="K139" s="15" t="e">
        <f t="shared" si="22"/>
        <v>#VALUE!</v>
      </c>
      <c r="L139" s="15" t="e">
        <f t="shared" si="23"/>
        <v>#VALUE!</v>
      </c>
      <c r="M139" s="16" t="e">
        <f t="shared" si="24"/>
        <v>#VALUE!</v>
      </c>
      <c r="N139" s="16" t="e">
        <f t="shared" si="25"/>
        <v>#VALUE!</v>
      </c>
      <c r="O139" s="16" t="str">
        <f t="shared" si="26"/>
        <v>Other</v>
      </c>
      <c r="P139" s="16" t="str">
        <f t="shared" si="27"/>
        <v/>
      </c>
      <c r="R139" s="17"/>
      <c r="S139" s="8" t="str">
        <v/>
      </c>
      <c r="T139" s="18" t="str">
        <f>IFERROR( IF( COUNTIF($R$2:R139,R139)=1, IF(VALUE(R139)=0,"",VALUE(R139)), "" ), "" )</f>
        <v/>
      </c>
      <c r="U139" s="8" t="str">
        <f t="shared" si="28"/>
        <v/>
      </c>
      <c r="V139" s="26"/>
      <c r="W139" s="19"/>
      <c r="X139" s="19"/>
      <c r="Y139" s="7"/>
    </row>
    <row r="140" spans="1:25" ht="25.05" customHeight="1" x14ac:dyDescent="0.45">
      <c r="A140" s="2"/>
      <c r="B140" s="2"/>
      <c r="C140" s="2"/>
      <c r="D140" s="3"/>
      <c r="E140" s="2"/>
      <c r="F140" s="2"/>
      <c r="G140" s="2"/>
      <c r="H140" s="2"/>
      <c r="K140" s="15" t="e">
        <f t="shared" si="22"/>
        <v>#VALUE!</v>
      </c>
      <c r="L140" s="15" t="e">
        <f t="shared" si="23"/>
        <v>#VALUE!</v>
      </c>
      <c r="M140" s="16" t="e">
        <f t="shared" si="24"/>
        <v>#VALUE!</v>
      </c>
      <c r="N140" s="16" t="e">
        <f t="shared" si="25"/>
        <v>#VALUE!</v>
      </c>
      <c r="O140" s="16" t="str">
        <f t="shared" si="26"/>
        <v>Other</v>
      </c>
      <c r="P140" s="16" t="str">
        <f t="shared" si="27"/>
        <v/>
      </c>
      <c r="R140" s="17"/>
      <c r="S140" s="8" t="str">
        <v/>
      </c>
      <c r="T140" s="18" t="str">
        <f>IFERROR( IF( COUNTIF($R$2:R140,R140)=1, IF(VALUE(R140)=0,"",VALUE(R140)), "" ), "" )</f>
        <v/>
      </c>
      <c r="U140" s="8" t="str">
        <f t="shared" si="28"/>
        <v/>
      </c>
      <c r="V140" s="26"/>
      <c r="W140" s="19"/>
      <c r="X140" s="19"/>
      <c r="Y140" s="7"/>
    </row>
    <row r="141" spans="1:25" ht="25.05" customHeight="1" x14ac:dyDescent="0.45">
      <c r="A141" s="2"/>
      <c r="B141" s="2"/>
      <c r="C141" s="2"/>
      <c r="D141" s="3"/>
      <c r="E141" s="2"/>
      <c r="F141" s="2"/>
      <c r="G141" s="2"/>
      <c r="H141" s="2"/>
      <c r="K141" s="15" t="e">
        <f t="shared" si="22"/>
        <v>#VALUE!</v>
      </c>
      <c r="L141" s="15" t="e">
        <f t="shared" si="23"/>
        <v>#VALUE!</v>
      </c>
      <c r="M141" s="16" t="e">
        <f t="shared" si="24"/>
        <v>#VALUE!</v>
      </c>
      <c r="N141" s="16" t="e">
        <f t="shared" si="25"/>
        <v>#VALUE!</v>
      </c>
      <c r="O141" s="16" t="str">
        <f t="shared" si="26"/>
        <v>Other</v>
      </c>
      <c r="P141" s="16" t="str">
        <f t="shared" si="27"/>
        <v/>
      </c>
      <c r="R141" s="17"/>
      <c r="S141" s="8" t="str">
        <v/>
      </c>
      <c r="T141" s="18" t="str">
        <f>IFERROR( IF( COUNTIF($R$2:R141,R141)=1, IF(VALUE(R141)=0,"",VALUE(R141)), "" ), "" )</f>
        <v/>
      </c>
      <c r="U141" s="8" t="str">
        <f t="shared" si="28"/>
        <v/>
      </c>
      <c r="V141" s="26"/>
      <c r="W141" s="19"/>
      <c r="X141" s="19"/>
      <c r="Y141" s="7"/>
    </row>
    <row r="142" spans="1:25" ht="25.05" customHeight="1" x14ac:dyDescent="0.45">
      <c r="A142" s="2"/>
      <c r="B142" s="2"/>
      <c r="C142" s="2"/>
      <c r="D142" s="3"/>
      <c r="E142" s="2"/>
      <c r="F142" s="2"/>
      <c r="G142" s="2"/>
      <c r="H142" s="2"/>
      <c r="K142" s="15" t="e">
        <f t="shared" si="22"/>
        <v>#VALUE!</v>
      </c>
      <c r="L142" s="15" t="e">
        <f t="shared" si="23"/>
        <v>#VALUE!</v>
      </c>
      <c r="M142" s="16" t="e">
        <f t="shared" si="24"/>
        <v>#VALUE!</v>
      </c>
      <c r="N142" s="16" t="e">
        <f t="shared" si="25"/>
        <v>#VALUE!</v>
      </c>
      <c r="O142" s="16" t="str">
        <f t="shared" si="26"/>
        <v>Other</v>
      </c>
      <c r="P142" s="16" t="str">
        <f t="shared" si="27"/>
        <v/>
      </c>
      <c r="R142" s="17"/>
      <c r="S142" s="8" t="str">
        <v/>
      </c>
      <c r="T142" s="18" t="str">
        <f>IFERROR( IF( COUNTIF($R$2:R142,R142)=1, IF(VALUE(R142)=0,"",VALUE(R142)), "" ), "" )</f>
        <v/>
      </c>
      <c r="U142" s="8" t="str">
        <f t="shared" si="28"/>
        <v/>
      </c>
      <c r="V142" s="26"/>
      <c r="W142" s="19"/>
      <c r="X142" s="19"/>
      <c r="Y142" s="7"/>
    </row>
    <row r="143" spans="1:25" ht="25.05" customHeight="1" x14ac:dyDescent="0.45">
      <c r="A143" s="2"/>
      <c r="B143" s="2"/>
      <c r="C143" s="2"/>
      <c r="D143" s="3"/>
      <c r="E143" s="2"/>
      <c r="F143" s="2"/>
      <c r="G143" s="2"/>
      <c r="H143" s="2"/>
      <c r="K143" s="15" t="e">
        <f t="shared" si="22"/>
        <v>#VALUE!</v>
      </c>
      <c r="L143" s="15" t="e">
        <f t="shared" si="23"/>
        <v>#VALUE!</v>
      </c>
      <c r="M143" s="16" t="e">
        <f t="shared" si="24"/>
        <v>#VALUE!</v>
      </c>
      <c r="N143" s="16" t="e">
        <f t="shared" si="25"/>
        <v>#VALUE!</v>
      </c>
      <c r="O143" s="16" t="str">
        <f t="shared" si="26"/>
        <v>Other</v>
      </c>
      <c r="P143" s="16" t="str">
        <f t="shared" si="27"/>
        <v/>
      </c>
      <c r="R143" s="17"/>
      <c r="S143" s="8" t="str">
        <v/>
      </c>
      <c r="T143" s="18" t="str">
        <f>IFERROR( IF( COUNTIF($R$2:R143,R143)=1, IF(VALUE(R143)=0,"",VALUE(R143)), "" ), "" )</f>
        <v/>
      </c>
      <c r="U143" s="8" t="str">
        <f t="shared" si="28"/>
        <v/>
      </c>
      <c r="V143" s="26"/>
      <c r="W143" s="19"/>
      <c r="X143" s="19"/>
      <c r="Y143" s="7"/>
    </row>
    <row r="144" spans="1:25" ht="25.05" customHeight="1" x14ac:dyDescent="0.45">
      <c r="A144" s="2"/>
      <c r="B144" s="2"/>
      <c r="C144" s="2"/>
      <c r="D144" s="3"/>
      <c r="E144" s="2"/>
      <c r="F144" s="2"/>
      <c r="G144" s="2"/>
      <c r="H144" s="2"/>
      <c r="K144" s="15" t="e">
        <f t="shared" si="22"/>
        <v>#VALUE!</v>
      </c>
      <c r="L144" s="15" t="e">
        <f t="shared" si="23"/>
        <v>#VALUE!</v>
      </c>
      <c r="M144" s="16" t="e">
        <f t="shared" si="24"/>
        <v>#VALUE!</v>
      </c>
      <c r="N144" s="16" t="e">
        <f t="shared" si="25"/>
        <v>#VALUE!</v>
      </c>
      <c r="O144" s="16" t="str">
        <f t="shared" si="26"/>
        <v>Other</v>
      </c>
      <c r="P144" s="16" t="str">
        <f t="shared" si="27"/>
        <v/>
      </c>
      <c r="R144" s="17"/>
      <c r="S144" s="8" t="str">
        <v/>
      </c>
      <c r="T144" s="18" t="str">
        <f>IFERROR( IF( COUNTIF($R$2:R144,R144)=1, IF(VALUE(R144)=0,"",VALUE(R144)), "" ), "" )</f>
        <v/>
      </c>
      <c r="U144" s="8" t="str">
        <f t="shared" si="28"/>
        <v/>
      </c>
      <c r="V144" s="26"/>
      <c r="W144" s="19"/>
      <c r="X144" s="19"/>
      <c r="Y144" s="7"/>
    </row>
    <row r="145" spans="1:25" ht="25.05" customHeight="1" x14ac:dyDescent="0.45">
      <c r="A145" s="2"/>
      <c r="B145" s="2"/>
      <c r="C145" s="2"/>
      <c r="D145" s="3"/>
      <c r="E145" s="2"/>
      <c r="F145" s="2"/>
      <c r="G145" s="2"/>
      <c r="H145" s="2"/>
      <c r="K145" s="15" t="e">
        <f t="shared" si="22"/>
        <v>#VALUE!</v>
      </c>
      <c r="L145" s="15" t="e">
        <f t="shared" si="23"/>
        <v>#VALUE!</v>
      </c>
      <c r="M145" s="16" t="e">
        <f t="shared" si="24"/>
        <v>#VALUE!</v>
      </c>
      <c r="N145" s="16" t="e">
        <f t="shared" si="25"/>
        <v>#VALUE!</v>
      </c>
      <c r="O145" s="16" t="str">
        <f t="shared" si="26"/>
        <v>Other</v>
      </c>
      <c r="P145" s="16" t="str">
        <f t="shared" si="27"/>
        <v/>
      </c>
      <c r="R145" s="17"/>
      <c r="S145" s="8" t="str">
        <v/>
      </c>
      <c r="T145" s="18" t="str">
        <f>IFERROR( IF( COUNTIF($R$2:R145,R145)=1, IF(VALUE(R145)=0,"",VALUE(R145)), "" ), "" )</f>
        <v/>
      </c>
      <c r="U145" s="8" t="str">
        <f t="shared" si="28"/>
        <v/>
      </c>
      <c r="V145" s="26"/>
      <c r="W145" s="19"/>
      <c r="X145" s="19"/>
      <c r="Y145" s="7"/>
    </row>
    <row r="146" spans="1:25" ht="25.05" customHeight="1" x14ac:dyDescent="0.45">
      <c r="A146" s="2"/>
      <c r="B146" s="2"/>
      <c r="C146" s="2"/>
      <c r="D146" s="3"/>
      <c r="E146" s="2"/>
      <c r="F146" s="2"/>
      <c r="G146" s="2"/>
      <c r="H146" s="2"/>
      <c r="K146" s="15" t="e">
        <f t="shared" si="22"/>
        <v>#VALUE!</v>
      </c>
      <c r="L146" s="15" t="e">
        <f t="shared" si="23"/>
        <v>#VALUE!</v>
      </c>
      <c r="M146" s="16" t="e">
        <f t="shared" si="24"/>
        <v>#VALUE!</v>
      </c>
      <c r="N146" s="16" t="e">
        <f t="shared" si="25"/>
        <v>#VALUE!</v>
      </c>
      <c r="O146" s="16" t="str">
        <f t="shared" si="26"/>
        <v>Other</v>
      </c>
      <c r="P146" s="16" t="str">
        <f t="shared" si="27"/>
        <v/>
      </c>
      <c r="R146" s="17"/>
      <c r="S146" s="8" t="str">
        <v/>
      </c>
      <c r="T146" s="18" t="str">
        <f>IFERROR( IF( COUNTIF($R$2:R146,R146)=1, IF(VALUE(R146)=0,"",VALUE(R146)), "" ), "" )</f>
        <v/>
      </c>
      <c r="U146" s="8" t="str">
        <f t="shared" si="28"/>
        <v/>
      </c>
      <c r="V146" s="26"/>
      <c r="W146" s="19"/>
      <c r="X146" s="19"/>
      <c r="Y146" s="7"/>
    </row>
    <row r="147" spans="1:25" ht="25.05" customHeight="1" x14ac:dyDescent="0.45">
      <c r="A147" s="2"/>
      <c r="B147" s="2"/>
      <c r="C147" s="2"/>
      <c r="D147" s="3"/>
      <c r="E147" s="2"/>
      <c r="F147" s="2"/>
      <c r="G147" s="2"/>
      <c r="H147" s="2"/>
      <c r="K147" s="15" t="e">
        <f t="shared" si="22"/>
        <v>#VALUE!</v>
      </c>
      <c r="L147" s="15" t="e">
        <f t="shared" si="23"/>
        <v>#VALUE!</v>
      </c>
      <c r="M147" s="16" t="e">
        <f t="shared" si="24"/>
        <v>#VALUE!</v>
      </c>
      <c r="N147" s="16" t="e">
        <f t="shared" si="25"/>
        <v>#VALUE!</v>
      </c>
      <c r="O147" s="16" t="str">
        <f t="shared" si="26"/>
        <v>Other</v>
      </c>
      <c r="P147" s="16" t="str">
        <f t="shared" si="27"/>
        <v/>
      </c>
      <c r="R147" s="17"/>
      <c r="S147" s="8" t="str">
        <v/>
      </c>
      <c r="T147" s="18" t="str">
        <f>IFERROR( IF( COUNTIF($R$2:R147,R147)=1, IF(VALUE(R147)=0,"",VALUE(R147)), "" ), "" )</f>
        <v/>
      </c>
      <c r="U147" s="8" t="str">
        <f t="shared" si="28"/>
        <v/>
      </c>
      <c r="V147" s="26"/>
      <c r="W147" s="19"/>
      <c r="X147" s="19"/>
      <c r="Y147" s="7"/>
    </row>
    <row r="148" spans="1:25" ht="25.05" customHeight="1" x14ac:dyDescent="0.45">
      <c r="A148" s="2"/>
      <c r="B148" s="2"/>
      <c r="C148" s="2"/>
      <c r="D148" s="3"/>
      <c r="E148" s="2"/>
      <c r="F148" s="2"/>
      <c r="G148" s="2"/>
      <c r="H148" s="2"/>
      <c r="K148" s="15" t="e">
        <f t="shared" si="22"/>
        <v>#VALUE!</v>
      </c>
      <c r="L148" s="15" t="e">
        <f t="shared" si="23"/>
        <v>#VALUE!</v>
      </c>
      <c r="M148" s="16" t="e">
        <f t="shared" si="24"/>
        <v>#VALUE!</v>
      </c>
      <c r="N148" s="16" t="e">
        <f t="shared" si="25"/>
        <v>#VALUE!</v>
      </c>
      <c r="O148" s="16" t="str">
        <f t="shared" si="26"/>
        <v>Other</v>
      </c>
      <c r="P148" s="16" t="str">
        <f t="shared" si="27"/>
        <v/>
      </c>
      <c r="R148" s="17"/>
      <c r="S148" s="8" t="str">
        <v/>
      </c>
      <c r="T148" s="18" t="str">
        <f>IFERROR( IF( COUNTIF($R$2:R148,R148)=1, IF(VALUE(R148)=0,"",VALUE(R148)), "" ), "" )</f>
        <v/>
      </c>
      <c r="U148" s="8" t="str">
        <f t="shared" si="28"/>
        <v/>
      </c>
      <c r="V148" s="26"/>
      <c r="W148" s="19"/>
      <c r="X148" s="19"/>
      <c r="Y148" s="7"/>
    </row>
    <row r="149" spans="1:25" ht="25.05" customHeight="1" x14ac:dyDescent="0.45">
      <c r="A149" s="2"/>
      <c r="B149" s="2"/>
      <c r="C149" s="2"/>
      <c r="D149" s="3"/>
      <c r="E149" s="2"/>
      <c r="F149" s="2"/>
      <c r="G149" s="2"/>
      <c r="H149" s="2"/>
      <c r="K149" s="15" t="e">
        <f t="shared" si="22"/>
        <v>#VALUE!</v>
      </c>
      <c r="L149" s="15" t="e">
        <f t="shared" si="23"/>
        <v>#VALUE!</v>
      </c>
      <c r="M149" s="16" t="e">
        <f t="shared" si="24"/>
        <v>#VALUE!</v>
      </c>
      <c r="N149" s="16" t="e">
        <f t="shared" si="25"/>
        <v>#VALUE!</v>
      </c>
      <c r="O149" s="16" t="str">
        <f t="shared" si="26"/>
        <v>Other</v>
      </c>
      <c r="P149" s="16" t="str">
        <f t="shared" si="27"/>
        <v/>
      </c>
      <c r="R149" s="17"/>
      <c r="S149" s="8" t="str">
        <v/>
      </c>
      <c r="T149" s="18" t="str">
        <f>IFERROR( IF( COUNTIF($R$2:R149,R149)=1, IF(VALUE(R149)=0,"",VALUE(R149)), "" ), "" )</f>
        <v/>
      </c>
      <c r="U149" s="8" t="str">
        <f t="shared" si="28"/>
        <v/>
      </c>
      <c r="V149" s="26"/>
      <c r="W149" s="19"/>
      <c r="X149" s="19"/>
      <c r="Y149" s="7"/>
    </row>
    <row r="150" spans="1:25" ht="25.05" customHeight="1" x14ac:dyDescent="0.45">
      <c r="A150" s="2"/>
      <c r="B150" s="2"/>
      <c r="C150" s="2"/>
      <c r="D150" s="3"/>
      <c r="E150" s="2"/>
      <c r="F150" s="2"/>
      <c r="G150" s="2"/>
      <c r="H150" s="2"/>
      <c r="K150" s="15" t="e">
        <f t="shared" si="22"/>
        <v>#VALUE!</v>
      </c>
      <c r="L150" s="15" t="e">
        <f t="shared" si="23"/>
        <v>#VALUE!</v>
      </c>
      <c r="M150" s="16" t="e">
        <f t="shared" si="24"/>
        <v>#VALUE!</v>
      </c>
      <c r="N150" s="16" t="e">
        <f t="shared" si="25"/>
        <v>#VALUE!</v>
      </c>
      <c r="O150" s="16" t="str">
        <f t="shared" si="26"/>
        <v>Other</v>
      </c>
      <c r="P150" s="16" t="str">
        <f t="shared" si="27"/>
        <v/>
      </c>
      <c r="R150" s="17"/>
      <c r="S150" s="8" t="str">
        <v/>
      </c>
      <c r="T150" s="18" t="str">
        <f>IFERROR( IF( COUNTIF($R$2:R150,R150)=1, IF(VALUE(R150)=0,"",VALUE(R150)), "" ), "" )</f>
        <v/>
      </c>
      <c r="U150" s="8" t="str">
        <f t="shared" si="28"/>
        <v/>
      </c>
      <c r="V150" s="26"/>
      <c r="W150" s="19"/>
      <c r="X150" s="19"/>
      <c r="Y150" s="7"/>
    </row>
    <row r="151" spans="1:25" ht="25.05" customHeight="1" x14ac:dyDescent="0.45">
      <c r="A151" s="2"/>
      <c r="B151" s="2"/>
      <c r="C151" s="2"/>
      <c r="D151" s="3"/>
      <c r="E151" s="2"/>
      <c r="F151" s="2"/>
      <c r="G151" s="2"/>
      <c r="H151" s="2"/>
      <c r="K151" s="15" t="e">
        <f t="shared" si="22"/>
        <v>#VALUE!</v>
      </c>
      <c r="L151" s="15" t="e">
        <f t="shared" si="23"/>
        <v>#VALUE!</v>
      </c>
      <c r="M151" s="16" t="e">
        <f t="shared" si="24"/>
        <v>#VALUE!</v>
      </c>
      <c r="N151" s="16" t="e">
        <f t="shared" si="25"/>
        <v>#VALUE!</v>
      </c>
      <c r="O151" s="16" t="str">
        <f t="shared" si="26"/>
        <v>Other</v>
      </c>
      <c r="P151" s="16" t="str">
        <f t="shared" si="27"/>
        <v/>
      </c>
      <c r="R151" s="17"/>
      <c r="S151" s="8" t="str">
        <v/>
      </c>
      <c r="T151" s="18" t="str">
        <f>IFERROR( IF( COUNTIF($R$2:R151,R151)=1, IF(VALUE(R151)=0,"",VALUE(R151)), "" ), "" )</f>
        <v/>
      </c>
      <c r="U151" s="8" t="str">
        <f t="shared" si="28"/>
        <v/>
      </c>
      <c r="V151" s="26"/>
      <c r="W151" s="19"/>
      <c r="X151" s="19"/>
      <c r="Y151" s="7"/>
    </row>
    <row r="152" spans="1:25" ht="25.05" customHeight="1" x14ac:dyDescent="0.45">
      <c r="A152" s="2"/>
      <c r="B152" s="2"/>
      <c r="C152" s="2"/>
      <c r="D152" s="3"/>
      <c r="E152" s="2"/>
      <c r="F152" s="2"/>
      <c r="G152" s="2"/>
      <c r="H152" s="2"/>
      <c r="K152" s="15" t="e">
        <f t="shared" si="22"/>
        <v>#VALUE!</v>
      </c>
      <c r="L152" s="15" t="e">
        <f t="shared" si="23"/>
        <v>#VALUE!</v>
      </c>
      <c r="M152" s="16" t="e">
        <f t="shared" si="24"/>
        <v>#VALUE!</v>
      </c>
      <c r="N152" s="16" t="e">
        <f t="shared" si="25"/>
        <v>#VALUE!</v>
      </c>
      <c r="O152" s="16" t="str">
        <f t="shared" si="26"/>
        <v>Other</v>
      </c>
      <c r="P152" s="16" t="str">
        <f t="shared" si="27"/>
        <v/>
      </c>
      <c r="R152" s="17"/>
      <c r="S152" s="8" t="str">
        <v/>
      </c>
      <c r="T152" s="18" t="str">
        <f>IFERROR( IF( COUNTIF($R$2:R152,R152)=1, IF(VALUE(R152)=0,"",VALUE(R152)), "" ), "" )</f>
        <v/>
      </c>
      <c r="U152" s="8" t="str">
        <f t="shared" si="28"/>
        <v/>
      </c>
      <c r="V152" s="26"/>
      <c r="W152" s="19"/>
      <c r="X152" s="19"/>
      <c r="Y152" s="7"/>
    </row>
    <row r="153" spans="1:25" ht="25.05" customHeight="1" x14ac:dyDescent="0.45">
      <c r="A153" s="2"/>
      <c r="B153" s="2"/>
      <c r="C153" s="2"/>
      <c r="D153" s="3"/>
      <c r="E153" s="2"/>
      <c r="F153" s="2"/>
      <c r="G153" s="2"/>
      <c r="H153" s="2"/>
      <c r="K153" s="15" t="e">
        <f t="shared" si="22"/>
        <v>#VALUE!</v>
      </c>
      <c r="L153" s="15" t="e">
        <f t="shared" si="23"/>
        <v>#VALUE!</v>
      </c>
      <c r="M153" s="16" t="e">
        <f t="shared" si="24"/>
        <v>#VALUE!</v>
      </c>
      <c r="N153" s="16" t="e">
        <f t="shared" si="25"/>
        <v>#VALUE!</v>
      </c>
      <c r="O153" s="16" t="str">
        <f t="shared" si="26"/>
        <v>Other</v>
      </c>
      <c r="P153" s="16" t="str">
        <f t="shared" si="27"/>
        <v/>
      </c>
      <c r="R153" s="17"/>
      <c r="S153" s="8" t="str">
        <v/>
      </c>
      <c r="T153" s="18" t="str">
        <f>IFERROR( IF( COUNTIF($R$2:R153,R153)=1, IF(VALUE(R153)=0,"",VALUE(R153)), "" ), "" )</f>
        <v/>
      </c>
      <c r="U153" s="8" t="str">
        <f t="shared" si="28"/>
        <v/>
      </c>
      <c r="V153" s="26"/>
      <c r="W153" s="19"/>
      <c r="X153" s="19"/>
      <c r="Y153" s="7"/>
    </row>
    <row r="154" spans="1:25" ht="25.05" customHeight="1" x14ac:dyDescent="0.45">
      <c r="A154" s="2"/>
      <c r="B154" s="2"/>
      <c r="C154" s="2"/>
      <c r="D154" s="3"/>
      <c r="E154" s="2"/>
      <c r="F154" s="2"/>
      <c r="G154" s="2"/>
      <c r="H154" s="2"/>
      <c r="K154" s="15" t="e">
        <f t="shared" si="22"/>
        <v>#VALUE!</v>
      </c>
      <c r="L154" s="15" t="e">
        <f t="shared" si="23"/>
        <v>#VALUE!</v>
      </c>
      <c r="M154" s="16" t="e">
        <f t="shared" si="24"/>
        <v>#VALUE!</v>
      </c>
      <c r="N154" s="16" t="e">
        <f t="shared" si="25"/>
        <v>#VALUE!</v>
      </c>
      <c r="O154" s="16" t="str">
        <f t="shared" si="26"/>
        <v>Other</v>
      </c>
      <c r="P154" s="16" t="str">
        <f t="shared" si="27"/>
        <v/>
      </c>
      <c r="R154" s="17"/>
      <c r="S154" s="8" t="str">
        <v/>
      </c>
      <c r="T154" s="18" t="str">
        <f>IFERROR( IF( COUNTIF($R$2:R154,R154)=1, IF(VALUE(R154)=0,"",VALUE(R154)), "" ), "" )</f>
        <v/>
      </c>
      <c r="U154" s="8" t="str">
        <f t="shared" si="28"/>
        <v/>
      </c>
      <c r="V154" s="26"/>
      <c r="W154" s="19"/>
      <c r="X154" s="19"/>
      <c r="Y154" s="7"/>
    </row>
    <row r="155" spans="1:25" ht="25.05" customHeight="1" x14ac:dyDescent="0.45">
      <c r="A155" s="2"/>
      <c r="B155" s="2"/>
      <c r="C155" s="2"/>
      <c r="D155" s="3"/>
      <c r="E155" s="2"/>
      <c r="F155" s="2"/>
      <c r="G155" s="2"/>
      <c r="H155" s="2"/>
      <c r="K155" s="15" t="e">
        <f t="shared" si="22"/>
        <v>#VALUE!</v>
      </c>
      <c r="L155" s="15" t="e">
        <f t="shared" si="23"/>
        <v>#VALUE!</v>
      </c>
      <c r="M155" s="16" t="e">
        <f t="shared" si="24"/>
        <v>#VALUE!</v>
      </c>
      <c r="N155" s="16" t="e">
        <f t="shared" si="25"/>
        <v>#VALUE!</v>
      </c>
      <c r="O155" s="16" t="str">
        <f t="shared" si="26"/>
        <v>Other</v>
      </c>
      <c r="P155" s="16" t="str">
        <f t="shared" si="27"/>
        <v/>
      </c>
      <c r="R155" s="17"/>
      <c r="S155" s="8" t="str">
        <v/>
      </c>
      <c r="T155" s="18" t="str">
        <f>IFERROR( IF( COUNTIF($R$2:R155,R155)=1, IF(VALUE(R155)=0,"",VALUE(R155)), "" ), "" )</f>
        <v/>
      </c>
      <c r="U155" s="8" t="str">
        <f t="shared" si="28"/>
        <v/>
      </c>
      <c r="V155" s="26"/>
      <c r="W155" s="19"/>
      <c r="X155" s="19"/>
      <c r="Y155" s="7"/>
    </row>
    <row r="156" spans="1:25" ht="25.05" customHeight="1" x14ac:dyDescent="0.45">
      <c r="A156" s="2"/>
      <c r="B156" s="2"/>
      <c r="C156" s="2"/>
      <c r="D156" s="3"/>
      <c r="E156" s="2"/>
      <c r="F156" s="2"/>
      <c r="G156" s="2"/>
      <c r="H156" s="2"/>
      <c r="K156" s="15" t="e">
        <f t="shared" si="22"/>
        <v>#VALUE!</v>
      </c>
      <c r="L156" s="15" t="e">
        <f t="shared" si="23"/>
        <v>#VALUE!</v>
      </c>
      <c r="M156" s="16" t="e">
        <f t="shared" si="24"/>
        <v>#VALUE!</v>
      </c>
      <c r="N156" s="16" t="e">
        <f t="shared" si="25"/>
        <v>#VALUE!</v>
      </c>
      <c r="O156" s="16" t="str">
        <f t="shared" si="26"/>
        <v>Other</v>
      </c>
      <c r="P156" s="16" t="str">
        <f t="shared" si="27"/>
        <v/>
      </c>
      <c r="R156" s="17"/>
      <c r="S156" s="8" t="str">
        <v/>
      </c>
      <c r="T156" s="18" t="str">
        <f>IFERROR( IF( COUNTIF($R$2:R156,R156)=1, IF(VALUE(R156)=0,"",VALUE(R156)), "" ), "" )</f>
        <v/>
      </c>
      <c r="U156" s="8" t="str">
        <f t="shared" si="28"/>
        <v/>
      </c>
      <c r="V156" s="26"/>
      <c r="W156" s="19"/>
      <c r="X156" s="19"/>
      <c r="Y156" s="7"/>
    </row>
    <row r="157" spans="1:25" ht="25.05" customHeight="1" x14ac:dyDescent="0.45">
      <c r="A157" s="2"/>
      <c r="B157" s="2"/>
      <c r="C157" s="2"/>
      <c r="D157" s="3"/>
      <c r="E157" s="2"/>
      <c r="F157" s="2"/>
      <c r="G157" s="2"/>
      <c r="H157" s="2"/>
      <c r="K157" s="15" t="e">
        <f t="shared" si="22"/>
        <v>#VALUE!</v>
      </c>
      <c r="L157" s="15" t="e">
        <f t="shared" si="23"/>
        <v>#VALUE!</v>
      </c>
      <c r="M157" s="16" t="e">
        <f t="shared" si="24"/>
        <v>#VALUE!</v>
      </c>
      <c r="N157" s="16" t="e">
        <f t="shared" si="25"/>
        <v>#VALUE!</v>
      </c>
      <c r="O157" s="16" t="str">
        <f t="shared" si="26"/>
        <v>Other</v>
      </c>
      <c r="P157" s="16" t="str">
        <f t="shared" si="27"/>
        <v/>
      </c>
      <c r="R157" s="17"/>
      <c r="S157" s="8" t="str">
        <v/>
      </c>
      <c r="T157" s="18" t="str">
        <f>IFERROR( IF( COUNTIF($R$2:R157,R157)=1, IF(VALUE(R157)=0,"",VALUE(R157)), "" ), "" )</f>
        <v/>
      </c>
      <c r="U157" s="8" t="str">
        <f t="shared" si="28"/>
        <v/>
      </c>
      <c r="V157" s="26"/>
      <c r="W157" s="19"/>
      <c r="X157" s="19"/>
      <c r="Y157" s="7"/>
    </row>
    <row r="158" spans="1:25" ht="25.05" customHeight="1" x14ac:dyDescent="0.45">
      <c r="A158" s="2"/>
      <c r="B158" s="2"/>
      <c r="C158" s="2"/>
      <c r="D158" s="3"/>
      <c r="E158" s="2"/>
      <c r="F158" s="2"/>
      <c r="G158" s="2"/>
      <c r="H158" s="2"/>
      <c r="K158" s="15" t="e">
        <f t="shared" si="22"/>
        <v>#VALUE!</v>
      </c>
      <c r="L158" s="15" t="e">
        <f t="shared" si="23"/>
        <v>#VALUE!</v>
      </c>
      <c r="M158" s="16" t="e">
        <f t="shared" si="24"/>
        <v>#VALUE!</v>
      </c>
      <c r="N158" s="16" t="e">
        <f t="shared" si="25"/>
        <v>#VALUE!</v>
      </c>
      <c r="O158" s="16" t="str">
        <f t="shared" si="26"/>
        <v>Other</v>
      </c>
      <c r="P158" s="16" t="str">
        <f t="shared" si="27"/>
        <v/>
      </c>
      <c r="R158" s="17"/>
      <c r="S158" s="8" t="str">
        <v/>
      </c>
      <c r="T158" s="18" t="str">
        <f>IFERROR( IF( COUNTIF($R$2:R158,R158)=1, IF(VALUE(R158)=0,"",VALUE(R158)), "" ), "" )</f>
        <v/>
      </c>
      <c r="U158" s="8" t="str">
        <f t="shared" si="28"/>
        <v/>
      </c>
      <c r="V158" s="26"/>
      <c r="W158" s="19"/>
      <c r="X158" s="19"/>
      <c r="Y158" s="7"/>
    </row>
    <row r="159" spans="1:25" ht="25.05" customHeight="1" x14ac:dyDescent="0.45">
      <c r="A159" s="2"/>
      <c r="B159" s="2"/>
      <c r="C159" s="2"/>
      <c r="D159" s="3"/>
      <c r="E159" s="2"/>
      <c r="F159" s="2"/>
      <c r="G159" s="2"/>
      <c r="H159" s="2"/>
      <c r="K159" s="15" t="e">
        <f t="shared" si="22"/>
        <v>#VALUE!</v>
      </c>
      <c r="L159" s="15" t="e">
        <f t="shared" si="23"/>
        <v>#VALUE!</v>
      </c>
      <c r="M159" s="16" t="e">
        <f t="shared" si="24"/>
        <v>#VALUE!</v>
      </c>
      <c r="N159" s="16" t="e">
        <f t="shared" si="25"/>
        <v>#VALUE!</v>
      </c>
      <c r="O159" s="16" t="str">
        <f t="shared" si="26"/>
        <v>Other</v>
      </c>
      <c r="P159" s="16" t="str">
        <f t="shared" si="27"/>
        <v/>
      </c>
      <c r="R159" s="17"/>
      <c r="S159" s="8" t="str">
        <v/>
      </c>
      <c r="T159" s="18" t="str">
        <f>IFERROR( IF( COUNTIF($R$2:R159,R159)=1, IF(VALUE(R159)=0,"",VALUE(R159)), "" ), "" )</f>
        <v/>
      </c>
      <c r="U159" s="8" t="str">
        <f t="shared" si="28"/>
        <v/>
      </c>
      <c r="V159" s="26"/>
      <c r="W159" s="19"/>
      <c r="X159" s="19"/>
      <c r="Y159" s="7"/>
    </row>
    <row r="160" spans="1:25" ht="25.05" customHeight="1" x14ac:dyDescent="0.45">
      <c r="A160" s="2"/>
      <c r="B160" s="2"/>
      <c r="C160" s="2"/>
      <c r="D160" s="3"/>
      <c r="E160" s="2"/>
      <c r="F160" s="2"/>
      <c r="G160" s="2"/>
      <c r="H160" s="2"/>
      <c r="K160" s="15" t="e">
        <f t="shared" si="22"/>
        <v>#VALUE!</v>
      </c>
      <c r="L160" s="15" t="e">
        <f t="shared" si="23"/>
        <v>#VALUE!</v>
      </c>
      <c r="M160" s="16" t="e">
        <f t="shared" si="24"/>
        <v>#VALUE!</v>
      </c>
      <c r="N160" s="16" t="e">
        <f t="shared" si="25"/>
        <v>#VALUE!</v>
      </c>
      <c r="O160" s="16" t="str">
        <f t="shared" si="26"/>
        <v>Other</v>
      </c>
      <c r="P160" s="16" t="str">
        <f t="shared" si="27"/>
        <v/>
      </c>
      <c r="R160" s="17"/>
      <c r="S160" s="8" t="str">
        <v/>
      </c>
      <c r="T160" s="18" t="str">
        <f>IFERROR( IF( COUNTIF($R$2:R160,R160)=1, IF(VALUE(R160)=0,"",VALUE(R160)), "" ), "" )</f>
        <v/>
      </c>
      <c r="U160" s="8" t="str">
        <f t="shared" si="28"/>
        <v/>
      </c>
      <c r="V160" s="26"/>
      <c r="W160" s="19"/>
      <c r="X160" s="19"/>
      <c r="Y160" s="7"/>
    </row>
    <row r="161" spans="1:25" ht="25.05" customHeight="1" x14ac:dyDescent="0.45">
      <c r="A161" s="2"/>
      <c r="B161" s="2"/>
      <c r="C161" s="2"/>
      <c r="D161" s="3"/>
      <c r="E161" s="2"/>
      <c r="F161" s="2"/>
      <c r="G161" s="2"/>
      <c r="H161" s="2"/>
      <c r="K161" s="15" t="e">
        <f t="shared" si="22"/>
        <v>#VALUE!</v>
      </c>
      <c r="L161" s="15" t="e">
        <f t="shared" si="23"/>
        <v>#VALUE!</v>
      </c>
      <c r="M161" s="16" t="e">
        <f t="shared" si="24"/>
        <v>#VALUE!</v>
      </c>
      <c r="N161" s="16" t="e">
        <f t="shared" si="25"/>
        <v>#VALUE!</v>
      </c>
      <c r="O161" s="16" t="str">
        <f t="shared" si="26"/>
        <v>Other</v>
      </c>
      <c r="P161" s="16" t="str">
        <f t="shared" si="27"/>
        <v/>
      </c>
      <c r="R161" s="17"/>
      <c r="S161" s="8" t="str">
        <v/>
      </c>
      <c r="T161" s="18" t="str">
        <f>IFERROR( IF( COUNTIF($R$2:R161,R161)=1, IF(VALUE(R161)=0,"",VALUE(R161)), "" ), "" )</f>
        <v/>
      </c>
      <c r="U161" s="8" t="str">
        <f t="shared" si="28"/>
        <v/>
      </c>
      <c r="V161" s="26"/>
      <c r="W161" s="19"/>
      <c r="X161" s="19"/>
      <c r="Y161" s="7"/>
    </row>
    <row r="162" spans="1:25" ht="25.05" customHeight="1" x14ac:dyDescent="0.45">
      <c r="A162" s="2"/>
      <c r="B162" s="2"/>
      <c r="C162" s="2"/>
      <c r="D162" s="3"/>
      <c r="E162" s="2"/>
      <c r="F162" s="2"/>
      <c r="G162" s="2"/>
      <c r="H162" s="2"/>
      <c r="K162" s="15" t="e">
        <f t="shared" si="22"/>
        <v>#VALUE!</v>
      </c>
      <c r="L162" s="15" t="e">
        <f t="shared" ref="L162:L168" si="29">LEFT(C162, FIND("-", C162)-1)</f>
        <v>#VALUE!</v>
      </c>
      <c r="M162" s="16" t="e">
        <f t="shared" si="24"/>
        <v>#VALUE!</v>
      </c>
      <c r="N162" s="16" t="e">
        <f t="shared" ref="N162:N225" si="30">K162 &amp; " &lt;&gt; " &amp; L162</f>
        <v>#VALUE!</v>
      </c>
      <c r="O162" s="16" t="str">
        <f t="shared" si="26"/>
        <v>Other</v>
      </c>
      <c r="P162" s="16" t="str">
        <f t="shared" si="27"/>
        <v/>
      </c>
      <c r="R162" s="17"/>
      <c r="S162" s="8" t="str">
        <v/>
      </c>
      <c r="T162" s="18" t="str">
        <f>IFERROR( IF( COUNTIF($R$2:R162,R162)=1, IF(VALUE(R162)=0,"",VALUE(R162)), "" ), "" )</f>
        <v/>
      </c>
      <c r="U162" s="8" t="str">
        <f t="shared" si="28"/>
        <v/>
      </c>
      <c r="V162" s="26"/>
      <c r="W162" s="19"/>
      <c r="X162" s="19"/>
      <c r="Y162" s="7"/>
    </row>
    <row r="163" spans="1:25" ht="25.05" customHeight="1" x14ac:dyDescent="0.45">
      <c r="A163" s="2"/>
      <c r="B163" s="2"/>
      <c r="C163" s="2"/>
      <c r="D163" s="3"/>
      <c r="E163" s="2"/>
      <c r="F163" s="2"/>
      <c r="G163" s="2"/>
      <c r="H163" s="2"/>
      <c r="K163" s="15" t="e">
        <f t="shared" si="22"/>
        <v>#VALUE!</v>
      </c>
      <c r="L163" s="15" t="e">
        <f t="shared" si="29"/>
        <v>#VALUE!</v>
      </c>
      <c r="M163" s="16" t="e">
        <f t="shared" si="24"/>
        <v>#VALUE!</v>
      </c>
      <c r="N163" s="16" t="e">
        <f t="shared" si="30"/>
        <v>#VALUE!</v>
      </c>
      <c r="O163" s="16" t="str">
        <f t="shared" si="26"/>
        <v>Other</v>
      </c>
      <c r="P163" s="16" t="str">
        <f t="shared" si="27"/>
        <v/>
      </c>
      <c r="R163" s="17"/>
      <c r="S163" s="8" t="str">
        <v/>
      </c>
      <c r="T163" s="18" t="str">
        <f>IFERROR( IF( COUNTIF($R$2:R163,R163)=1, IF(VALUE(R163)=0,"",VALUE(R163)), "" ), "" )</f>
        <v/>
      </c>
      <c r="U163" s="8" t="str">
        <f t="shared" si="28"/>
        <v/>
      </c>
      <c r="V163" s="26"/>
      <c r="W163" s="19"/>
      <c r="X163" s="19"/>
      <c r="Y163" s="7"/>
    </row>
    <row r="164" spans="1:25" ht="25.05" customHeight="1" x14ac:dyDescent="0.45">
      <c r="A164" s="2"/>
      <c r="B164" s="2"/>
      <c r="C164" s="2"/>
      <c r="D164" s="3"/>
      <c r="E164" s="2"/>
      <c r="F164" s="2"/>
      <c r="G164" s="2"/>
      <c r="H164" s="2"/>
      <c r="K164" s="15" t="e">
        <f t="shared" si="22"/>
        <v>#VALUE!</v>
      </c>
      <c r="L164" s="15" t="e">
        <f t="shared" si="29"/>
        <v>#VALUE!</v>
      </c>
      <c r="M164" s="16" t="e">
        <f t="shared" si="24"/>
        <v>#VALUE!</v>
      </c>
      <c r="N164" s="16" t="e">
        <f t="shared" si="30"/>
        <v>#VALUE!</v>
      </c>
      <c r="O164" s="16" t="str">
        <f t="shared" si="26"/>
        <v>Other</v>
      </c>
      <c r="P164" s="16" t="str">
        <f t="shared" si="27"/>
        <v/>
      </c>
      <c r="R164" s="17"/>
      <c r="S164" s="8" t="str">
        <v/>
      </c>
      <c r="T164" s="18" t="str">
        <f>IFERROR( IF( COUNTIF($R$2:R164,R164)=1, IF(VALUE(R164)=0,"",VALUE(R164)), "" ), "" )</f>
        <v/>
      </c>
      <c r="U164" s="8" t="str">
        <f t="shared" si="28"/>
        <v/>
      </c>
      <c r="V164" s="26"/>
      <c r="W164" s="19"/>
      <c r="X164" s="19"/>
      <c r="Y164" s="7"/>
    </row>
    <row r="165" spans="1:25" ht="25.05" customHeight="1" x14ac:dyDescent="0.45">
      <c r="A165" s="2"/>
      <c r="B165" s="2"/>
      <c r="C165" s="2"/>
      <c r="D165" s="3"/>
      <c r="E165" s="2"/>
      <c r="F165" s="2"/>
      <c r="G165" s="2"/>
      <c r="H165" s="2"/>
      <c r="K165" s="15" t="e">
        <f t="shared" si="22"/>
        <v>#VALUE!</v>
      </c>
      <c r="L165" s="15" t="e">
        <f t="shared" si="29"/>
        <v>#VALUE!</v>
      </c>
      <c r="M165" s="16" t="e">
        <f t="shared" si="24"/>
        <v>#VALUE!</v>
      </c>
      <c r="N165" s="16" t="e">
        <f t="shared" si="30"/>
        <v>#VALUE!</v>
      </c>
      <c r="O165" s="16" t="str">
        <f t="shared" si="26"/>
        <v>Other</v>
      </c>
      <c r="P165" s="16" t="str">
        <f t="shared" si="27"/>
        <v/>
      </c>
      <c r="R165" s="17"/>
      <c r="S165" s="8" t="str">
        <v/>
      </c>
      <c r="T165" s="18" t="str">
        <f>IFERROR( IF( COUNTIF($R$2:R165,R165)=1, IF(VALUE(R165)=0,"",VALUE(R165)), "" ), "" )</f>
        <v/>
      </c>
      <c r="U165" s="8" t="str">
        <f t="shared" si="28"/>
        <v/>
      </c>
      <c r="V165" s="26"/>
      <c r="W165" s="19"/>
      <c r="X165" s="19"/>
      <c r="Y165" s="7"/>
    </row>
    <row r="166" spans="1:25" ht="25.05" customHeight="1" x14ac:dyDescent="0.45">
      <c r="A166" s="2"/>
      <c r="B166" s="2"/>
      <c r="C166" s="2"/>
      <c r="D166" s="3"/>
      <c r="E166" s="2"/>
      <c r="F166" s="2"/>
      <c r="G166" s="2"/>
      <c r="H166" s="2"/>
      <c r="K166" s="15" t="e">
        <f t="shared" si="22"/>
        <v>#VALUE!</v>
      </c>
      <c r="L166" s="15" t="e">
        <f t="shared" si="29"/>
        <v>#VALUE!</v>
      </c>
      <c r="M166" s="16" t="e">
        <f t="shared" si="24"/>
        <v>#VALUE!</v>
      </c>
      <c r="N166" s="16" t="e">
        <f t="shared" si="30"/>
        <v>#VALUE!</v>
      </c>
      <c r="O166" s="16" t="str">
        <f t="shared" ref="O166:O229" si="31">IF(LEFT(E166, 6)="TenGig", "10G (Ten Gig)", IF(LEFT(E166, 10)="HundredGig", "100G (Hundred Gig)", "Other"))</f>
        <v>Other</v>
      </c>
      <c r="P166" s="16" t="str">
        <f t="shared" si="27"/>
        <v/>
      </c>
      <c r="R166" s="17"/>
      <c r="S166" s="8" t="str">
        <v/>
      </c>
      <c r="T166" s="18" t="str">
        <f>IFERROR( IF( COUNTIF($R$2:R166,R166)=1, IF(VALUE(R166)=0,"",VALUE(R166)), "" ), "" )</f>
        <v/>
      </c>
      <c r="U166" s="8" t="str">
        <f t="shared" si="28"/>
        <v/>
      </c>
      <c r="V166" s="26"/>
      <c r="W166" s="19"/>
      <c r="X166" s="19"/>
      <c r="Y166" s="7"/>
    </row>
    <row r="167" spans="1:25" ht="25.05" customHeight="1" x14ac:dyDescent="0.45">
      <c r="A167" s="2"/>
      <c r="B167" s="2"/>
      <c r="C167" s="2"/>
      <c r="D167" s="3"/>
      <c r="E167" s="2"/>
      <c r="F167" s="2"/>
      <c r="G167" s="2"/>
      <c r="H167" s="2"/>
      <c r="K167" s="15" t="e">
        <f t="shared" ref="K167:K230" si="32">LEFT(A167, FIND("-", A167)-1)</f>
        <v>#VALUE!</v>
      </c>
      <c r="L167" s="15" t="e">
        <f t="shared" si="29"/>
        <v>#VALUE!</v>
      </c>
      <c r="M167" s="16" t="e">
        <f t="shared" si="24"/>
        <v>#VALUE!</v>
      </c>
      <c r="N167" s="16" t="e">
        <f t="shared" si="30"/>
        <v>#VALUE!</v>
      </c>
      <c r="O167" s="16" t="str">
        <f t="shared" si="31"/>
        <v>Other</v>
      </c>
      <c r="P167" s="16" t="str">
        <f t="shared" si="27"/>
        <v/>
      </c>
      <c r="R167" s="17"/>
      <c r="S167" s="8" t="str">
        <v/>
      </c>
      <c r="T167" s="18" t="str">
        <f>IFERROR( IF( COUNTIF($R$2:R167,R167)=1, IF(VALUE(R167)=0,"",VALUE(R167)), "" ), "" )</f>
        <v/>
      </c>
      <c r="U167" s="8" t="str">
        <f t="shared" si="28"/>
        <v/>
      </c>
      <c r="V167" s="26"/>
      <c r="W167" s="19"/>
      <c r="X167" s="19"/>
      <c r="Y167" s="7"/>
    </row>
    <row r="168" spans="1:25" ht="25.05" customHeight="1" x14ac:dyDescent="0.45">
      <c r="A168" s="2"/>
      <c r="B168" s="2"/>
      <c r="C168" s="2"/>
      <c r="D168" s="3"/>
      <c r="E168" s="2"/>
      <c r="F168" s="2"/>
      <c r="G168" s="2"/>
      <c r="H168" s="2"/>
      <c r="K168" s="15" t="e">
        <f t="shared" si="32"/>
        <v>#VALUE!</v>
      </c>
      <c r="L168" s="15" t="e">
        <f t="shared" si="29"/>
        <v>#VALUE!</v>
      </c>
      <c r="M168" s="16" t="e">
        <f t="shared" si="24"/>
        <v>#VALUE!</v>
      </c>
      <c r="N168" s="16" t="e">
        <f t="shared" si="30"/>
        <v>#VALUE!</v>
      </c>
      <c r="O168" s="16" t="str">
        <f t="shared" si="31"/>
        <v>Other</v>
      </c>
      <c r="P168" s="16" t="str">
        <f t="shared" si="27"/>
        <v/>
      </c>
      <c r="R168" s="17"/>
      <c r="S168" s="8" t="str">
        <v/>
      </c>
      <c r="T168" s="18" t="str">
        <f>IFERROR( IF( COUNTIF($R$2:R168,R168)=1, IF(VALUE(R168)=0,"",VALUE(R168)), "" ), "" )</f>
        <v/>
      </c>
      <c r="U168" s="8" t="str">
        <f t="shared" si="28"/>
        <v/>
      </c>
      <c r="V168" s="26"/>
      <c r="W168" s="19"/>
      <c r="X168" s="19"/>
      <c r="Y168" s="7"/>
    </row>
    <row r="169" spans="1:25" ht="25.05" customHeight="1" x14ac:dyDescent="0.45">
      <c r="A169" s="2"/>
      <c r="B169" s="2"/>
      <c r="C169" s="2"/>
      <c r="D169" s="3"/>
      <c r="E169" s="2"/>
      <c r="F169" s="2"/>
      <c r="G169" s="2"/>
      <c r="H169" s="2"/>
      <c r="K169" s="15" t="e">
        <f t="shared" si="32"/>
        <v>#VALUE!</v>
      </c>
      <c r="L169" s="15" t="e">
        <f t="shared" ref="L169:L232" si="33">LEFT(C169, FIND("-", C169)-1)</f>
        <v>#VALUE!</v>
      </c>
      <c r="M169" s="16" t="e">
        <f t="shared" si="24"/>
        <v>#VALUE!</v>
      </c>
      <c r="N169" s="16" t="e">
        <f t="shared" si="30"/>
        <v>#VALUE!</v>
      </c>
      <c r="O169" s="16" t="str">
        <f t="shared" si="31"/>
        <v>Other</v>
      </c>
      <c r="P169" s="16" t="str">
        <f t="shared" si="27"/>
        <v/>
      </c>
      <c r="R169" s="17"/>
      <c r="S169" s="8" t="str">
        <v/>
      </c>
      <c r="T169" s="18" t="str">
        <f>IFERROR( IF( COUNTIF($R$2:R169,R169)=1, IF(VALUE(R169)=0,"",VALUE(R169)), "" ), "" )</f>
        <v/>
      </c>
      <c r="U169" s="8" t="str">
        <f t="shared" si="28"/>
        <v/>
      </c>
      <c r="V169" s="26"/>
      <c r="W169" s="19"/>
      <c r="X169" s="19"/>
      <c r="Y169" s="7"/>
    </row>
    <row r="170" spans="1:25" ht="25.05" customHeight="1" x14ac:dyDescent="0.45">
      <c r="A170" s="2"/>
      <c r="B170" s="2"/>
      <c r="C170" s="2"/>
      <c r="D170" s="3"/>
      <c r="E170" s="2"/>
      <c r="F170" s="2"/>
      <c r="G170" s="2"/>
      <c r="H170" s="2"/>
      <c r="K170" s="15" t="e">
        <f t="shared" si="32"/>
        <v>#VALUE!</v>
      </c>
      <c r="L170" s="15" t="e">
        <f t="shared" si="33"/>
        <v>#VALUE!</v>
      </c>
      <c r="M170" s="16" t="e">
        <f t="shared" si="24"/>
        <v>#VALUE!</v>
      </c>
      <c r="N170" s="16" t="e">
        <f t="shared" si="30"/>
        <v>#VALUE!</v>
      </c>
      <c r="O170" s="16" t="str">
        <f t="shared" si="31"/>
        <v>Other</v>
      </c>
      <c r="P170" s="16" t="str">
        <f t="shared" si="27"/>
        <v/>
      </c>
      <c r="R170" s="17"/>
      <c r="S170" s="8" t="str">
        <v/>
      </c>
      <c r="T170" s="18" t="str">
        <f>IFERROR( IF( COUNTIF($R$2:R170,R170)=1, IF(VALUE(R170)=0,"",VALUE(R170)), "" ), "" )</f>
        <v/>
      </c>
      <c r="U170" s="8" t="str">
        <f t="shared" si="28"/>
        <v/>
      </c>
      <c r="V170" s="26"/>
      <c r="W170" s="19"/>
      <c r="X170" s="19"/>
      <c r="Y170" s="7"/>
    </row>
    <row r="171" spans="1:25" ht="25.05" customHeight="1" x14ac:dyDescent="0.45">
      <c r="A171" s="2"/>
      <c r="B171" s="2"/>
      <c r="C171" s="2"/>
      <c r="D171" s="3"/>
      <c r="E171" s="2"/>
      <c r="F171" s="2"/>
      <c r="G171" s="2"/>
      <c r="H171" s="2"/>
      <c r="K171" s="15" t="e">
        <f t="shared" si="32"/>
        <v>#VALUE!</v>
      </c>
      <c r="L171" s="15" t="e">
        <f t="shared" si="33"/>
        <v>#VALUE!</v>
      </c>
      <c r="M171" s="16" t="e">
        <f t="shared" si="24"/>
        <v>#VALUE!</v>
      </c>
      <c r="N171" s="16" t="e">
        <f t="shared" si="30"/>
        <v>#VALUE!</v>
      </c>
      <c r="O171" s="16" t="str">
        <f t="shared" si="31"/>
        <v>Other</v>
      </c>
      <c r="P171" s="16" t="str">
        <f t="shared" si="27"/>
        <v/>
      </c>
      <c r="R171" s="17"/>
      <c r="S171" s="8" t="str">
        <v/>
      </c>
      <c r="T171" s="18" t="str">
        <f>IFERROR( IF( COUNTIF($R$2:R171,R171)=1, IF(VALUE(R171)=0,"",VALUE(R171)), "" ), "" )</f>
        <v/>
      </c>
      <c r="U171" s="8" t="str">
        <f t="shared" si="28"/>
        <v/>
      </c>
      <c r="V171" s="26"/>
      <c r="W171" s="19"/>
      <c r="X171" s="19"/>
      <c r="Y171" s="7"/>
    </row>
    <row r="172" spans="1:25" ht="25.05" customHeight="1" x14ac:dyDescent="0.45">
      <c r="A172" s="2"/>
      <c r="B172" s="2"/>
      <c r="C172" s="2"/>
      <c r="D172" s="3"/>
      <c r="E172" s="2"/>
      <c r="F172" s="2"/>
      <c r="G172" s="2"/>
      <c r="H172" s="2"/>
      <c r="K172" s="15" t="e">
        <f t="shared" si="32"/>
        <v>#VALUE!</v>
      </c>
      <c r="L172" s="15" t="e">
        <f t="shared" si="33"/>
        <v>#VALUE!</v>
      </c>
      <c r="M172" s="16" t="e">
        <f t="shared" si="24"/>
        <v>#VALUE!</v>
      </c>
      <c r="N172" s="16" t="e">
        <f t="shared" si="30"/>
        <v>#VALUE!</v>
      </c>
      <c r="O172" s="16" t="str">
        <f t="shared" si="31"/>
        <v>Other</v>
      </c>
      <c r="P172" s="16" t="str">
        <f t="shared" si="27"/>
        <v/>
      </c>
      <c r="R172" s="17"/>
      <c r="S172" s="8" t="str">
        <v/>
      </c>
      <c r="T172" s="18" t="str">
        <f>IFERROR( IF( COUNTIF($R$2:R172,R172)=1, IF(VALUE(R172)=0,"",VALUE(R172)), "" ), "" )</f>
        <v/>
      </c>
      <c r="U172" s="8" t="str">
        <f t="shared" si="28"/>
        <v/>
      </c>
      <c r="V172" s="26"/>
      <c r="W172" s="19"/>
      <c r="X172" s="19"/>
      <c r="Y172" s="7"/>
    </row>
    <row r="173" spans="1:25" ht="25.05" customHeight="1" x14ac:dyDescent="0.45">
      <c r="A173" s="2"/>
      <c r="B173" s="2"/>
      <c r="C173" s="2"/>
      <c r="D173" s="3"/>
      <c r="E173" s="2"/>
      <c r="F173" s="2"/>
      <c r="G173" s="2"/>
      <c r="H173" s="2"/>
      <c r="K173" s="15" t="e">
        <f t="shared" si="32"/>
        <v>#VALUE!</v>
      </c>
      <c r="L173" s="15" t="e">
        <f t="shared" si="33"/>
        <v>#VALUE!</v>
      </c>
      <c r="M173" s="16" t="e">
        <f t="shared" si="24"/>
        <v>#VALUE!</v>
      </c>
      <c r="N173" s="16" t="e">
        <f t="shared" si="30"/>
        <v>#VALUE!</v>
      </c>
      <c r="O173" s="16" t="str">
        <f t="shared" si="31"/>
        <v>Other</v>
      </c>
      <c r="P173" s="16" t="str">
        <f t="shared" si="27"/>
        <v/>
      </c>
      <c r="R173" s="17"/>
      <c r="S173" s="8" t="str">
        <v/>
      </c>
      <c r="T173" s="18" t="str">
        <f>IFERROR( IF( COUNTIF($R$2:R173,R173)=1, IF(VALUE(R173)=0,"",VALUE(R173)), "" ), "" )</f>
        <v/>
      </c>
      <c r="U173" s="8" t="str">
        <f t="shared" si="28"/>
        <v/>
      </c>
      <c r="V173" s="26"/>
      <c r="W173" s="19"/>
      <c r="X173" s="19"/>
      <c r="Y173" s="7"/>
    </row>
    <row r="174" spans="1:25" ht="25.05" customHeight="1" x14ac:dyDescent="0.45">
      <c r="A174" s="2"/>
      <c r="B174" s="2"/>
      <c r="C174" s="2"/>
      <c r="D174" s="3"/>
      <c r="E174" s="2"/>
      <c r="F174" s="2"/>
      <c r="G174" s="2"/>
      <c r="H174" s="2"/>
      <c r="K174" s="15" t="e">
        <f t="shared" si="32"/>
        <v>#VALUE!</v>
      </c>
      <c r="L174" s="15" t="e">
        <f t="shared" si="33"/>
        <v>#VALUE!</v>
      </c>
      <c r="M174" s="16" t="e">
        <f t="shared" si="24"/>
        <v>#VALUE!</v>
      </c>
      <c r="N174" s="16" t="e">
        <f t="shared" si="30"/>
        <v>#VALUE!</v>
      </c>
      <c r="O174" s="16" t="str">
        <f t="shared" si="31"/>
        <v>Other</v>
      </c>
      <c r="P174" s="16" t="str">
        <f t="shared" si="27"/>
        <v/>
      </c>
      <c r="S174" s="7" t="str">
        <v/>
      </c>
      <c r="T174" s="18" t="str">
        <f>IFERROR( IF( COUNTIF($R$2:R174,R174)=1, IF(VALUE(R174)=0,"",VALUE(R174)), "" ), "" )</f>
        <v/>
      </c>
      <c r="U174" s="8" t="str">
        <f t="shared" si="28"/>
        <v/>
      </c>
      <c r="V174" s="26"/>
      <c r="W174" s="19"/>
      <c r="X174" s="19"/>
      <c r="Y174" s="7"/>
    </row>
    <row r="175" spans="1:25" ht="25.05" customHeight="1" x14ac:dyDescent="0.45">
      <c r="A175" s="2"/>
      <c r="B175" s="2"/>
      <c r="C175" s="2"/>
      <c r="D175" s="3"/>
      <c r="E175" s="2"/>
      <c r="F175" s="2"/>
      <c r="G175" s="2"/>
      <c r="H175" s="2"/>
      <c r="K175" s="15" t="e">
        <f t="shared" si="32"/>
        <v>#VALUE!</v>
      </c>
      <c r="L175" s="15" t="e">
        <f t="shared" si="33"/>
        <v>#VALUE!</v>
      </c>
      <c r="M175" s="16" t="e">
        <f t="shared" si="24"/>
        <v>#VALUE!</v>
      </c>
      <c r="N175" s="16" t="e">
        <f t="shared" si="30"/>
        <v>#VALUE!</v>
      </c>
      <c r="O175" s="16" t="str">
        <f t="shared" si="31"/>
        <v>Other</v>
      </c>
      <c r="P175" s="16" t="str">
        <f t="shared" si="27"/>
        <v/>
      </c>
      <c r="S175" s="7" t="str">
        <v/>
      </c>
      <c r="T175" s="18" t="str">
        <f>IFERROR( IF( COUNTIF($R$2:R175,R175)=1, IF(VALUE(R175)=0,"",VALUE(R175)), "" ), "" )</f>
        <v/>
      </c>
      <c r="U175" s="8" t="str">
        <f t="shared" si="28"/>
        <v/>
      </c>
      <c r="V175" s="26"/>
      <c r="W175" s="19"/>
      <c r="X175" s="19"/>
      <c r="Y175" s="7"/>
    </row>
    <row r="176" spans="1:25" ht="25.05" customHeight="1" x14ac:dyDescent="0.45">
      <c r="A176" s="2"/>
      <c r="B176" s="2"/>
      <c r="C176" s="2"/>
      <c r="D176" s="3"/>
      <c r="E176" s="2"/>
      <c r="F176" s="2"/>
      <c r="G176" s="2"/>
      <c r="H176" s="2"/>
      <c r="K176" s="15" t="e">
        <f t="shared" si="32"/>
        <v>#VALUE!</v>
      </c>
      <c r="L176" s="15" t="e">
        <f t="shared" si="33"/>
        <v>#VALUE!</v>
      </c>
      <c r="M176" s="16" t="e">
        <f t="shared" si="24"/>
        <v>#VALUE!</v>
      </c>
      <c r="N176" s="16" t="e">
        <f t="shared" si="30"/>
        <v>#VALUE!</v>
      </c>
      <c r="O176" s="16" t="str">
        <f t="shared" si="31"/>
        <v>Other</v>
      </c>
      <c r="P176" s="16" t="str">
        <f t="shared" si="27"/>
        <v/>
      </c>
      <c r="S176" s="7" t="str">
        <v/>
      </c>
      <c r="T176" s="18" t="str">
        <f>IFERROR( IF( COUNTIF($R$2:R176,R176)=1, IF(VALUE(R176)=0,"",VALUE(R176)), "" ), "" )</f>
        <v/>
      </c>
      <c r="U176" s="8" t="str">
        <f t="shared" si="28"/>
        <v/>
      </c>
      <c r="V176" s="26"/>
      <c r="W176" s="19"/>
      <c r="X176" s="19"/>
      <c r="Y176" s="7"/>
    </row>
    <row r="177" spans="1:25" ht="25.05" customHeight="1" x14ac:dyDescent="0.45">
      <c r="A177" s="2"/>
      <c r="B177" s="2"/>
      <c r="C177" s="2"/>
      <c r="D177" s="3"/>
      <c r="E177" s="2"/>
      <c r="F177" s="2"/>
      <c r="G177" s="2"/>
      <c r="H177" s="2"/>
      <c r="K177" s="15" t="e">
        <f t="shared" si="32"/>
        <v>#VALUE!</v>
      </c>
      <c r="L177" s="15" t="e">
        <f t="shared" si="33"/>
        <v>#VALUE!</v>
      </c>
      <c r="M177" s="16" t="e">
        <f t="shared" si="24"/>
        <v>#VALUE!</v>
      </c>
      <c r="N177" s="16" t="e">
        <f t="shared" si="30"/>
        <v>#VALUE!</v>
      </c>
      <c r="O177" s="16" t="str">
        <f t="shared" si="31"/>
        <v>Other</v>
      </c>
      <c r="P177" s="16" t="str">
        <f t="shared" si="27"/>
        <v/>
      </c>
      <c r="S177" s="7" t="str">
        <v/>
      </c>
      <c r="T177" s="18" t="str">
        <f>IFERROR( IF( COUNTIF($R$2:R177,R177)=1, IF(VALUE(R177)=0,"",VALUE(R177)), "" ), "" )</f>
        <v/>
      </c>
      <c r="U177" s="8" t="str">
        <f t="shared" si="28"/>
        <v/>
      </c>
      <c r="V177" s="26"/>
      <c r="W177" s="19"/>
      <c r="X177" s="19"/>
      <c r="Y177" s="7"/>
    </row>
    <row r="178" spans="1:25" ht="25.05" customHeight="1" x14ac:dyDescent="0.45">
      <c r="A178" s="2"/>
      <c r="B178" s="2"/>
      <c r="C178" s="2"/>
      <c r="D178" s="3"/>
      <c r="E178" s="2"/>
      <c r="F178" s="2"/>
      <c r="G178" s="2"/>
      <c r="H178" s="2"/>
      <c r="K178" s="15" t="e">
        <f t="shared" si="32"/>
        <v>#VALUE!</v>
      </c>
      <c r="L178" s="15" t="e">
        <f t="shared" si="33"/>
        <v>#VALUE!</v>
      </c>
      <c r="M178" s="16" t="e">
        <f t="shared" si="24"/>
        <v>#VALUE!</v>
      </c>
      <c r="N178" s="16" t="e">
        <f t="shared" si="30"/>
        <v>#VALUE!</v>
      </c>
      <c r="O178" s="16" t="str">
        <f t="shared" si="31"/>
        <v>Other</v>
      </c>
      <c r="P178" s="16" t="str">
        <f t="shared" si="27"/>
        <v/>
      </c>
      <c r="S178" s="7" t="str">
        <v/>
      </c>
      <c r="T178" s="18" t="str">
        <f>IFERROR( IF( COUNTIF($R$2:R178,R178)=1, IF(VALUE(R178)=0,"",VALUE(R178)), "" ), "" )</f>
        <v/>
      </c>
      <c r="U178" s="8" t="str">
        <f t="shared" si="28"/>
        <v/>
      </c>
      <c r="V178" s="26"/>
      <c r="W178" s="19"/>
      <c r="X178" s="19"/>
      <c r="Y178" s="7"/>
    </row>
    <row r="179" spans="1:25" ht="25.05" customHeight="1" x14ac:dyDescent="0.45">
      <c r="A179" s="2"/>
      <c r="B179" s="2"/>
      <c r="C179" s="2"/>
      <c r="D179" s="3"/>
      <c r="E179" s="2"/>
      <c r="F179" s="2"/>
      <c r="G179" s="2"/>
      <c r="H179" s="2"/>
      <c r="K179" s="15" t="e">
        <f t="shared" si="32"/>
        <v>#VALUE!</v>
      </c>
      <c r="L179" s="15" t="e">
        <f t="shared" si="33"/>
        <v>#VALUE!</v>
      </c>
      <c r="M179" s="16" t="e">
        <f t="shared" si="24"/>
        <v>#VALUE!</v>
      </c>
      <c r="N179" s="16" t="e">
        <f t="shared" si="30"/>
        <v>#VALUE!</v>
      </c>
      <c r="O179" s="16" t="str">
        <f t="shared" si="31"/>
        <v>Other</v>
      </c>
      <c r="P179" s="16" t="str">
        <f t="shared" si="27"/>
        <v/>
      </c>
      <c r="S179" s="7" t="str">
        <v/>
      </c>
      <c r="T179" s="18" t="str">
        <f>IFERROR( IF( COUNTIF($R$2:R179,R179)=1, IF(VALUE(R179)=0,"",VALUE(R179)), "" ), "" )</f>
        <v/>
      </c>
      <c r="U179" s="8" t="str">
        <f t="shared" si="28"/>
        <v/>
      </c>
      <c r="V179" s="26"/>
      <c r="W179" s="19"/>
      <c r="X179" s="19"/>
      <c r="Y179" s="7"/>
    </row>
    <row r="180" spans="1:25" ht="25.05" customHeight="1" x14ac:dyDescent="0.45">
      <c r="A180" s="2"/>
      <c r="B180" s="2"/>
      <c r="C180" s="2"/>
      <c r="D180" s="3"/>
      <c r="E180" s="2"/>
      <c r="F180" s="2"/>
      <c r="G180" s="2"/>
      <c r="H180" s="2"/>
      <c r="K180" s="15" t="e">
        <f t="shared" si="32"/>
        <v>#VALUE!</v>
      </c>
      <c r="L180" s="15" t="e">
        <f t="shared" si="33"/>
        <v>#VALUE!</v>
      </c>
      <c r="M180" s="16" t="e">
        <f t="shared" si="24"/>
        <v>#VALUE!</v>
      </c>
      <c r="N180" s="16" t="e">
        <f t="shared" si="30"/>
        <v>#VALUE!</v>
      </c>
      <c r="O180" s="16" t="str">
        <f t="shared" si="31"/>
        <v>Other</v>
      </c>
      <c r="P180" s="16" t="str">
        <f t="shared" si="27"/>
        <v/>
      </c>
      <c r="S180" s="7" t="str">
        <v/>
      </c>
      <c r="T180" s="18" t="str">
        <f>IFERROR( IF( COUNTIF($R$2:R180,R180)=1, IF(VALUE(R180)=0,"",VALUE(R180)), "" ), "" )</f>
        <v/>
      </c>
      <c r="U180" s="8" t="str">
        <f t="shared" si="28"/>
        <v/>
      </c>
      <c r="V180" s="26"/>
      <c r="W180" s="19"/>
      <c r="X180" s="19"/>
      <c r="Y180" s="7"/>
    </row>
    <row r="181" spans="1:25" ht="25.05" customHeight="1" x14ac:dyDescent="0.45">
      <c r="A181" s="2"/>
      <c r="B181" s="2"/>
      <c r="C181" s="2"/>
      <c r="D181" s="3"/>
      <c r="E181" s="2"/>
      <c r="F181" s="2"/>
      <c r="G181" s="2"/>
      <c r="H181" s="2"/>
      <c r="K181" s="15" t="e">
        <f t="shared" si="32"/>
        <v>#VALUE!</v>
      </c>
      <c r="L181" s="15" t="e">
        <f t="shared" si="33"/>
        <v>#VALUE!</v>
      </c>
      <c r="M181" s="16" t="e">
        <f t="shared" si="24"/>
        <v>#VALUE!</v>
      </c>
      <c r="N181" s="16" t="e">
        <f t="shared" si="30"/>
        <v>#VALUE!</v>
      </c>
      <c r="O181" s="16" t="str">
        <f t="shared" si="31"/>
        <v>Other</v>
      </c>
      <c r="P181" s="16" t="str">
        <f t="shared" si="27"/>
        <v/>
      </c>
      <c r="S181" s="7" t="str">
        <v/>
      </c>
      <c r="T181" s="18" t="str">
        <f>IFERROR( IF( COUNTIF($R$2:R181,R181)=1, IF(VALUE(R181)=0,"",VALUE(R181)), "" ), "" )</f>
        <v/>
      </c>
      <c r="U181" s="8" t="str">
        <f t="shared" si="28"/>
        <v/>
      </c>
      <c r="V181" s="26"/>
      <c r="W181" s="19"/>
      <c r="X181" s="19"/>
      <c r="Y181" s="7"/>
    </row>
    <row r="182" spans="1:25" ht="25.05" customHeight="1" x14ac:dyDescent="0.45">
      <c r="A182" s="2"/>
      <c r="B182" s="2"/>
      <c r="C182" s="2"/>
      <c r="D182" s="3"/>
      <c r="E182" s="2"/>
      <c r="F182" s="2"/>
      <c r="G182" s="2"/>
      <c r="H182" s="2"/>
      <c r="K182" s="15" t="e">
        <f t="shared" si="32"/>
        <v>#VALUE!</v>
      </c>
      <c r="L182" s="15" t="e">
        <f t="shared" si="33"/>
        <v>#VALUE!</v>
      </c>
      <c r="M182" s="16" t="e">
        <f t="shared" si="24"/>
        <v>#VALUE!</v>
      </c>
      <c r="N182" s="16" t="e">
        <f t="shared" si="30"/>
        <v>#VALUE!</v>
      </c>
      <c r="O182" s="16" t="str">
        <f t="shared" si="31"/>
        <v>Other</v>
      </c>
      <c r="P182" s="16" t="str">
        <f t="shared" si="27"/>
        <v/>
      </c>
      <c r="S182" s="7" t="str">
        <v/>
      </c>
      <c r="T182" s="18" t="str">
        <f>IFERROR( IF( COUNTIF($R$2:R182,R182)=1, IF(VALUE(R182)=0,"",VALUE(R182)), "" ), "" )</f>
        <v/>
      </c>
      <c r="U182" s="8" t="str">
        <f t="shared" si="28"/>
        <v/>
      </c>
      <c r="V182" s="26"/>
      <c r="W182" s="19"/>
      <c r="X182" s="19"/>
      <c r="Y182" s="7"/>
    </row>
    <row r="183" spans="1:25" ht="25.05" customHeight="1" x14ac:dyDescent="0.45">
      <c r="A183" s="2"/>
      <c r="B183" s="2"/>
      <c r="C183" s="2"/>
      <c r="D183" s="3"/>
      <c r="E183" s="2"/>
      <c r="F183" s="2"/>
      <c r="G183" s="2"/>
      <c r="H183" s="2"/>
      <c r="K183" s="15" t="e">
        <f t="shared" si="32"/>
        <v>#VALUE!</v>
      </c>
      <c r="L183" s="15" t="e">
        <f t="shared" si="33"/>
        <v>#VALUE!</v>
      </c>
      <c r="M183" s="16" t="e">
        <f t="shared" si="24"/>
        <v>#VALUE!</v>
      </c>
      <c r="N183" s="16" t="e">
        <f t="shared" si="30"/>
        <v>#VALUE!</v>
      </c>
      <c r="O183" s="16" t="str">
        <f t="shared" si="31"/>
        <v>Other</v>
      </c>
      <c r="P183" s="16" t="str">
        <f t="shared" si="27"/>
        <v/>
      </c>
      <c r="S183" s="7" t="str">
        <v/>
      </c>
      <c r="T183" s="18" t="str">
        <f>IFERROR( IF( COUNTIF($R$2:R183,R183)=1, IF(VALUE(R183)=0,"",VALUE(R183)), "" ), "" )</f>
        <v/>
      </c>
      <c r="U183" s="8" t="str">
        <f t="shared" si="28"/>
        <v/>
      </c>
      <c r="V183" s="26"/>
      <c r="W183" s="19"/>
      <c r="X183" s="19"/>
      <c r="Y183" s="7"/>
    </row>
    <row r="184" spans="1:25" ht="25.05" customHeight="1" x14ac:dyDescent="0.45">
      <c r="A184" s="2"/>
      <c r="B184" s="2"/>
      <c r="C184" s="2"/>
      <c r="D184" s="3"/>
      <c r="E184" s="2"/>
      <c r="F184" s="2"/>
      <c r="G184" s="2"/>
      <c r="H184" s="2"/>
      <c r="K184" s="15" t="e">
        <f t="shared" si="32"/>
        <v>#VALUE!</v>
      </c>
      <c r="L184" s="15" t="e">
        <f t="shared" si="33"/>
        <v>#VALUE!</v>
      </c>
      <c r="M184" s="16" t="e">
        <f t="shared" si="24"/>
        <v>#VALUE!</v>
      </c>
      <c r="N184" s="16" t="e">
        <f t="shared" si="30"/>
        <v>#VALUE!</v>
      </c>
      <c r="O184" s="16" t="str">
        <f t="shared" si="31"/>
        <v>Other</v>
      </c>
      <c r="P184" s="16" t="str">
        <f t="shared" si="27"/>
        <v/>
      </c>
      <c r="S184" s="7" t="str">
        <v/>
      </c>
      <c r="T184" s="18" t="str">
        <f>IFERROR( IF( COUNTIF($R$2:R184,R184)=1, IF(VALUE(R184)=0,"",VALUE(R184)), "" ), "" )</f>
        <v/>
      </c>
      <c r="U184" s="8" t="str">
        <f t="shared" si="28"/>
        <v/>
      </c>
      <c r="V184" s="26"/>
      <c r="W184" s="19"/>
      <c r="X184" s="19"/>
      <c r="Y184" s="7"/>
    </row>
    <row r="185" spans="1:25" ht="25.05" customHeight="1" x14ac:dyDescent="0.45">
      <c r="A185" s="2"/>
      <c r="B185" s="2"/>
      <c r="C185" s="2"/>
      <c r="D185" s="3"/>
      <c r="E185" s="2"/>
      <c r="F185" s="2"/>
      <c r="G185" s="2"/>
      <c r="H185" s="2"/>
      <c r="K185" s="15" t="e">
        <f t="shared" si="32"/>
        <v>#VALUE!</v>
      </c>
      <c r="L185" s="15" t="e">
        <f t="shared" si="33"/>
        <v>#VALUE!</v>
      </c>
      <c r="M185" s="16" t="e">
        <f t="shared" si="24"/>
        <v>#VALUE!</v>
      </c>
      <c r="N185" s="16" t="e">
        <f t="shared" si="30"/>
        <v>#VALUE!</v>
      </c>
      <c r="O185" s="16" t="str">
        <f t="shared" si="31"/>
        <v>Other</v>
      </c>
      <c r="P185" s="16" t="str">
        <f t="shared" si="27"/>
        <v/>
      </c>
      <c r="S185" s="7" t="str">
        <v/>
      </c>
      <c r="T185" s="18" t="str">
        <f>IFERROR( IF( COUNTIF($R$2:R185,R185)=1, IF(VALUE(R185)=0,"",VALUE(R185)), "" ), "" )</f>
        <v/>
      </c>
      <c r="U185" s="8" t="str">
        <f t="shared" si="28"/>
        <v/>
      </c>
      <c r="V185" s="26"/>
      <c r="W185" s="19"/>
      <c r="X185" s="19"/>
      <c r="Y185" s="7"/>
    </row>
    <row r="186" spans="1:25" ht="25.05" customHeight="1" x14ac:dyDescent="0.45">
      <c r="A186" s="2"/>
      <c r="B186" s="2"/>
      <c r="C186" s="2"/>
      <c r="D186" s="3"/>
      <c r="E186" s="2"/>
      <c r="F186" s="2"/>
      <c r="G186" s="2"/>
      <c r="H186" s="2"/>
      <c r="K186" s="15" t="e">
        <f t="shared" si="32"/>
        <v>#VALUE!</v>
      </c>
      <c r="L186" s="15" t="e">
        <f t="shared" si="33"/>
        <v>#VALUE!</v>
      </c>
      <c r="M186" s="16" t="e">
        <f t="shared" si="24"/>
        <v>#VALUE!</v>
      </c>
      <c r="N186" s="16" t="e">
        <f t="shared" si="30"/>
        <v>#VALUE!</v>
      </c>
      <c r="O186" s="16" t="str">
        <f t="shared" si="31"/>
        <v>Other</v>
      </c>
      <c r="P186" s="16" t="str">
        <f t="shared" si="27"/>
        <v/>
      </c>
      <c r="S186" s="7" t="str">
        <v/>
      </c>
      <c r="T186" s="18" t="str">
        <f>IFERROR( IF( COUNTIF($R$2:R186,R186)=1, IF(VALUE(R186)=0,"",VALUE(R186)), "" ), "" )</f>
        <v/>
      </c>
      <c r="U186" s="8" t="str">
        <f t="shared" si="28"/>
        <v/>
      </c>
      <c r="V186" s="26"/>
      <c r="W186" s="19"/>
      <c r="X186" s="19"/>
      <c r="Y186" s="7"/>
    </row>
    <row r="187" spans="1:25" ht="25.05" customHeight="1" x14ac:dyDescent="0.45">
      <c r="A187" s="2"/>
      <c r="B187" s="2"/>
      <c r="C187" s="2"/>
      <c r="D187" s="3"/>
      <c r="E187" s="2"/>
      <c r="F187" s="2"/>
      <c r="G187" s="2"/>
      <c r="H187" s="2"/>
      <c r="K187" s="15" t="e">
        <f t="shared" si="32"/>
        <v>#VALUE!</v>
      </c>
      <c r="L187" s="15" t="e">
        <f t="shared" si="33"/>
        <v>#VALUE!</v>
      </c>
      <c r="M187" s="16" t="e">
        <f t="shared" si="24"/>
        <v>#VALUE!</v>
      </c>
      <c r="N187" s="16" t="e">
        <f t="shared" si="30"/>
        <v>#VALUE!</v>
      </c>
      <c r="O187" s="16" t="str">
        <f t="shared" si="31"/>
        <v>Other</v>
      </c>
      <c r="P187" s="16" t="str">
        <f t="shared" si="27"/>
        <v/>
      </c>
      <c r="S187" s="7" t="str">
        <v/>
      </c>
      <c r="T187" s="18" t="str">
        <f>IFERROR( IF( COUNTIF($R$2:R187,R187)=1, IF(VALUE(R187)=0,"",VALUE(R187)), "" ), "" )</f>
        <v/>
      </c>
      <c r="U187" s="8" t="str">
        <f t="shared" si="28"/>
        <v/>
      </c>
      <c r="V187" s="26"/>
      <c r="W187" s="19"/>
      <c r="X187" s="19"/>
      <c r="Y187" s="7"/>
    </row>
    <row r="188" spans="1:25" ht="25.05" customHeight="1" x14ac:dyDescent="0.45">
      <c r="A188" s="2"/>
      <c r="B188" s="2"/>
      <c r="C188" s="2"/>
      <c r="D188" s="3"/>
      <c r="E188" s="2"/>
      <c r="F188" s="2"/>
      <c r="G188" s="2"/>
      <c r="H188" s="2"/>
      <c r="K188" s="15" t="e">
        <f t="shared" si="32"/>
        <v>#VALUE!</v>
      </c>
      <c r="L188" s="15" t="e">
        <f t="shared" si="33"/>
        <v>#VALUE!</v>
      </c>
      <c r="M188" s="16" t="e">
        <f t="shared" si="24"/>
        <v>#VALUE!</v>
      </c>
      <c r="N188" s="16" t="e">
        <f t="shared" si="30"/>
        <v>#VALUE!</v>
      </c>
      <c r="O188" s="16" t="str">
        <f t="shared" si="31"/>
        <v>Other</v>
      </c>
      <c r="P188" s="16" t="str">
        <f t="shared" si="27"/>
        <v/>
      </c>
      <c r="S188" s="7" t="str">
        <v/>
      </c>
      <c r="T188" s="18" t="str">
        <f>IFERROR( IF( COUNTIF($R$2:R188,R188)=1, IF(VALUE(R188)=0,"",VALUE(R188)), "" ), "" )</f>
        <v/>
      </c>
      <c r="U188" s="8" t="str">
        <f t="shared" si="28"/>
        <v/>
      </c>
      <c r="V188" s="26"/>
      <c r="W188" s="19"/>
      <c r="X188" s="19"/>
      <c r="Y188" s="7"/>
    </row>
    <row r="189" spans="1:25" ht="25.05" customHeight="1" x14ac:dyDescent="0.45">
      <c r="A189" s="2"/>
      <c r="B189" s="2"/>
      <c r="C189" s="2"/>
      <c r="D189" s="3"/>
      <c r="E189" s="2"/>
      <c r="F189" s="2"/>
      <c r="G189" s="2"/>
      <c r="H189" s="2"/>
      <c r="K189" s="15" t="e">
        <f t="shared" si="32"/>
        <v>#VALUE!</v>
      </c>
      <c r="L189" s="15" t="e">
        <f t="shared" si="33"/>
        <v>#VALUE!</v>
      </c>
      <c r="M189" s="16" t="e">
        <f t="shared" si="24"/>
        <v>#VALUE!</v>
      </c>
      <c r="N189" s="16" t="e">
        <f t="shared" si="30"/>
        <v>#VALUE!</v>
      </c>
      <c r="O189" s="16" t="str">
        <f t="shared" si="31"/>
        <v>Other</v>
      </c>
      <c r="P189" s="16" t="str">
        <f t="shared" si="27"/>
        <v/>
      </c>
      <c r="S189" s="7" t="str">
        <v/>
      </c>
      <c r="T189" s="18" t="str">
        <f>IFERROR( IF( COUNTIF($R$2:R189,R189)=1, IF(VALUE(R189)=0,"",VALUE(R189)), "" ), "" )</f>
        <v/>
      </c>
      <c r="U189" s="8" t="str">
        <f t="shared" si="28"/>
        <v/>
      </c>
      <c r="V189" s="26"/>
      <c r="W189" s="19"/>
      <c r="X189" s="19"/>
      <c r="Y189" s="7"/>
    </row>
    <row r="190" spans="1:25" ht="25.05" customHeight="1" x14ac:dyDescent="0.45">
      <c r="A190" s="2"/>
      <c r="B190" s="2"/>
      <c r="C190" s="2"/>
      <c r="D190" s="3"/>
      <c r="E190" s="2"/>
      <c r="F190" s="2"/>
      <c r="G190" s="2"/>
      <c r="H190" s="2"/>
      <c r="K190" s="15" t="e">
        <f t="shared" si="32"/>
        <v>#VALUE!</v>
      </c>
      <c r="L190" s="15" t="e">
        <f t="shared" si="33"/>
        <v>#VALUE!</v>
      </c>
      <c r="M190" s="16" t="e">
        <f t="shared" si="24"/>
        <v>#VALUE!</v>
      </c>
      <c r="N190" s="16" t="e">
        <f t="shared" si="30"/>
        <v>#VALUE!</v>
      </c>
      <c r="O190" s="16" t="str">
        <f t="shared" si="31"/>
        <v>Other</v>
      </c>
      <c r="P190" s="16" t="str">
        <f t="shared" si="27"/>
        <v/>
      </c>
      <c r="S190" s="7" t="str">
        <v/>
      </c>
      <c r="T190" s="18" t="str">
        <f>IFERROR( IF( COUNTIF($R$2:R190,R190)=1, IF(VALUE(R190)=0,"",VALUE(R190)), "" ), "" )</f>
        <v/>
      </c>
      <c r="U190" s="8" t="str">
        <f t="shared" si="28"/>
        <v/>
      </c>
      <c r="V190" s="26"/>
      <c r="W190" s="19"/>
      <c r="X190" s="19"/>
      <c r="Y190" s="7"/>
    </row>
    <row r="191" spans="1:25" ht="25.05" customHeight="1" x14ac:dyDescent="0.45">
      <c r="A191" s="2"/>
      <c r="B191" s="2"/>
      <c r="C191" s="2"/>
      <c r="D191" s="3"/>
      <c r="E191" s="2"/>
      <c r="F191" s="2"/>
      <c r="G191" s="2"/>
      <c r="H191" s="2"/>
      <c r="K191" s="15" t="e">
        <f t="shared" si="32"/>
        <v>#VALUE!</v>
      </c>
      <c r="L191" s="15" t="e">
        <f t="shared" si="33"/>
        <v>#VALUE!</v>
      </c>
      <c r="M191" s="16" t="e">
        <f t="shared" si="24"/>
        <v>#VALUE!</v>
      </c>
      <c r="N191" s="16" t="e">
        <f t="shared" si="30"/>
        <v>#VALUE!</v>
      </c>
      <c r="O191" s="16" t="str">
        <f t="shared" si="31"/>
        <v>Other</v>
      </c>
      <c r="P191" s="16" t="str">
        <f t="shared" si="27"/>
        <v/>
      </c>
      <c r="S191" s="7" t="str">
        <v/>
      </c>
      <c r="T191" s="18" t="str">
        <f>IFERROR( IF( COUNTIF($R$2:R191,R191)=1, IF(VALUE(R191)=0,"",VALUE(R191)), "" ), "" )</f>
        <v/>
      </c>
      <c r="U191" s="8" t="str">
        <f t="shared" si="28"/>
        <v/>
      </c>
      <c r="V191" s="26"/>
      <c r="W191" s="19"/>
      <c r="X191" s="19"/>
      <c r="Y191" s="7"/>
    </row>
    <row r="192" spans="1:25" ht="25.05" customHeight="1" x14ac:dyDescent="0.45">
      <c r="A192" s="2"/>
      <c r="B192" s="2"/>
      <c r="C192" s="2"/>
      <c r="D192" s="3"/>
      <c r="E192" s="2"/>
      <c r="F192" s="2"/>
      <c r="G192" s="2"/>
      <c r="H192" s="2"/>
      <c r="K192" s="15" t="e">
        <f t="shared" si="32"/>
        <v>#VALUE!</v>
      </c>
      <c r="L192" s="15" t="e">
        <f t="shared" si="33"/>
        <v>#VALUE!</v>
      </c>
      <c r="M192" s="16" t="e">
        <f t="shared" si="24"/>
        <v>#VALUE!</v>
      </c>
      <c r="N192" s="16" t="e">
        <f t="shared" si="30"/>
        <v>#VALUE!</v>
      </c>
      <c r="O192" s="16" t="str">
        <f t="shared" si="31"/>
        <v>Other</v>
      </c>
      <c r="P192" s="16" t="str">
        <f t="shared" si="27"/>
        <v/>
      </c>
      <c r="S192" s="7" t="str">
        <v/>
      </c>
      <c r="T192" s="18" t="str">
        <f>IFERROR( IF( COUNTIF($R$2:R192,R192)=1, IF(VALUE(R192)=0,"",VALUE(R192)), "" ), "" )</f>
        <v/>
      </c>
      <c r="U192" s="8" t="str">
        <f t="shared" si="28"/>
        <v/>
      </c>
      <c r="V192" s="26"/>
      <c r="W192" s="19"/>
      <c r="X192" s="19"/>
      <c r="Y192" s="7"/>
    </row>
    <row r="193" spans="1:25" ht="25.05" customHeight="1" x14ac:dyDescent="0.45">
      <c r="A193" s="2"/>
      <c r="B193" s="2"/>
      <c r="C193" s="2"/>
      <c r="D193" s="3"/>
      <c r="E193" s="2"/>
      <c r="F193" s="2"/>
      <c r="G193" s="2"/>
      <c r="H193" s="2"/>
      <c r="K193" s="15" t="e">
        <f t="shared" si="32"/>
        <v>#VALUE!</v>
      </c>
      <c r="L193" s="15" t="e">
        <f t="shared" si="33"/>
        <v>#VALUE!</v>
      </c>
      <c r="M193" s="16" t="e">
        <f t="shared" si="24"/>
        <v>#VALUE!</v>
      </c>
      <c r="N193" s="16" t="e">
        <f t="shared" si="30"/>
        <v>#VALUE!</v>
      </c>
      <c r="O193" s="16" t="str">
        <f t="shared" si="31"/>
        <v>Other</v>
      </c>
      <c r="P193" s="16" t="str">
        <f t="shared" si="27"/>
        <v/>
      </c>
      <c r="S193" s="7" t="str">
        <v/>
      </c>
      <c r="T193" s="18" t="str">
        <f>IFERROR( IF( COUNTIF($R$2:R193,R193)=1, IF(VALUE(R193)=0,"",VALUE(R193)), "" ), "" )</f>
        <v/>
      </c>
      <c r="U193" s="8" t="str">
        <f t="shared" si="28"/>
        <v/>
      </c>
      <c r="V193" s="26"/>
      <c r="W193" s="19"/>
      <c r="X193" s="19"/>
      <c r="Y193" s="7"/>
    </row>
    <row r="194" spans="1:25" ht="25.05" customHeight="1" x14ac:dyDescent="0.45">
      <c r="A194" s="2"/>
      <c r="B194" s="2"/>
      <c r="C194" s="2"/>
      <c r="D194" s="3"/>
      <c r="E194" s="2"/>
      <c r="F194" s="2"/>
      <c r="G194" s="2"/>
      <c r="H194" s="2"/>
      <c r="K194" s="15" t="e">
        <f t="shared" si="32"/>
        <v>#VALUE!</v>
      </c>
      <c r="L194" s="15" t="e">
        <f t="shared" si="33"/>
        <v>#VALUE!</v>
      </c>
      <c r="M194" s="16" t="e">
        <f t="shared" ref="M194:M257" si="34">MID(G194,FIND("LR-",G194)+3,FIND("-",G194,FIND("LR-",G194)+3)-FIND("LR-",G194)-3)</f>
        <v>#VALUE!</v>
      </c>
      <c r="N194" s="16" t="e">
        <f t="shared" si="30"/>
        <v>#VALUE!</v>
      </c>
      <c r="O194" s="16" t="str">
        <f t="shared" si="31"/>
        <v>Other</v>
      </c>
      <c r="P194" s="16" t="str">
        <f t="shared" ref="P194:P257" si="35">IF(S194&lt;&gt;"",IF(LEFT(S194,FIND(" &lt;&gt; ",S194)-1) &lt; MID(S194,FIND(" &lt;&gt; ",S194)+4,LEN(S194)),LEFT(S194,FIND(" &lt;&gt; ",S194)-1) &amp; " &lt;&gt; " &amp; MID(S194,FIND(" &lt;&gt; ",S194)+4,LEN(S194)),MID(S194,FIND(" &lt;&gt; ",S194)+4,LEN(S194)) &amp; " &lt;&gt; " &amp; LEFT(S194,FIND(" &lt;&gt; ",S194)-1)),"")</f>
        <v/>
      </c>
      <c r="S194" s="7" t="str">
        <v/>
      </c>
      <c r="T194" s="18" t="str">
        <f>IFERROR( IF( COUNTIF($R$2:R194,R194)=1, IF(VALUE(R194)=0,"",VALUE(R194)), "" ), "" )</f>
        <v/>
      </c>
      <c r="U194" s="8" t="str">
        <f t="shared" si="28"/>
        <v/>
      </c>
      <c r="V194" s="26"/>
      <c r="W194" s="19"/>
      <c r="X194" s="19"/>
      <c r="Y194" s="7"/>
    </row>
    <row r="195" spans="1:25" ht="25.05" customHeight="1" x14ac:dyDescent="0.45">
      <c r="A195" s="2"/>
      <c r="B195" s="2"/>
      <c r="C195" s="2"/>
      <c r="D195" s="3"/>
      <c r="E195" s="2"/>
      <c r="F195" s="2"/>
      <c r="G195" s="2"/>
      <c r="H195" s="2"/>
      <c r="K195" s="15" t="e">
        <f t="shared" si="32"/>
        <v>#VALUE!</v>
      </c>
      <c r="L195" s="15" t="e">
        <f t="shared" si="33"/>
        <v>#VALUE!</v>
      </c>
      <c r="M195" s="16" t="e">
        <f t="shared" si="34"/>
        <v>#VALUE!</v>
      </c>
      <c r="N195" s="16" t="e">
        <f t="shared" si="30"/>
        <v>#VALUE!</v>
      </c>
      <c r="O195" s="16" t="str">
        <f t="shared" si="31"/>
        <v>Other</v>
      </c>
      <c r="P195" s="16" t="str">
        <f t="shared" si="35"/>
        <v/>
      </c>
      <c r="S195" s="7" t="str">
        <v/>
      </c>
      <c r="T195" s="18" t="str">
        <f>IFERROR( IF( COUNTIF($R$2:R195,R195)=1, IF(VALUE(R195)=0,"",VALUE(R195)), "" ), "" )</f>
        <v/>
      </c>
      <c r="U195" s="8" t="str">
        <f t="shared" ref="U195:U258" si="36">IFERROR( IF( _xlfn.XLOOKUP(R195, M195:M1193, O195:O1193)=0, "", _xlfn.XLOOKUP(R195, M195:M1193, O195:O1193) ), "" )</f>
        <v/>
      </c>
      <c r="V195" s="26"/>
      <c r="W195" s="19"/>
      <c r="X195" s="19"/>
      <c r="Y195" s="7"/>
    </row>
    <row r="196" spans="1:25" ht="25.05" customHeight="1" x14ac:dyDescent="0.45">
      <c r="A196" s="2"/>
      <c r="B196" s="2"/>
      <c r="C196" s="2"/>
      <c r="D196" s="3"/>
      <c r="E196" s="2"/>
      <c r="F196" s="2"/>
      <c r="G196" s="2"/>
      <c r="H196" s="2"/>
      <c r="K196" s="15" t="e">
        <f t="shared" si="32"/>
        <v>#VALUE!</v>
      </c>
      <c r="L196" s="15" t="e">
        <f t="shared" si="33"/>
        <v>#VALUE!</v>
      </c>
      <c r="M196" s="16" t="e">
        <f t="shared" si="34"/>
        <v>#VALUE!</v>
      </c>
      <c r="N196" s="16" t="e">
        <f t="shared" si="30"/>
        <v>#VALUE!</v>
      </c>
      <c r="O196" s="16" t="str">
        <f t="shared" si="31"/>
        <v>Other</v>
      </c>
      <c r="P196" s="16" t="str">
        <f t="shared" si="35"/>
        <v/>
      </c>
      <c r="S196" s="7" t="str">
        <v/>
      </c>
      <c r="T196" s="18" t="str">
        <f>IFERROR( IF( COUNTIF($R$2:R196,R196)=1, IF(VALUE(R196)=0,"",VALUE(R196)), "" ), "" )</f>
        <v/>
      </c>
      <c r="U196" s="8" t="str">
        <f t="shared" si="36"/>
        <v/>
      </c>
      <c r="V196" s="26"/>
      <c r="W196" s="19"/>
      <c r="X196" s="19"/>
      <c r="Y196" s="7"/>
    </row>
    <row r="197" spans="1:25" ht="25.05" customHeight="1" x14ac:dyDescent="0.45">
      <c r="A197" s="2"/>
      <c r="B197" s="2"/>
      <c r="C197" s="2"/>
      <c r="D197" s="3"/>
      <c r="E197" s="2"/>
      <c r="F197" s="2"/>
      <c r="G197" s="2"/>
      <c r="H197" s="2"/>
      <c r="K197" s="15" t="e">
        <f t="shared" si="32"/>
        <v>#VALUE!</v>
      </c>
      <c r="L197" s="15" t="e">
        <f t="shared" si="33"/>
        <v>#VALUE!</v>
      </c>
      <c r="M197" s="16" t="e">
        <f t="shared" si="34"/>
        <v>#VALUE!</v>
      </c>
      <c r="N197" s="16" t="e">
        <f t="shared" si="30"/>
        <v>#VALUE!</v>
      </c>
      <c r="O197" s="16" t="str">
        <f t="shared" si="31"/>
        <v>Other</v>
      </c>
      <c r="P197" s="16" t="str">
        <f t="shared" si="35"/>
        <v/>
      </c>
      <c r="S197" s="7" t="str">
        <v/>
      </c>
      <c r="T197" s="18" t="str">
        <f>IFERROR( IF( COUNTIF($R$2:R197,R197)=1, IF(VALUE(R197)=0,"",VALUE(R197)), "" ), "" )</f>
        <v/>
      </c>
      <c r="U197" s="8" t="str">
        <f t="shared" si="36"/>
        <v/>
      </c>
      <c r="V197" s="26"/>
      <c r="W197" s="19"/>
      <c r="X197" s="19"/>
      <c r="Y197" s="7"/>
    </row>
    <row r="198" spans="1:25" ht="25.05" customHeight="1" x14ac:dyDescent="0.45">
      <c r="A198" s="2"/>
      <c r="B198" s="2"/>
      <c r="C198" s="2"/>
      <c r="D198" s="3"/>
      <c r="E198" s="2"/>
      <c r="F198" s="2"/>
      <c r="G198" s="2"/>
      <c r="H198" s="2"/>
      <c r="K198" s="15" t="e">
        <f t="shared" si="32"/>
        <v>#VALUE!</v>
      </c>
      <c r="L198" s="15" t="e">
        <f t="shared" si="33"/>
        <v>#VALUE!</v>
      </c>
      <c r="M198" s="16" t="e">
        <f t="shared" si="34"/>
        <v>#VALUE!</v>
      </c>
      <c r="N198" s="16" t="e">
        <f t="shared" si="30"/>
        <v>#VALUE!</v>
      </c>
      <c r="O198" s="16" t="str">
        <f t="shared" si="31"/>
        <v>Other</v>
      </c>
      <c r="P198" s="16" t="str">
        <f t="shared" si="35"/>
        <v/>
      </c>
      <c r="S198" s="7" t="str">
        <v/>
      </c>
      <c r="T198" s="18" t="str">
        <f>IFERROR( IF( COUNTIF($R$2:R198,R198)=1, IF(VALUE(R198)=0,"",VALUE(R198)), "" ), "" )</f>
        <v/>
      </c>
      <c r="U198" s="8" t="str">
        <f t="shared" si="36"/>
        <v/>
      </c>
      <c r="V198" s="26"/>
      <c r="W198" s="19"/>
      <c r="X198" s="19"/>
      <c r="Y198" s="7"/>
    </row>
    <row r="199" spans="1:25" ht="25.05" customHeight="1" x14ac:dyDescent="0.45">
      <c r="A199" s="2"/>
      <c r="B199" s="2"/>
      <c r="C199" s="2"/>
      <c r="D199" s="3"/>
      <c r="E199" s="2"/>
      <c r="F199" s="2"/>
      <c r="G199" s="2"/>
      <c r="H199" s="2"/>
      <c r="K199" s="15" t="e">
        <f t="shared" si="32"/>
        <v>#VALUE!</v>
      </c>
      <c r="L199" s="15" t="e">
        <f t="shared" si="33"/>
        <v>#VALUE!</v>
      </c>
      <c r="M199" s="16" t="e">
        <f t="shared" si="34"/>
        <v>#VALUE!</v>
      </c>
      <c r="N199" s="16" t="e">
        <f t="shared" si="30"/>
        <v>#VALUE!</v>
      </c>
      <c r="O199" s="16" t="str">
        <f t="shared" si="31"/>
        <v>Other</v>
      </c>
      <c r="P199" s="16" t="str">
        <f t="shared" si="35"/>
        <v/>
      </c>
      <c r="S199" s="7" t="str">
        <v/>
      </c>
      <c r="T199" s="18" t="str">
        <f>IFERROR( IF( COUNTIF($R$2:R199,R199)=1, IF(VALUE(R199)=0,"",VALUE(R199)), "" ), "" )</f>
        <v/>
      </c>
      <c r="U199" s="8" t="str">
        <f t="shared" si="36"/>
        <v/>
      </c>
      <c r="V199" s="26"/>
      <c r="W199" s="19"/>
      <c r="X199" s="19"/>
      <c r="Y199" s="7"/>
    </row>
    <row r="200" spans="1:25" ht="25.05" customHeight="1" x14ac:dyDescent="0.45">
      <c r="A200" s="2"/>
      <c r="B200" s="2"/>
      <c r="C200" s="2"/>
      <c r="D200" s="3"/>
      <c r="E200" s="2"/>
      <c r="F200" s="2"/>
      <c r="G200" s="2"/>
      <c r="H200" s="2"/>
      <c r="K200" s="15" t="e">
        <f t="shared" si="32"/>
        <v>#VALUE!</v>
      </c>
      <c r="L200" s="15" t="e">
        <f t="shared" si="33"/>
        <v>#VALUE!</v>
      </c>
      <c r="M200" s="16" t="e">
        <f t="shared" si="34"/>
        <v>#VALUE!</v>
      </c>
      <c r="N200" s="16" t="e">
        <f t="shared" si="30"/>
        <v>#VALUE!</v>
      </c>
      <c r="O200" s="16" t="str">
        <f t="shared" si="31"/>
        <v>Other</v>
      </c>
      <c r="P200" s="16" t="str">
        <f t="shared" si="35"/>
        <v/>
      </c>
      <c r="S200" s="7" t="str">
        <v/>
      </c>
      <c r="T200" s="18" t="str">
        <f>IFERROR( IF( COUNTIF($R$2:R200,R200)=1, IF(VALUE(R200)=0,"",VALUE(R200)), "" ), "" )</f>
        <v/>
      </c>
      <c r="U200" s="8" t="str">
        <f t="shared" si="36"/>
        <v/>
      </c>
      <c r="V200" s="26"/>
      <c r="W200" s="19"/>
      <c r="X200" s="19"/>
      <c r="Y200" s="7"/>
    </row>
    <row r="201" spans="1:25" ht="25.05" customHeight="1" x14ac:dyDescent="0.45">
      <c r="A201" s="2"/>
      <c r="B201" s="2"/>
      <c r="C201" s="2"/>
      <c r="D201" s="3"/>
      <c r="E201" s="2"/>
      <c r="F201" s="2"/>
      <c r="G201" s="2"/>
      <c r="H201" s="2"/>
      <c r="K201" s="15" t="e">
        <f t="shared" si="32"/>
        <v>#VALUE!</v>
      </c>
      <c r="L201" s="15" t="e">
        <f t="shared" si="33"/>
        <v>#VALUE!</v>
      </c>
      <c r="M201" s="16" t="e">
        <f t="shared" si="34"/>
        <v>#VALUE!</v>
      </c>
      <c r="N201" s="16" t="e">
        <f t="shared" si="30"/>
        <v>#VALUE!</v>
      </c>
      <c r="O201" s="16" t="str">
        <f t="shared" si="31"/>
        <v>Other</v>
      </c>
      <c r="P201" s="16" t="str">
        <f t="shared" si="35"/>
        <v/>
      </c>
      <c r="S201" s="7" t="str">
        <v/>
      </c>
      <c r="T201" s="18" t="str">
        <f>IFERROR( IF( COUNTIF($R$2:R201,R201)=1, IF(VALUE(R201)=0,"",VALUE(R201)), "" ), "" )</f>
        <v/>
      </c>
      <c r="U201" s="8" t="str">
        <f t="shared" si="36"/>
        <v/>
      </c>
      <c r="V201" s="26"/>
      <c r="W201" s="19"/>
      <c r="X201" s="19"/>
      <c r="Y201" s="7"/>
    </row>
    <row r="202" spans="1:25" ht="25.05" customHeight="1" x14ac:dyDescent="0.45">
      <c r="A202" s="2"/>
      <c r="B202" s="2"/>
      <c r="C202" s="2"/>
      <c r="D202" s="3"/>
      <c r="E202" s="2"/>
      <c r="F202" s="2"/>
      <c r="G202" s="2"/>
      <c r="H202" s="2"/>
      <c r="K202" s="15" t="e">
        <f t="shared" si="32"/>
        <v>#VALUE!</v>
      </c>
      <c r="L202" s="15" t="e">
        <f t="shared" si="33"/>
        <v>#VALUE!</v>
      </c>
      <c r="M202" s="16" t="e">
        <f t="shared" si="34"/>
        <v>#VALUE!</v>
      </c>
      <c r="N202" s="16" t="e">
        <f t="shared" si="30"/>
        <v>#VALUE!</v>
      </c>
      <c r="O202" s="16" t="str">
        <f t="shared" si="31"/>
        <v>Other</v>
      </c>
      <c r="P202" s="16" t="str">
        <f t="shared" si="35"/>
        <v/>
      </c>
      <c r="S202" s="7" t="str">
        <v/>
      </c>
      <c r="T202" s="18" t="str">
        <f>IFERROR( IF( COUNTIF($R$2:R202,R202)=1, IF(VALUE(R202)=0,"",VALUE(R202)), "" ), "" )</f>
        <v/>
      </c>
      <c r="U202" s="8" t="str">
        <f t="shared" si="36"/>
        <v/>
      </c>
      <c r="V202" s="26"/>
      <c r="W202" s="19"/>
      <c r="X202" s="19"/>
      <c r="Y202" s="7"/>
    </row>
    <row r="203" spans="1:25" ht="25.05" customHeight="1" x14ac:dyDescent="0.45">
      <c r="A203" s="2"/>
      <c r="B203" s="2"/>
      <c r="C203" s="2"/>
      <c r="D203" s="3"/>
      <c r="E203" s="2"/>
      <c r="F203" s="2"/>
      <c r="G203" s="2"/>
      <c r="H203" s="2"/>
      <c r="K203" s="15" t="e">
        <f t="shared" si="32"/>
        <v>#VALUE!</v>
      </c>
      <c r="L203" s="15" t="e">
        <f t="shared" si="33"/>
        <v>#VALUE!</v>
      </c>
      <c r="M203" s="16" t="e">
        <f t="shared" si="34"/>
        <v>#VALUE!</v>
      </c>
      <c r="N203" s="16" t="e">
        <f t="shared" si="30"/>
        <v>#VALUE!</v>
      </c>
      <c r="O203" s="16" t="str">
        <f t="shared" si="31"/>
        <v>Other</v>
      </c>
      <c r="P203" s="16" t="str">
        <f t="shared" si="35"/>
        <v/>
      </c>
      <c r="S203" s="7" t="str">
        <v/>
      </c>
      <c r="T203" s="18" t="str">
        <f>IFERROR( IF( COUNTIF($R$2:R203,R203)=1, IF(VALUE(R203)=0,"",VALUE(R203)), "" ), "" )</f>
        <v/>
      </c>
      <c r="U203" s="8" t="str">
        <f t="shared" si="36"/>
        <v/>
      </c>
      <c r="V203" s="26"/>
      <c r="W203" s="19"/>
      <c r="X203" s="19"/>
      <c r="Y203" s="7"/>
    </row>
    <row r="204" spans="1:25" ht="25.05" customHeight="1" x14ac:dyDescent="0.45">
      <c r="A204" s="2"/>
      <c r="B204" s="2"/>
      <c r="C204" s="2"/>
      <c r="D204" s="3"/>
      <c r="E204" s="2"/>
      <c r="F204" s="2"/>
      <c r="G204" s="2"/>
      <c r="H204" s="2"/>
      <c r="K204" s="15" t="e">
        <f t="shared" si="32"/>
        <v>#VALUE!</v>
      </c>
      <c r="L204" s="15" t="e">
        <f t="shared" si="33"/>
        <v>#VALUE!</v>
      </c>
      <c r="M204" s="16" t="e">
        <f t="shared" si="34"/>
        <v>#VALUE!</v>
      </c>
      <c r="N204" s="16" t="e">
        <f t="shared" si="30"/>
        <v>#VALUE!</v>
      </c>
      <c r="O204" s="16" t="str">
        <f t="shared" si="31"/>
        <v>Other</v>
      </c>
      <c r="P204" s="16" t="str">
        <f t="shared" si="35"/>
        <v/>
      </c>
      <c r="S204" s="7" t="str">
        <v/>
      </c>
      <c r="T204" s="18" t="str">
        <f>IFERROR( IF( COUNTIF($R$2:R204,R204)=1, IF(VALUE(R204)=0,"",VALUE(R204)), "" ), "" )</f>
        <v/>
      </c>
      <c r="U204" s="8" t="str">
        <f t="shared" si="36"/>
        <v/>
      </c>
      <c r="V204" s="26"/>
      <c r="W204" s="19"/>
      <c r="X204" s="19"/>
      <c r="Y204" s="7"/>
    </row>
    <row r="205" spans="1:25" ht="25.05" customHeight="1" x14ac:dyDescent="0.45">
      <c r="A205" s="2"/>
      <c r="B205" s="2"/>
      <c r="C205" s="2"/>
      <c r="D205" s="3"/>
      <c r="E205" s="2"/>
      <c r="F205" s="2"/>
      <c r="G205" s="2"/>
      <c r="H205" s="2"/>
      <c r="K205" s="15" t="e">
        <f t="shared" si="32"/>
        <v>#VALUE!</v>
      </c>
      <c r="L205" s="15" t="e">
        <f t="shared" si="33"/>
        <v>#VALUE!</v>
      </c>
      <c r="M205" s="16" t="e">
        <f t="shared" si="34"/>
        <v>#VALUE!</v>
      </c>
      <c r="N205" s="16" t="e">
        <f t="shared" si="30"/>
        <v>#VALUE!</v>
      </c>
      <c r="O205" s="16" t="str">
        <f t="shared" si="31"/>
        <v>Other</v>
      </c>
      <c r="P205" s="16" t="str">
        <f t="shared" si="35"/>
        <v/>
      </c>
      <c r="S205" s="7" t="str">
        <v/>
      </c>
      <c r="T205" s="18" t="str">
        <f>IFERROR( IF( COUNTIF($R$2:R205,R205)=1, IF(VALUE(R205)=0,"",VALUE(R205)), "" ), "" )</f>
        <v/>
      </c>
      <c r="U205" s="8" t="str">
        <f t="shared" si="36"/>
        <v/>
      </c>
      <c r="V205" s="26"/>
      <c r="W205" s="19"/>
      <c r="X205" s="19"/>
      <c r="Y205" s="7"/>
    </row>
    <row r="206" spans="1:25" ht="25.05" customHeight="1" x14ac:dyDescent="0.45">
      <c r="A206" s="2"/>
      <c r="B206" s="2"/>
      <c r="C206" s="2"/>
      <c r="D206" s="3"/>
      <c r="E206" s="2"/>
      <c r="F206" s="2"/>
      <c r="G206" s="2"/>
      <c r="H206" s="2"/>
      <c r="K206" s="15" t="e">
        <f t="shared" si="32"/>
        <v>#VALUE!</v>
      </c>
      <c r="L206" s="15" t="e">
        <f t="shared" si="33"/>
        <v>#VALUE!</v>
      </c>
      <c r="M206" s="16" t="e">
        <f t="shared" si="34"/>
        <v>#VALUE!</v>
      </c>
      <c r="N206" s="16" t="e">
        <f t="shared" si="30"/>
        <v>#VALUE!</v>
      </c>
      <c r="O206" s="16" t="str">
        <f t="shared" si="31"/>
        <v>Other</v>
      </c>
      <c r="P206" s="16" t="str">
        <f t="shared" si="35"/>
        <v/>
      </c>
      <c r="S206" s="7" t="str">
        <v/>
      </c>
      <c r="T206" s="18" t="str">
        <f>IFERROR( IF( COUNTIF($R$2:R206,R206)=1, IF(VALUE(R206)=0,"",VALUE(R206)), "" ), "" )</f>
        <v/>
      </c>
      <c r="U206" s="8" t="str">
        <f t="shared" si="36"/>
        <v/>
      </c>
      <c r="V206" s="26"/>
      <c r="W206" s="19"/>
      <c r="X206" s="19"/>
      <c r="Y206" s="7"/>
    </row>
    <row r="207" spans="1:25" ht="25.05" customHeight="1" x14ac:dyDescent="0.45">
      <c r="A207" s="2"/>
      <c r="B207" s="2"/>
      <c r="C207" s="2"/>
      <c r="D207" s="3"/>
      <c r="E207" s="2"/>
      <c r="F207" s="2"/>
      <c r="G207" s="2"/>
      <c r="H207" s="2"/>
      <c r="K207" s="15" t="e">
        <f t="shared" si="32"/>
        <v>#VALUE!</v>
      </c>
      <c r="L207" s="15" t="e">
        <f t="shared" si="33"/>
        <v>#VALUE!</v>
      </c>
      <c r="M207" s="16" t="e">
        <f t="shared" si="34"/>
        <v>#VALUE!</v>
      </c>
      <c r="N207" s="16" t="e">
        <f t="shared" si="30"/>
        <v>#VALUE!</v>
      </c>
      <c r="O207" s="16" t="str">
        <f t="shared" si="31"/>
        <v>Other</v>
      </c>
      <c r="P207" s="16" t="str">
        <f t="shared" si="35"/>
        <v/>
      </c>
      <c r="S207" s="7" t="str">
        <v/>
      </c>
      <c r="T207" s="18" t="str">
        <f>IFERROR( IF( COUNTIF($R$2:R207,R207)=1, IF(VALUE(R207)=0,"",VALUE(R207)), "" ), "" )</f>
        <v/>
      </c>
      <c r="U207" s="8" t="str">
        <f t="shared" si="36"/>
        <v/>
      </c>
      <c r="V207" s="26"/>
      <c r="W207" s="19"/>
      <c r="X207" s="19"/>
      <c r="Y207" s="7"/>
    </row>
    <row r="208" spans="1:25" ht="25.05" customHeight="1" x14ac:dyDescent="0.45">
      <c r="A208" s="2"/>
      <c r="B208" s="2"/>
      <c r="C208" s="2"/>
      <c r="D208" s="3"/>
      <c r="E208" s="2"/>
      <c r="F208" s="2"/>
      <c r="G208" s="2"/>
      <c r="H208" s="2"/>
      <c r="K208" s="15" t="e">
        <f t="shared" si="32"/>
        <v>#VALUE!</v>
      </c>
      <c r="L208" s="15" t="e">
        <f t="shared" si="33"/>
        <v>#VALUE!</v>
      </c>
      <c r="M208" s="16" t="e">
        <f t="shared" si="34"/>
        <v>#VALUE!</v>
      </c>
      <c r="N208" s="16" t="e">
        <f t="shared" si="30"/>
        <v>#VALUE!</v>
      </c>
      <c r="O208" s="16" t="str">
        <f t="shared" si="31"/>
        <v>Other</v>
      </c>
      <c r="P208" s="16" t="str">
        <f t="shared" si="35"/>
        <v/>
      </c>
      <c r="S208" s="7" t="str">
        <v/>
      </c>
      <c r="T208" s="18" t="str">
        <f>IFERROR( IF( COUNTIF($R$2:R208,R208)=1, IF(VALUE(R208)=0,"",VALUE(R208)), "" ), "" )</f>
        <v/>
      </c>
      <c r="U208" s="8" t="str">
        <f t="shared" si="36"/>
        <v/>
      </c>
      <c r="V208" s="26"/>
      <c r="W208" s="19"/>
      <c r="X208" s="19"/>
      <c r="Y208" s="7"/>
    </row>
    <row r="209" spans="1:25" ht="25.05" customHeight="1" x14ac:dyDescent="0.45">
      <c r="A209" s="2"/>
      <c r="B209" s="2"/>
      <c r="C209" s="2"/>
      <c r="D209" s="3"/>
      <c r="E209" s="2"/>
      <c r="F209" s="2"/>
      <c r="G209" s="2"/>
      <c r="H209" s="2"/>
      <c r="K209" s="15" t="e">
        <f t="shared" si="32"/>
        <v>#VALUE!</v>
      </c>
      <c r="L209" s="15" t="e">
        <f t="shared" si="33"/>
        <v>#VALUE!</v>
      </c>
      <c r="M209" s="16" t="e">
        <f t="shared" si="34"/>
        <v>#VALUE!</v>
      </c>
      <c r="N209" s="16" t="e">
        <f t="shared" si="30"/>
        <v>#VALUE!</v>
      </c>
      <c r="O209" s="16" t="str">
        <f t="shared" si="31"/>
        <v>Other</v>
      </c>
      <c r="P209" s="16" t="str">
        <f t="shared" si="35"/>
        <v/>
      </c>
      <c r="S209" s="7" t="str">
        <v/>
      </c>
      <c r="T209" s="18" t="str">
        <f>IFERROR( IF( COUNTIF($R$2:R209,R209)=1, IF(VALUE(R209)=0,"",VALUE(R209)), "" ), "" )</f>
        <v/>
      </c>
      <c r="U209" s="8" t="str">
        <f t="shared" si="36"/>
        <v/>
      </c>
      <c r="V209" s="26"/>
      <c r="W209" s="19"/>
      <c r="X209" s="19"/>
      <c r="Y209" s="7"/>
    </row>
    <row r="210" spans="1:25" ht="25.05" customHeight="1" x14ac:dyDescent="0.45">
      <c r="A210" s="2"/>
      <c r="B210" s="2"/>
      <c r="C210" s="2"/>
      <c r="D210" s="3"/>
      <c r="E210" s="2"/>
      <c r="F210" s="2"/>
      <c r="G210" s="2"/>
      <c r="H210" s="2"/>
      <c r="K210" s="15" t="e">
        <f t="shared" si="32"/>
        <v>#VALUE!</v>
      </c>
      <c r="L210" s="15" t="e">
        <f t="shared" si="33"/>
        <v>#VALUE!</v>
      </c>
      <c r="M210" s="16" t="e">
        <f t="shared" si="34"/>
        <v>#VALUE!</v>
      </c>
      <c r="N210" s="16" t="e">
        <f t="shared" si="30"/>
        <v>#VALUE!</v>
      </c>
      <c r="O210" s="16" t="str">
        <f t="shared" si="31"/>
        <v>Other</v>
      </c>
      <c r="P210" s="16" t="str">
        <f t="shared" si="35"/>
        <v/>
      </c>
      <c r="S210" s="7" t="str">
        <v/>
      </c>
      <c r="T210" s="18" t="str">
        <f>IFERROR( IF( COUNTIF($R$2:R210,R210)=1, IF(VALUE(R210)=0,"",VALUE(R210)), "" ), "" )</f>
        <v/>
      </c>
      <c r="U210" s="8" t="str">
        <f t="shared" si="36"/>
        <v/>
      </c>
      <c r="V210" s="26"/>
      <c r="W210" s="19"/>
      <c r="X210" s="19"/>
      <c r="Y210" s="7"/>
    </row>
    <row r="211" spans="1:25" ht="25.05" customHeight="1" x14ac:dyDescent="0.45">
      <c r="A211" s="2"/>
      <c r="B211" s="2"/>
      <c r="C211" s="2"/>
      <c r="D211" s="3"/>
      <c r="E211" s="2"/>
      <c r="F211" s="2"/>
      <c r="G211" s="2"/>
      <c r="H211" s="2"/>
      <c r="K211" s="15" t="e">
        <f t="shared" si="32"/>
        <v>#VALUE!</v>
      </c>
      <c r="L211" s="15" t="e">
        <f t="shared" si="33"/>
        <v>#VALUE!</v>
      </c>
      <c r="M211" s="16" t="e">
        <f t="shared" si="34"/>
        <v>#VALUE!</v>
      </c>
      <c r="N211" s="16" t="e">
        <f t="shared" si="30"/>
        <v>#VALUE!</v>
      </c>
      <c r="O211" s="16" t="str">
        <f t="shared" si="31"/>
        <v>Other</v>
      </c>
      <c r="P211" s="16" t="str">
        <f t="shared" si="35"/>
        <v/>
      </c>
      <c r="S211" s="7" t="str">
        <v/>
      </c>
      <c r="T211" s="18" t="str">
        <f>IFERROR( IF( COUNTIF($R$2:R211,R211)=1, IF(VALUE(R211)=0,"",VALUE(R211)), "" ), "" )</f>
        <v/>
      </c>
      <c r="U211" s="8" t="str">
        <f t="shared" si="36"/>
        <v/>
      </c>
      <c r="V211" s="26"/>
      <c r="W211" s="19"/>
      <c r="X211" s="19"/>
      <c r="Y211" s="7"/>
    </row>
    <row r="212" spans="1:25" ht="25.05" customHeight="1" x14ac:dyDescent="0.45">
      <c r="A212" s="2"/>
      <c r="B212" s="2"/>
      <c r="C212" s="2"/>
      <c r="D212" s="3"/>
      <c r="E212" s="2"/>
      <c r="F212" s="2"/>
      <c r="G212" s="2"/>
      <c r="H212" s="2"/>
      <c r="K212" s="15" t="e">
        <f t="shared" si="32"/>
        <v>#VALUE!</v>
      </c>
      <c r="L212" s="15" t="e">
        <f t="shared" si="33"/>
        <v>#VALUE!</v>
      </c>
      <c r="M212" s="16" t="e">
        <f t="shared" si="34"/>
        <v>#VALUE!</v>
      </c>
      <c r="N212" s="16" t="e">
        <f t="shared" si="30"/>
        <v>#VALUE!</v>
      </c>
      <c r="O212" s="16" t="str">
        <f t="shared" si="31"/>
        <v>Other</v>
      </c>
      <c r="P212" s="16" t="str">
        <f t="shared" si="35"/>
        <v/>
      </c>
      <c r="S212" s="7" t="str">
        <v/>
      </c>
      <c r="T212" s="18" t="str">
        <f>IFERROR( IF( COUNTIF($R$2:R212,R212)=1, IF(VALUE(R212)=0,"",VALUE(R212)), "" ), "" )</f>
        <v/>
      </c>
      <c r="U212" s="8" t="str">
        <f t="shared" si="36"/>
        <v/>
      </c>
      <c r="V212" s="26"/>
      <c r="W212" s="19"/>
      <c r="X212" s="19"/>
      <c r="Y212" s="7"/>
    </row>
    <row r="213" spans="1:25" ht="25.05" customHeight="1" x14ac:dyDescent="0.45">
      <c r="A213" s="2"/>
      <c r="B213" s="2"/>
      <c r="C213" s="2"/>
      <c r="D213" s="3"/>
      <c r="E213" s="2"/>
      <c r="F213" s="2"/>
      <c r="G213" s="2"/>
      <c r="H213" s="2"/>
      <c r="K213" s="15" t="e">
        <f t="shared" si="32"/>
        <v>#VALUE!</v>
      </c>
      <c r="L213" s="15" t="e">
        <f t="shared" si="33"/>
        <v>#VALUE!</v>
      </c>
      <c r="M213" s="16" t="e">
        <f t="shared" si="34"/>
        <v>#VALUE!</v>
      </c>
      <c r="N213" s="16" t="e">
        <f t="shared" si="30"/>
        <v>#VALUE!</v>
      </c>
      <c r="O213" s="16" t="str">
        <f t="shared" si="31"/>
        <v>Other</v>
      </c>
      <c r="P213" s="16" t="str">
        <f t="shared" si="35"/>
        <v/>
      </c>
      <c r="S213" s="7" t="str">
        <v/>
      </c>
      <c r="T213" s="18" t="str">
        <f>IFERROR( IF( COUNTIF($R$2:R213,R213)=1, IF(VALUE(R213)=0,"",VALUE(R213)), "" ), "" )</f>
        <v/>
      </c>
      <c r="U213" s="8" t="str">
        <f t="shared" si="36"/>
        <v/>
      </c>
      <c r="V213" s="26"/>
      <c r="W213" s="19"/>
      <c r="X213" s="19"/>
      <c r="Y213" s="7"/>
    </row>
    <row r="214" spans="1:25" ht="25.05" customHeight="1" x14ac:dyDescent="0.45">
      <c r="A214" s="2"/>
      <c r="B214" s="2"/>
      <c r="C214" s="2"/>
      <c r="D214" s="3"/>
      <c r="E214" s="2"/>
      <c r="F214" s="2"/>
      <c r="G214" s="2"/>
      <c r="H214" s="2"/>
      <c r="K214" s="15" t="e">
        <f t="shared" si="32"/>
        <v>#VALUE!</v>
      </c>
      <c r="L214" s="15" t="e">
        <f t="shared" si="33"/>
        <v>#VALUE!</v>
      </c>
      <c r="M214" s="16" t="e">
        <f t="shared" si="34"/>
        <v>#VALUE!</v>
      </c>
      <c r="N214" s="16" t="e">
        <f t="shared" si="30"/>
        <v>#VALUE!</v>
      </c>
      <c r="O214" s="16" t="str">
        <f t="shared" si="31"/>
        <v>Other</v>
      </c>
      <c r="P214" s="16" t="str">
        <f t="shared" si="35"/>
        <v/>
      </c>
      <c r="S214" s="7" t="str">
        <v/>
      </c>
      <c r="T214" s="18" t="str">
        <f>IFERROR( IF( COUNTIF($R$2:R214,R214)=1, IF(VALUE(R214)=0,"",VALUE(R214)), "" ), "" )</f>
        <v/>
      </c>
      <c r="U214" s="8" t="str">
        <f t="shared" si="36"/>
        <v/>
      </c>
      <c r="V214" s="26"/>
      <c r="W214" s="19"/>
      <c r="X214" s="19"/>
      <c r="Y214" s="7"/>
    </row>
    <row r="215" spans="1:25" ht="25.05" customHeight="1" x14ac:dyDescent="0.45">
      <c r="A215" s="2"/>
      <c r="B215" s="2"/>
      <c r="C215" s="2"/>
      <c r="D215" s="3"/>
      <c r="E215" s="2"/>
      <c r="F215" s="2"/>
      <c r="G215" s="2"/>
      <c r="H215" s="2"/>
      <c r="K215" s="15" t="e">
        <f t="shared" si="32"/>
        <v>#VALUE!</v>
      </c>
      <c r="L215" s="15" t="e">
        <f t="shared" si="33"/>
        <v>#VALUE!</v>
      </c>
      <c r="M215" s="16" t="e">
        <f t="shared" si="34"/>
        <v>#VALUE!</v>
      </c>
      <c r="N215" s="16" t="e">
        <f t="shared" si="30"/>
        <v>#VALUE!</v>
      </c>
      <c r="O215" s="16" t="str">
        <f t="shared" si="31"/>
        <v>Other</v>
      </c>
      <c r="P215" s="16" t="str">
        <f t="shared" si="35"/>
        <v/>
      </c>
      <c r="S215" s="7" t="str">
        <v/>
      </c>
      <c r="T215" s="18" t="str">
        <f>IFERROR( IF( COUNTIF($R$2:R215,R215)=1, IF(VALUE(R215)=0,"",VALUE(R215)), "" ), "" )</f>
        <v/>
      </c>
      <c r="U215" s="8" t="str">
        <f t="shared" si="36"/>
        <v/>
      </c>
      <c r="V215" s="26"/>
      <c r="W215" s="19"/>
      <c r="X215" s="19"/>
      <c r="Y215" s="7"/>
    </row>
    <row r="216" spans="1:25" ht="25.05" customHeight="1" x14ac:dyDescent="0.45">
      <c r="A216" s="2"/>
      <c r="B216" s="2"/>
      <c r="C216" s="2"/>
      <c r="D216" s="3"/>
      <c r="E216" s="2"/>
      <c r="F216" s="2"/>
      <c r="G216" s="2"/>
      <c r="H216" s="2"/>
      <c r="K216" s="15" t="e">
        <f t="shared" si="32"/>
        <v>#VALUE!</v>
      </c>
      <c r="L216" s="15" t="e">
        <f t="shared" si="33"/>
        <v>#VALUE!</v>
      </c>
      <c r="M216" s="16" t="e">
        <f t="shared" si="34"/>
        <v>#VALUE!</v>
      </c>
      <c r="N216" s="16" t="e">
        <f t="shared" si="30"/>
        <v>#VALUE!</v>
      </c>
      <c r="O216" s="16" t="str">
        <f t="shared" si="31"/>
        <v>Other</v>
      </c>
      <c r="P216" s="16" t="str">
        <f t="shared" si="35"/>
        <v/>
      </c>
      <c r="S216" s="7" t="str">
        <v/>
      </c>
      <c r="T216" s="18" t="str">
        <f>IFERROR( IF( COUNTIF($R$2:R216,R216)=1, IF(VALUE(R216)=0,"",VALUE(R216)), "" ), "" )</f>
        <v/>
      </c>
      <c r="U216" s="8" t="str">
        <f t="shared" si="36"/>
        <v/>
      </c>
      <c r="V216" s="26"/>
      <c r="W216" s="19"/>
      <c r="X216" s="19"/>
      <c r="Y216" s="7"/>
    </row>
    <row r="217" spans="1:25" ht="25.05" customHeight="1" x14ac:dyDescent="0.45">
      <c r="A217" s="2"/>
      <c r="B217" s="2"/>
      <c r="C217" s="2"/>
      <c r="D217" s="3"/>
      <c r="E217" s="2"/>
      <c r="F217" s="2"/>
      <c r="G217" s="2"/>
      <c r="H217" s="2"/>
      <c r="K217" s="15" t="e">
        <f t="shared" si="32"/>
        <v>#VALUE!</v>
      </c>
      <c r="L217" s="15" t="e">
        <f t="shared" si="33"/>
        <v>#VALUE!</v>
      </c>
      <c r="M217" s="16" t="e">
        <f t="shared" si="34"/>
        <v>#VALUE!</v>
      </c>
      <c r="N217" s="16" t="e">
        <f t="shared" si="30"/>
        <v>#VALUE!</v>
      </c>
      <c r="O217" s="16" t="str">
        <f t="shared" si="31"/>
        <v>Other</v>
      </c>
      <c r="P217" s="16" t="str">
        <f t="shared" si="35"/>
        <v/>
      </c>
      <c r="S217" s="7" t="str">
        <v/>
      </c>
      <c r="T217" s="18" t="str">
        <f>IFERROR( IF( COUNTIF($R$2:R217,R217)=1, IF(VALUE(R217)=0,"",VALUE(R217)), "" ), "" )</f>
        <v/>
      </c>
      <c r="U217" s="8" t="str">
        <f t="shared" si="36"/>
        <v/>
      </c>
      <c r="V217" s="26"/>
      <c r="W217" s="19"/>
      <c r="X217" s="19"/>
      <c r="Y217" s="7"/>
    </row>
    <row r="218" spans="1:25" ht="25.05" customHeight="1" x14ac:dyDescent="0.45">
      <c r="A218" s="2"/>
      <c r="B218" s="2"/>
      <c r="C218" s="2"/>
      <c r="D218" s="3"/>
      <c r="E218" s="2"/>
      <c r="F218" s="2"/>
      <c r="G218" s="2"/>
      <c r="H218" s="2"/>
      <c r="K218" s="15" t="e">
        <f t="shared" si="32"/>
        <v>#VALUE!</v>
      </c>
      <c r="L218" s="15" t="e">
        <f t="shared" si="33"/>
        <v>#VALUE!</v>
      </c>
      <c r="M218" s="16" t="e">
        <f t="shared" si="34"/>
        <v>#VALUE!</v>
      </c>
      <c r="N218" s="16" t="e">
        <f t="shared" si="30"/>
        <v>#VALUE!</v>
      </c>
      <c r="O218" s="16" t="str">
        <f t="shared" si="31"/>
        <v>Other</v>
      </c>
      <c r="P218" s="16" t="str">
        <f t="shared" si="35"/>
        <v/>
      </c>
      <c r="S218" s="7" t="str">
        <v/>
      </c>
      <c r="T218" s="18" t="str">
        <f>IFERROR( IF( COUNTIF($R$2:R218,R218)=1, IF(VALUE(R218)=0,"",VALUE(R218)), "" ), "" )</f>
        <v/>
      </c>
      <c r="U218" s="8" t="str">
        <f t="shared" si="36"/>
        <v/>
      </c>
      <c r="V218" s="26"/>
      <c r="W218" s="19"/>
      <c r="X218" s="19"/>
      <c r="Y218" s="7"/>
    </row>
    <row r="219" spans="1:25" ht="25.05" customHeight="1" x14ac:dyDescent="0.45">
      <c r="A219" s="2"/>
      <c r="B219" s="2"/>
      <c r="C219" s="2"/>
      <c r="D219" s="3"/>
      <c r="E219" s="2"/>
      <c r="F219" s="2"/>
      <c r="G219" s="2"/>
      <c r="H219" s="2"/>
      <c r="K219" s="15" t="e">
        <f t="shared" si="32"/>
        <v>#VALUE!</v>
      </c>
      <c r="L219" s="15" t="e">
        <f t="shared" si="33"/>
        <v>#VALUE!</v>
      </c>
      <c r="M219" s="16" t="e">
        <f t="shared" si="34"/>
        <v>#VALUE!</v>
      </c>
      <c r="N219" s="16" t="e">
        <f t="shared" si="30"/>
        <v>#VALUE!</v>
      </c>
      <c r="O219" s="16" t="str">
        <f t="shared" si="31"/>
        <v>Other</v>
      </c>
      <c r="P219" s="16" t="str">
        <f t="shared" si="35"/>
        <v/>
      </c>
      <c r="S219" s="7" t="str">
        <v/>
      </c>
      <c r="T219" s="18" t="str">
        <f>IFERROR( IF( COUNTIF($R$2:R219,R219)=1, IF(VALUE(R219)=0,"",VALUE(R219)), "" ), "" )</f>
        <v/>
      </c>
      <c r="U219" s="8" t="str">
        <f t="shared" si="36"/>
        <v/>
      </c>
      <c r="V219" s="26"/>
      <c r="W219" s="19"/>
      <c r="X219" s="19"/>
      <c r="Y219" s="7"/>
    </row>
    <row r="220" spans="1:25" ht="25.05" customHeight="1" x14ac:dyDescent="0.45">
      <c r="A220" s="2"/>
      <c r="B220" s="2"/>
      <c r="C220" s="2"/>
      <c r="D220" s="3"/>
      <c r="E220" s="2"/>
      <c r="F220" s="2"/>
      <c r="G220" s="2"/>
      <c r="H220" s="2"/>
      <c r="K220" s="15" t="e">
        <f t="shared" si="32"/>
        <v>#VALUE!</v>
      </c>
      <c r="L220" s="15" t="e">
        <f t="shared" si="33"/>
        <v>#VALUE!</v>
      </c>
      <c r="M220" s="16" t="e">
        <f t="shared" si="34"/>
        <v>#VALUE!</v>
      </c>
      <c r="N220" s="16" t="e">
        <f t="shared" si="30"/>
        <v>#VALUE!</v>
      </c>
      <c r="O220" s="16" t="str">
        <f t="shared" si="31"/>
        <v>Other</v>
      </c>
      <c r="P220" s="16" t="str">
        <f t="shared" si="35"/>
        <v/>
      </c>
      <c r="S220" s="7" t="str">
        <v/>
      </c>
      <c r="T220" s="18" t="str">
        <f>IFERROR( IF( COUNTIF($R$2:R220,R220)=1, IF(VALUE(R220)=0,"",VALUE(R220)), "" ), "" )</f>
        <v/>
      </c>
      <c r="U220" s="8" t="str">
        <f t="shared" si="36"/>
        <v/>
      </c>
      <c r="V220" s="26"/>
      <c r="W220" s="19"/>
      <c r="X220" s="19"/>
      <c r="Y220" s="7"/>
    </row>
    <row r="221" spans="1:25" ht="25.05" customHeight="1" x14ac:dyDescent="0.45">
      <c r="A221" s="2"/>
      <c r="B221" s="2"/>
      <c r="C221" s="2"/>
      <c r="D221" s="3"/>
      <c r="E221" s="2"/>
      <c r="F221" s="2"/>
      <c r="G221" s="2"/>
      <c r="H221" s="2"/>
      <c r="K221" s="15" t="e">
        <f t="shared" si="32"/>
        <v>#VALUE!</v>
      </c>
      <c r="L221" s="15" t="e">
        <f t="shared" si="33"/>
        <v>#VALUE!</v>
      </c>
      <c r="M221" s="16" t="e">
        <f t="shared" si="34"/>
        <v>#VALUE!</v>
      </c>
      <c r="N221" s="16" t="e">
        <f t="shared" si="30"/>
        <v>#VALUE!</v>
      </c>
      <c r="O221" s="16" t="str">
        <f t="shared" si="31"/>
        <v>Other</v>
      </c>
      <c r="P221" s="16" t="str">
        <f t="shared" si="35"/>
        <v/>
      </c>
      <c r="S221" s="7" t="str">
        <v/>
      </c>
      <c r="T221" s="18" t="str">
        <f>IFERROR( IF( COUNTIF($R$2:R221,R221)=1, IF(VALUE(R221)=0,"",VALUE(R221)), "" ), "" )</f>
        <v/>
      </c>
      <c r="U221" s="8" t="str">
        <f t="shared" si="36"/>
        <v/>
      </c>
      <c r="V221" s="26"/>
      <c r="W221" s="19"/>
      <c r="X221" s="19"/>
      <c r="Y221" s="7"/>
    </row>
    <row r="222" spans="1:25" ht="25.05" customHeight="1" x14ac:dyDescent="0.45">
      <c r="A222" s="2"/>
      <c r="B222" s="2"/>
      <c r="C222" s="2"/>
      <c r="D222" s="3"/>
      <c r="E222" s="2"/>
      <c r="F222" s="2"/>
      <c r="G222" s="2"/>
      <c r="H222" s="2"/>
      <c r="K222" s="15" t="e">
        <f t="shared" si="32"/>
        <v>#VALUE!</v>
      </c>
      <c r="L222" s="15" t="e">
        <f t="shared" si="33"/>
        <v>#VALUE!</v>
      </c>
      <c r="M222" s="16" t="e">
        <f t="shared" si="34"/>
        <v>#VALUE!</v>
      </c>
      <c r="N222" s="16" t="e">
        <f t="shared" si="30"/>
        <v>#VALUE!</v>
      </c>
      <c r="O222" s="16" t="str">
        <f t="shared" si="31"/>
        <v>Other</v>
      </c>
      <c r="P222" s="16" t="str">
        <f t="shared" si="35"/>
        <v/>
      </c>
      <c r="S222" s="7" t="str">
        <v/>
      </c>
      <c r="T222" s="18" t="str">
        <f>IFERROR( IF( COUNTIF($R$2:R222,R222)=1, IF(VALUE(R222)=0,"",VALUE(R222)), "" ), "" )</f>
        <v/>
      </c>
      <c r="U222" s="8" t="str">
        <f t="shared" si="36"/>
        <v/>
      </c>
      <c r="V222" s="26"/>
      <c r="W222" s="19"/>
      <c r="X222" s="19"/>
      <c r="Y222" s="7"/>
    </row>
    <row r="223" spans="1:25" ht="25.05" customHeight="1" x14ac:dyDescent="0.45">
      <c r="A223" s="2"/>
      <c r="B223" s="2"/>
      <c r="C223" s="2"/>
      <c r="D223" s="3"/>
      <c r="E223" s="2"/>
      <c r="F223" s="2"/>
      <c r="G223" s="2"/>
      <c r="H223" s="2"/>
      <c r="K223" s="15" t="e">
        <f t="shared" si="32"/>
        <v>#VALUE!</v>
      </c>
      <c r="L223" s="15" t="e">
        <f t="shared" si="33"/>
        <v>#VALUE!</v>
      </c>
      <c r="M223" s="16" t="e">
        <f t="shared" si="34"/>
        <v>#VALUE!</v>
      </c>
      <c r="N223" s="16" t="e">
        <f t="shared" si="30"/>
        <v>#VALUE!</v>
      </c>
      <c r="O223" s="16" t="str">
        <f t="shared" si="31"/>
        <v>Other</v>
      </c>
      <c r="P223" s="16" t="str">
        <f t="shared" si="35"/>
        <v/>
      </c>
      <c r="S223" s="7" t="str">
        <v/>
      </c>
      <c r="T223" s="18" t="str">
        <f>IFERROR( IF( COUNTIF($R$2:R223,R223)=1, IF(VALUE(R223)=0,"",VALUE(R223)), "" ), "" )</f>
        <v/>
      </c>
      <c r="U223" s="8" t="str">
        <f t="shared" si="36"/>
        <v/>
      </c>
      <c r="V223" s="26"/>
      <c r="W223" s="19"/>
      <c r="X223" s="19"/>
      <c r="Y223" s="7"/>
    </row>
    <row r="224" spans="1:25" ht="25.05" customHeight="1" x14ac:dyDescent="0.45">
      <c r="A224" s="2"/>
      <c r="B224" s="2"/>
      <c r="C224" s="2"/>
      <c r="D224" s="3"/>
      <c r="E224" s="2"/>
      <c r="F224" s="2"/>
      <c r="G224" s="2"/>
      <c r="H224" s="2"/>
      <c r="K224" s="15" t="e">
        <f t="shared" si="32"/>
        <v>#VALUE!</v>
      </c>
      <c r="L224" s="15" t="e">
        <f t="shared" si="33"/>
        <v>#VALUE!</v>
      </c>
      <c r="M224" s="16" t="e">
        <f t="shared" si="34"/>
        <v>#VALUE!</v>
      </c>
      <c r="N224" s="16" t="e">
        <f t="shared" si="30"/>
        <v>#VALUE!</v>
      </c>
      <c r="O224" s="16" t="str">
        <f t="shared" si="31"/>
        <v>Other</v>
      </c>
      <c r="P224" s="16" t="str">
        <f t="shared" si="35"/>
        <v/>
      </c>
      <c r="S224" s="7" t="str">
        <v/>
      </c>
      <c r="T224" s="18" t="str">
        <f>IFERROR( IF( COUNTIF($R$2:R224,R224)=1, IF(VALUE(R224)=0,"",VALUE(R224)), "" ), "" )</f>
        <v/>
      </c>
      <c r="U224" s="8" t="str">
        <f t="shared" si="36"/>
        <v/>
      </c>
      <c r="V224" s="26"/>
      <c r="W224" s="19"/>
      <c r="X224" s="19"/>
      <c r="Y224" s="7"/>
    </row>
    <row r="225" spans="1:25" ht="25.05" customHeight="1" x14ac:dyDescent="0.45">
      <c r="A225" s="2"/>
      <c r="B225" s="2"/>
      <c r="C225" s="2"/>
      <c r="D225" s="3"/>
      <c r="E225" s="2"/>
      <c r="F225" s="2"/>
      <c r="G225" s="2"/>
      <c r="H225" s="2"/>
      <c r="K225" s="15" t="e">
        <f t="shared" si="32"/>
        <v>#VALUE!</v>
      </c>
      <c r="L225" s="15" t="e">
        <f t="shared" si="33"/>
        <v>#VALUE!</v>
      </c>
      <c r="M225" s="16" t="e">
        <f t="shared" si="34"/>
        <v>#VALUE!</v>
      </c>
      <c r="N225" s="16" t="e">
        <f t="shared" si="30"/>
        <v>#VALUE!</v>
      </c>
      <c r="O225" s="16" t="str">
        <f t="shared" si="31"/>
        <v>Other</v>
      </c>
      <c r="P225" s="16" t="str">
        <f t="shared" si="35"/>
        <v/>
      </c>
      <c r="S225" s="7" t="str">
        <v/>
      </c>
      <c r="T225" s="18" t="str">
        <f>IFERROR( IF( COUNTIF($R$2:R225,R225)=1, IF(VALUE(R225)=0,"",VALUE(R225)), "" ), "" )</f>
        <v/>
      </c>
      <c r="U225" s="8" t="str">
        <f t="shared" si="36"/>
        <v/>
      </c>
      <c r="V225" s="26"/>
      <c r="W225" s="19"/>
      <c r="X225" s="19"/>
      <c r="Y225" s="7"/>
    </row>
    <row r="226" spans="1:25" ht="25.05" customHeight="1" x14ac:dyDescent="0.45">
      <c r="A226" s="2"/>
      <c r="B226" s="2"/>
      <c r="C226" s="2"/>
      <c r="D226" s="3"/>
      <c r="E226" s="2"/>
      <c r="F226" s="2"/>
      <c r="G226" s="2"/>
      <c r="H226" s="2"/>
      <c r="K226" s="15" t="e">
        <f t="shared" si="32"/>
        <v>#VALUE!</v>
      </c>
      <c r="L226" s="15" t="e">
        <f t="shared" si="33"/>
        <v>#VALUE!</v>
      </c>
      <c r="M226" s="16" t="e">
        <f t="shared" si="34"/>
        <v>#VALUE!</v>
      </c>
      <c r="N226" s="16" t="e">
        <f t="shared" ref="N226:N289" si="37">K226 &amp; " &lt;&gt; " &amp; L226</f>
        <v>#VALUE!</v>
      </c>
      <c r="O226" s="16" t="str">
        <f t="shared" si="31"/>
        <v>Other</v>
      </c>
      <c r="P226" s="16" t="str">
        <f t="shared" si="35"/>
        <v/>
      </c>
      <c r="S226" s="7" t="str">
        <v/>
      </c>
      <c r="T226" s="18" t="str">
        <f>IFERROR( IF( COUNTIF($R$2:R226,R226)=1, IF(VALUE(R226)=0,"",VALUE(R226)), "" ), "" )</f>
        <v/>
      </c>
      <c r="U226" s="8" t="str">
        <f t="shared" si="36"/>
        <v/>
      </c>
      <c r="V226" s="26"/>
      <c r="W226" s="19"/>
      <c r="X226" s="19"/>
      <c r="Y226" s="7"/>
    </row>
    <row r="227" spans="1:25" ht="25.05" customHeight="1" x14ac:dyDescent="0.45">
      <c r="A227" s="2"/>
      <c r="B227" s="2"/>
      <c r="C227" s="2"/>
      <c r="D227" s="3"/>
      <c r="E227" s="2"/>
      <c r="F227" s="2"/>
      <c r="G227" s="2"/>
      <c r="H227" s="2"/>
      <c r="K227" s="15" t="e">
        <f t="shared" si="32"/>
        <v>#VALUE!</v>
      </c>
      <c r="L227" s="15" t="e">
        <f t="shared" si="33"/>
        <v>#VALUE!</v>
      </c>
      <c r="M227" s="16" t="e">
        <f t="shared" si="34"/>
        <v>#VALUE!</v>
      </c>
      <c r="N227" s="16" t="e">
        <f t="shared" si="37"/>
        <v>#VALUE!</v>
      </c>
      <c r="O227" s="16" t="str">
        <f t="shared" si="31"/>
        <v>Other</v>
      </c>
      <c r="P227" s="16" t="str">
        <f t="shared" si="35"/>
        <v/>
      </c>
      <c r="S227" s="7" t="str">
        <v/>
      </c>
      <c r="T227" s="18" t="str">
        <f>IFERROR( IF( COUNTIF($R$2:R227,R227)=1, IF(VALUE(R227)=0,"",VALUE(R227)), "" ), "" )</f>
        <v/>
      </c>
      <c r="U227" s="8" t="str">
        <f t="shared" si="36"/>
        <v/>
      </c>
      <c r="V227" s="26"/>
      <c r="W227" s="19"/>
      <c r="X227" s="19"/>
      <c r="Y227" s="7"/>
    </row>
    <row r="228" spans="1:25" ht="25.05" customHeight="1" x14ac:dyDescent="0.45">
      <c r="A228" s="2"/>
      <c r="B228" s="2"/>
      <c r="C228" s="2"/>
      <c r="D228" s="3"/>
      <c r="E228" s="2"/>
      <c r="F228" s="2"/>
      <c r="G228" s="2"/>
      <c r="H228" s="2"/>
      <c r="K228" s="15" t="e">
        <f t="shared" si="32"/>
        <v>#VALUE!</v>
      </c>
      <c r="L228" s="15" t="e">
        <f t="shared" si="33"/>
        <v>#VALUE!</v>
      </c>
      <c r="M228" s="16" t="e">
        <f t="shared" si="34"/>
        <v>#VALUE!</v>
      </c>
      <c r="N228" s="16" t="e">
        <f t="shared" si="37"/>
        <v>#VALUE!</v>
      </c>
      <c r="O228" s="16" t="str">
        <f t="shared" si="31"/>
        <v>Other</v>
      </c>
      <c r="P228" s="16" t="str">
        <f t="shared" si="35"/>
        <v/>
      </c>
      <c r="S228" s="7" t="str">
        <v/>
      </c>
      <c r="T228" s="18" t="str">
        <f>IFERROR( IF( COUNTIF($R$2:R228,R228)=1, IF(VALUE(R228)=0,"",VALUE(R228)), "" ), "" )</f>
        <v/>
      </c>
      <c r="U228" s="8" t="str">
        <f t="shared" si="36"/>
        <v/>
      </c>
      <c r="V228" s="26"/>
      <c r="W228" s="19"/>
      <c r="X228" s="19"/>
      <c r="Y228" s="7"/>
    </row>
    <row r="229" spans="1:25" ht="25.05" customHeight="1" x14ac:dyDescent="0.45">
      <c r="A229" s="2"/>
      <c r="B229" s="2"/>
      <c r="C229" s="2"/>
      <c r="D229" s="3"/>
      <c r="E229" s="2"/>
      <c r="F229" s="2"/>
      <c r="G229" s="2"/>
      <c r="H229" s="2"/>
      <c r="K229" s="15" t="e">
        <f t="shared" si="32"/>
        <v>#VALUE!</v>
      </c>
      <c r="L229" s="15" t="e">
        <f t="shared" si="33"/>
        <v>#VALUE!</v>
      </c>
      <c r="M229" s="16" t="e">
        <f t="shared" si="34"/>
        <v>#VALUE!</v>
      </c>
      <c r="N229" s="16" t="e">
        <f t="shared" si="37"/>
        <v>#VALUE!</v>
      </c>
      <c r="O229" s="16" t="str">
        <f t="shared" si="31"/>
        <v>Other</v>
      </c>
      <c r="P229" s="16" t="str">
        <f t="shared" si="35"/>
        <v/>
      </c>
      <c r="S229" s="7" t="str">
        <v/>
      </c>
      <c r="T229" s="18" t="str">
        <f>IFERROR( IF( COUNTIF($R$2:R229,R229)=1, IF(VALUE(R229)=0,"",VALUE(R229)), "" ), "" )</f>
        <v/>
      </c>
      <c r="U229" s="8" t="str">
        <f t="shared" si="36"/>
        <v/>
      </c>
      <c r="V229" s="26"/>
      <c r="W229" s="19"/>
      <c r="X229" s="19"/>
      <c r="Y229" s="7"/>
    </row>
    <row r="230" spans="1:25" ht="25.05" customHeight="1" x14ac:dyDescent="0.45">
      <c r="A230" s="2"/>
      <c r="B230" s="2"/>
      <c r="C230" s="2"/>
      <c r="D230" s="3"/>
      <c r="E230" s="2"/>
      <c r="F230" s="2"/>
      <c r="G230" s="2"/>
      <c r="H230" s="2"/>
      <c r="K230" s="15" t="e">
        <f t="shared" si="32"/>
        <v>#VALUE!</v>
      </c>
      <c r="L230" s="15" t="e">
        <f t="shared" si="33"/>
        <v>#VALUE!</v>
      </c>
      <c r="M230" s="16" t="e">
        <f t="shared" si="34"/>
        <v>#VALUE!</v>
      </c>
      <c r="N230" s="16" t="e">
        <f t="shared" si="37"/>
        <v>#VALUE!</v>
      </c>
      <c r="O230" s="16" t="str">
        <f t="shared" ref="O230:O293" si="38">IF(LEFT(E230, 6)="TenGig", "10G (Ten Gig)", IF(LEFT(E230, 10)="HundredGig", "100G (Hundred Gig)", "Other"))</f>
        <v>Other</v>
      </c>
      <c r="P230" s="16" t="str">
        <f t="shared" si="35"/>
        <v/>
      </c>
      <c r="S230" s="7" t="str">
        <v/>
      </c>
      <c r="T230" s="18" t="str">
        <f>IFERROR( IF( COUNTIF($R$2:R230,R230)=1, IF(VALUE(R230)=0,"",VALUE(R230)), "" ), "" )</f>
        <v/>
      </c>
      <c r="U230" s="8" t="str">
        <f t="shared" si="36"/>
        <v/>
      </c>
      <c r="V230" s="26"/>
      <c r="W230" s="19"/>
      <c r="X230" s="19"/>
      <c r="Y230" s="7"/>
    </row>
    <row r="231" spans="1:25" ht="25.05" customHeight="1" x14ac:dyDescent="0.45">
      <c r="A231" s="2"/>
      <c r="B231" s="2"/>
      <c r="C231" s="2"/>
      <c r="D231" s="3"/>
      <c r="E231" s="2"/>
      <c r="F231" s="2"/>
      <c r="G231" s="2"/>
      <c r="H231" s="2"/>
      <c r="K231" s="15" t="e">
        <f t="shared" ref="K231:K294" si="39">LEFT(A231, FIND("-", A231)-1)</f>
        <v>#VALUE!</v>
      </c>
      <c r="L231" s="15" t="e">
        <f t="shared" si="33"/>
        <v>#VALUE!</v>
      </c>
      <c r="M231" s="16" t="e">
        <f t="shared" si="34"/>
        <v>#VALUE!</v>
      </c>
      <c r="N231" s="16" t="e">
        <f t="shared" si="37"/>
        <v>#VALUE!</v>
      </c>
      <c r="O231" s="16" t="str">
        <f t="shared" si="38"/>
        <v>Other</v>
      </c>
      <c r="P231" s="16" t="str">
        <f t="shared" si="35"/>
        <v/>
      </c>
      <c r="S231" s="7" t="str">
        <v/>
      </c>
      <c r="T231" s="18" t="str">
        <f>IFERROR( IF( COUNTIF($R$2:R231,R231)=1, IF(VALUE(R231)=0,"",VALUE(R231)), "" ), "" )</f>
        <v/>
      </c>
      <c r="U231" s="8" t="str">
        <f t="shared" si="36"/>
        <v/>
      </c>
      <c r="V231" s="26"/>
      <c r="W231" s="19"/>
      <c r="X231" s="19"/>
      <c r="Y231" s="7"/>
    </row>
    <row r="232" spans="1:25" ht="25.05" customHeight="1" x14ac:dyDescent="0.45">
      <c r="A232" s="2"/>
      <c r="B232" s="2"/>
      <c r="C232" s="2"/>
      <c r="D232" s="3"/>
      <c r="E232" s="2"/>
      <c r="F232" s="2"/>
      <c r="G232" s="2"/>
      <c r="H232" s="2"/>
      <c r="K232" s="15" t="e">
        <f t="shared" si="39"/>
        <v>#VALUE!</v>
      </c>
      <c r="L232" s="15" t="e">
        <f t="shared" si="33"/>
        <v>#VALUE!</v>
      </c>
      <c r="M232" s="16" t="e">
        <f t="shared" si="34"/>
        <v>#VALUE!</v>
      </c>
      <c r="N232" s="16" t="e">
        <f t="shared" si="37"/>
        <v>#VALUE!</v>
      </c>
      <c r="O232" s="16" t="str">
        <f t="shared" si="38"/>
        <v>Other</v>
      </c>
      <c r="P232" s="16" t="str">
        <f t="shared" si="35"/>
        <v/>
      </c>
      <c r="S232" s="7" t="str">
        <v/>
      </c>
      <c r="T232" s="18" t="str">
        <f>IFERROR( IF( COUNTIF($R$2:R232,R232)=1, IF(VALUE(R232)=0,"",VALUE(R232)), "" ), "" )</f>
        <v/>
      </c>
      <c r="U232" s="8" t="str">
        <f t="shared" si="36"/>
        <v/>
      </c>
      <c r="V232" s="26"/>
      <c r="W232" s="19"/>
      <c r="X232" s="19"/>
      <c r="Y232" s="7"/>
    </row>
    <row r="233" spans="1:25" ht="25.05" customHeight="1" x14ac:dyDescent="0.45">
      <c r="A233" s="2"/>
      <c r="B233" s="2"/>
      <c r="C233" s="2"/>
      <c r="D233" s="3"/>
      <c r="E233" s="2"/>
      <c r="F233" s="2"/>
      <c r="G233" s="2"/>
      <c r="H233" s="2"/>
      <c r="K233" s="15" t="e">
        <f t="shared" si="39"/>
        <v>#VALUE!</v>
      </c>
      <c r="L233" s="15" t="e">
        <f t="shared" ref="L233:L296" si="40">LEFT(C233, FIND("-", C233)-1)</f>
        <v>#VALUE!</v>
      </c>
      <c r="M233" s="16" t="e">
        <f t="shared" si="34"/>
        <v>#VALUE!</v>
      </c>
      <c r="N233" s="16" t="e">
        <f t="shared" si="37"/>
        <v>#VALUE!</v>
      </c>
      <c r="O233" s="16" t="str">
        <f t="shared" si="38"/>
        <v>Other</v>
      </c>
      <c r="P233" s="16" t="str">
        <f t="shared" si="35"/>
        <v/>
      </c>
      <c r="S233" s="7" t="str">
        <v/>
      </c>
      <c r="T233" s="18" t="str">
        <f>IFERROR( IF( COUNTIF($R$2:R233,R233)=1, IF(VALUE(R233)=0,"",VALUE(R233)), "" ), "" )</f>
        <v/>
      </c>
      <c r="U233" s="8" t="str">
        <f t="shared" si="36"/>
        <v/>
      </c>
      <c r="V233" s="26"/>
      <c r="W233" s="19"/>
      <c r="X233" s="19"/>
      <c r="Y233" s="7"/>
    </row>
    <row r="234" spans="1:25" ht="25.05" customHeight="1" x14ac:dyDescent="0.45">
      <c r="A234" s="2"/>
      <c r="B234" s="2"/>
      <c r="C234" s="2"/>
      <c r="D234" s="3"/>
      <c r="E234" s="2"/>
      <c r="F234" s="2"/>
      <c r="G234" s="2"/>
      <c r="H234" s="2"/>
      <c r="K234" s="15" t="e">
        <f t="shared" si="39"/>
        <v>#VALUE!</v>
      </c>
      <c r="L234" s="15" t="e">
        <f t="shared" si="40"/>
        <v>#VALUE!</v>
      </c>
      <c r="M234" s="16" t="e">
        <f t="shared" si="34"/>
        <v>#VALUE!</v>
      </c>
      <c r="N234" s="16" t="e">
        <f t="shared" si="37"/>
        <v>#VALUE!</v>
      </c>
      <c r="O234" s="16" t="str">
        <f t="shared" si="38"/>
        <v>Other</v>
      </c>
      <c r="P234" s="16" t="str">
        <f t="shared" si="35"/>
        <v/>
      </c>
      <c r="S234" s="7" t="str">
        <v/>
      </c>
      <c r="T234" s="18" t="str">
        <f>IFERROR( IF( COUNTIF($R$2:R234,R234)=1, IF(VALUE(R234)=0,"",VALUE(R234)), "" ), "" )</f>
        <v/>
      </c>
      <c r="U234" s="8" t="str">
        <f t="shared" si="36"/>
        <v/>
      </c>
      <c r="V234" s="26"/>
      <c r="W234" s="19"/>
      <c r="X234" s="19"/>
      <c r="Y234" s="7"/>
    </row>
    <row r="235" spans="1:25" ht="25.05" customHeight="1" x14ac:dyDescent="0.45">
      <c r="A235" s="2"/>
      <c r="B235" s="2"/>
      <c r="C235" s="2"/>
      <c r="D235" s="3"/>
      <c r="E235" s="2"/>
      <c r="F235" s="2"/>
      <c r="G235" s="2"/>
      <c r="H235" s="2"/>
      <c r="K235" s="15" t="e">
        <f t="shared" si="39"/>
        <v>#VALUE!</v>
      </c>
      <c r="L235" s="15" t="e">
        <f t="shared" si="40"/>
        <v>#VALUE!</v>
      </c>
      <c r="M235" s="16" t="e">
        <f t="shared" si="34"/>
        <v>#VALUE!</v>
      </c>
      <c r="N235" s="16" t="e">
        <f t="shared" si="37"/>
        <v>#VALUE!</v>
      </c>
      <c r="O235" s="16" t="str">
        <f t="shared" si="38"/>
        <v>Other</v>
      </c>
      <c r="P235" s="16" t="str">
        <f t="shared" si="35"/>
        <v/>
      </c>
      <c r="S235" s="7" t="str">
        <v/>
      </c>
      <c r="T235" s="18" t="str">
        <f>IFERROR( IF( COUNTIF($R$2:R235,R235)=1, IF(VALUE(R235)=0,"",VALUE(R235)), "" ), "" )</f>
        <v/>
      </c>
      <c r="U235" s="8" t="str">
        <f t="shared" si="36"/>
        <v/>
      </c>
      <c r="V235" s="26"/>
      <c r="W235" s="19"/>
      <c r="X235" s="19"/>
      <c r="Y235" s="7"/>
    </row>
    <row r="236" spans="1:25" ht="25.05" customHeight="1" x14ac:dyDescent="0.45">
      <c r="A236" s="2"/>
      <c r="B236" s="2"/>
      <c r="C236" s="2"/>
      <c r="D236" s="3"/>
      <c r="E236" s="2"/>
      <c r="F236" s="2"/>
      <c r="G236" s="2"/>
      <c r="H236" s="2"/>
      <c r="K236" s="15" t="e">
        <f t="shared" si="39"/>
        <v>#VALUE!</v>
      </c>
      <c r="L236" s="15" t="e">
        <f t="shared" si="40"/>
        <v>#VALUE!</v>
      </c>
      <c r="M236" s="16" t="e">
        <f t="shared" si="34"/>
        <v>#VALUE!</v>
      </c>
      <c r="N236" s="16" t="e">
        <f t="shared" si="37"/>
        <v>#VALUE!</v>
      </c>
      <c r="O236" s="16" t="str">
        <f t="shared" si="38"/>
        <v>Other</v>
      </c>
      <c r="P236" s="16" t="str">
        <f t="shared" si="35"/>
        <v/>
      </c>
      <c r="S236" s="7" t="str">
        <v/>
      </c>
      <c r="T236" s="18" t="str">
        <f>IFERROR( IF( COUNTIF($R$2:R236,R236)=1, IF(VALUE(R236)=0,"",VALUE(R236)), "" ), "" )</f>
        <v/>
      </c>
      <c r="U236" s="8" t="str">
        <f t="shared" si="36"/>
        <v/>
      </c>
      <c r="V236" s="26"/>
      <c r="W236" s="19"/>
      <c r="X236" s="19"/>
      <c r="Y236" s="7"/>
    </row>
    <row r="237" spans="1:25" ht="25.05" customHeight="1" x14ac:dyDescent="0.45">
      <c r="A237" s="2"/>
      <c r="B237" s="2"/>
      <c r="C237" s="2"/>
      <c r="D237" s="3"/>
      <c r="E237" s="2"/>
      <c r="F237" s="2"/>
      <c r="G237" s="2"/>
      <c r="H237" s="2"/>
      <c r="K237" s="15" t="e">
        <f t="shared" si="39"/>
        <v>#VALUE!</v>
      </c>
      <c r="L237" s="15" t="e">
        <f t="shared" si="40"/>
        <v>#VALUE!</v>
      </c>
      <c r="M237" s="16" t="e">
        <f t="shared" si="34"/>
        <v>#VALUE!</v>
      </c>
      <c r="N237" s="16" t="e">
        <f t="shared" si="37"/>
        <v>#VALUE!</v>
      </c>
      <c r="O237" s="16" t="str">
        <f t="shared" si="38"/>
        <v>Other</v>
      </c>
      <c r="P237" s="16" t="str">
        <f t="shared" si="35"/>
        <v/>
      </c>
      <c r="S237" s="7" t="str">
        <v/>
      </c>
      <c r="T237" s="18" t="str">
        <f>IFERROR( IF( COUNTIF($R$2:R237,R237)=1, IF(VALUE(R237)=0,"",VALUE(R237)), "" ), "" )</f>
        <v/>
      </c>
      <c r="U237" s="8" t="str">
        <f t="shared" si="36"/>
        <v/>
      </c>
      <c r="V237" s="26"/>
      <c r="W237" s="19"/>
      <c r="X237" s="19"/>
      <c r="Y237" s="7"/>
    </row>
    <row r="238" spans="1:25" ht="25.05" customHeight="1" x14ac:dyDescent="0.45">
      <c r="A238" s="2"/>
      <c r="B238" s="2"/>
      <c r="C238" s="2"/>
      <c r="D238" s="3"/>
      <c r="E238" s="2"/>
      <c r="F238" s="2"/>
      <c r="G238" s="2"/>
      <c r="H238" s="2"/>
      <c r="K238" s="15" t="e">
        <f t="shared" si="39"/>
        <v>#VALUE!</v>
      </c>
      <c r="L238" s="15" t="e">
        <f t="shared" si="40"/>
        <v>#VALUE!</v>
      </c>
      <c r="M238" s="16" t="e">
        <f t="shared" si="34"/>
        <v>#VALUE!</v>
      </c>
      <c r="N238" s="16" t="e">
        <f t="shared" si="37"/>
        <v>#VALUE!</v>
      </c>
      <c r="O238" s="16" t="str">
        <f t="shared" si="38"/>
        <v>Other</v>
      </c>
      <c r="P238" s="16" t="str">
        <f t="shared" si="35"/>
        <v/>
      </c>
      <c r="S238" s="7" t="str">
        <v/>
      </c>
      <c r="T238" s="18" t="str">
        <f>IFERROR( IF( COUNTIF($R$2:R238,R238)=1, IF(VALUE(R238)=0,"",VALUE(R238)), "" ), "" )</f>
        <v/>
      </c>
      <c r="U238" s="8" t="str">
        <f t="shared" si="36"/>
        <v/>
      </c>
      <c r="V238" s="26"/>
      <c r="W238" s="19"/>
      <c r="X238" s="19"/>
      <c r="Y238" s="7"/>
    </row>
    <row r="239" spans="1:25" ht="25.05" customHeight="1" x14ac:dyDescent="0.45">
      <c r="A239" s="2"/>
      <c r="B239" s="2"/>
      <c r="C239" s="2"/>
      <c r="D239" s="3"/>
      <c r="E239" s="2"/>
      <c r="F239" s="2"/>
      <c r="G239" s="2"/>
      <c r="H239" s="2"/>
      <c r="K239" s="15" t="e">
        <f t="shared" si="39"/>
        <v>#VALUE!</v>
      </c>
      <c r="L239" s="15" t="e">
        <f t="shared" si="40"/>
        <v>#VALUE!</v>
      </c>
      <c r="M239" s="16" t="e">
        <f t="shared" si="34"/>
        <v>#VALUE!</v>
      </c>
      <c r="N239" s="16" t="e">
        <f t="shared" si="37"/>
        <v>#VALUE!</v>
      </c>
      <c r="O239" s="16" t="str">
        <f t="shared" si="38"/>
        <v>Other</v>
      </c>
      <c r="P239" s="16" t="str">
        <f t="shared" si="35"/>
        <v/>
      </c>
      <c r="S239" s="7" t="str">
        <v/>
      </c>
      <c r="T239" s="18" t="str">
        <f>IFERROR( IF( COUNTIF($R$2:R239,R239)=1, IF(VALUE(R239)=0,"",VALUE(R239)), "" ), "" )</f>
        <v/>
      </c>
      <c r="U239" s="8" t="str">
        <f t="shared" si="36"/>
        <v/>
      </c>
      <c r="V239" s="26"/>
      <c r="W239" s="19"/>
      <c r="X239" s="19"/>
      <c r="Y239" s="7"/>
    </row>
    <row r="240" spans="1:25" ht="25.05" customHeight="1" x14ac:dyDescent="0.45">
      <c r="A240" s="2"/>
      <c r="B240" s="2"/>
      <c r="C240" s="2"/>
      <c r="D240" s="3"/>
      <c r="E240" s="2"/>
      <c r="F240" s="2"/>
      <c r="G240" s="2"/>
      <c r="H240" s="2"/>
      <c r="K240" s="15" t="e">
        <f t="shared" si="39"/>
        <v>#VALUE!</v>
      </c>
      <c r="L240" s="15" t="e">
        <f t="shared" si="40"/>
        <v>#VALUE!</v>
      </c>
      <c r="M240" s="16" t="e">
        <f t="shared" si="34"/>
        <v>#VALUE!</v>
      </c>
      <c r="N240" s="16" t="e">
        <f t="shared" si="37"/>
        <v>#VALUE!</v>
      </c>
      <c r="O240" s="16" t="str">
        <f t="shared" si="38"/>
        <v>Other</v>
      </c>
      <c r="P240" s="16" t="str">
        <f t="shared" si="35"/>
        <v/>
      </c>
      <c r="S240" s="7" t="str">
        <v/>
      </c>
      <c r="T240" s="18" t="str">
        <f>IFERROR( IF( COUNTIF($R$2:R240,R240)=1, IF(VALUE(R240)=0,"",VALUE(R240)), "" ), "" )</f>
        <v/>
      </c>
      <c r="U240" s="8" t="str">
        <f t="shared" si="36"/>
        <v/>
      </c>
      <c r="V240" s="26"/>
      <c r="W240" s="19"/>
      <c r="X240" s="19"/>
      <c r="Y240" s="7"/>
    </row>
    <row r="241" spans="1:25" ht="25.05" customHeight="1" x14ac:dyDescent="0.45">
      <c r="A241" s="2"/>
      <c r="B241" s="2"/>
      <c r="C241" s="2"/>
      <c r="D241" s="3"/>
      <c r="E241" s="2"/>
      <c r="F241" s="2"/>
      <c r="G241" s="2"/>
      <c r="H241" s="2"/>
      <c r="K241" s="15" t="e">
        <f t="shared" si="39"/>
        <v>#VALUE!</v>
      </c>
      <c r="L241" s="15" t="e">
        <f t="shared" si="40"/>
        <v>#VALUE!</v>
      </c>
      <c r="M241" s="16" t="e">
        <f t="shared" si="34"/>
        <v>#VALUE!</v>
      </c>
      <c r="N241" s="16" t="e">
        <f t="shared" si="37"/>
        <v>#VALUE!</v>
      </c>
      <c r="O241" s="16" t="str">
        <f t="shared" si="38"/>
        <v>Other</v>
      </c>
      <c r="P241" s="16" t="str">
        <f t="shared" si="35"/>
        <v/>
      </c>
      <c r="S241" s="7" t="str">
        <v/>
      </c>
      <c r="T241" s="18" t="str">
        <f>IFERROR( IF( COUNTIF($R$2:R241,R241)=1, IF(VALUE(R241)=0,"",VALUE(R241)), "" ), "" )</f>
        <v/>
      </c>
      <c r="U241" s="8" t="str">
        <f t="shared" si="36"/>
        <v/>
      </c>
      <c r="V241" s="26"/>
      <c r="W241" s="19"/>
      <c r="X241" s="19"/>
      <c r="Y241" s="7"/>
    </row>
    <row r="242" spans="1:25" ht="25.05" customHeight="1" x14ac:dyDescent="0.45">
      <c r="A242" s="2"/>
      <c r="B242" s="2"/>
      <c r="C242" s="2"/>
      <c r="D242" s="3"/>
      <c r="E242" s="2"/>
      <c r="F242" s="2"/>
      <c r="G242" s="2"/>
      <c r="H242" s="2"/>
      <c r="K242" s="15" t="e">
        <f t="shared" si="39"/>
        <v>#VALUE!</v>
      </c>
      <c r="L242" s="15" t="e">
        <f t="shared" si="40"/>
        <v>#VALUE!</v>
      </c>
      <c r="M242" s="16" t="e">
        <f t="shared" si="34"/>
        <v>#VALUE!</v>
      </c>
      <c r="N242" s="16" t="e">
        <f t="shared" si="37"/>
        <v>#VALUE!</v>
      </c>
      <c r="O242" s="16" t="str">
        <f t="shared" si="38"/>
        <v>Other</v>
      </c>
      <c r="P242" s="16" t="str">
        <f t="shared" si="35"/>
        <v/>
      </c>
      <c r="S242" s="7" t="str">
        <v/>
      </c>
      <c r="T242" s="18" t="str">
        <f>IFERROR( IF( COUNTIF($R$2:R242,R242)=1, IF(VALUE(R242)=0,"",VALUE(R242)), "" ), "" )</f>
        <v/>
      </c>
      <c r="U242" s="8" t="str">
        <f t="shared" si="36"/>
        <v/>
      </c>
      <c r="V242" s="26"/>
      <c r="W242" s="19"/>
      <c r="X242" s="19"/>
      <c r="Y242" s="7"/>
    </row>
    <row r="243" spans="1:25" ht="25.05" customHeight="1" x14ac:dyDescent="0.45">
      <c r="A243" s="2"/>
      <c r="B243" s="2"/>
      <c r="C243" s="2"/>
      <c r="D243" s="3"/>
      <c r="E243" s="2"/>
      <c r="F243" s="2"/>
      <c r="G243" s="2"/>
      <c r="H243" s="2"/>
      <c r="K243" s="15" t="e">
        <f t="shared" si="39"/>
        <v>#VALUE!</v>
      </c>
      <c r="L243" s="15" t="e">
        <f t="shared" si="40"/>
        <v>#VALUE!</v>
      </c>
      <c r="M243" s="16" t="e">
        <f t="shared" si="34"/>
        <v>#VALUE!</v>
      </c>
      <c r="N243" s="16" t="e">
        <f t="shared" si="37"/>
        <v>#VALUE!</v>
      </c>
      <c r="O243" s="16" t="str">
        <f t="shared" si="38"/>
        <v>Other</v>
      </c>
      <c r="P243" s="16" t="str">
        <f t="shared" si="35"/>
        <v/>
      </c>
      <c r="S243" s="7" t="str">
        <v/>
      </c>
      <c r="T243" s="18" t="str">
        <f>IFERROR( IF( COUNTIF($R$2:R243,R243)=1, IF(VALUE(R243)=0,"",VALUE(R243)), "" ), "" )</f>
        <v/>
      </c>
      <c r="U243" s="8" t="str">
        <f t="shared" si="36"/>
        <v/>
      </c>
      <c r="V243" s="26"/>
      <c r="W243" s="19"/>
      <c r="X243" s="19"/>
      <c r="Y243" s="7"/>
    </row>
    <row r="244" spans="1:25" ht="25.05" customHeight="1" x14ac:dyDescent="0.45">
      <c r="A244" s="2"/>
      <c r="B244" s="2"/>
      <c r="C244" s="2"/>
      <c r="D244" s="3"/>
      <c r="E244" s="2"/>
      <c r="F244" s="2"/>
      <c r="G244" s="2"/>
      <c r="H244" s="2"/>
      <c r="K244" s="15" t="e">
        <f t="shared" si="39"/>
        <v>#VALUE!</v>
      </c>
      <c r="L244" s="15" t="e">
        <f t="shared" si="40"/>
        <v>#VALUE!</v>
      </c>
      <c r="M244" s="16" t="e">
        <f t="shared" si="34"/>
        <v>#VALUE!</v>
      </c>
      <c r="N244" s="16" t="e">
        <f t="shared" si="37"/>
        <v>#VALUE!</v>
      </c>
      <c r="O244" s="16" t="str">
        <f t="shared" si="38"/>
        <v>Other</v>
      </c>
      <c r="P244" s="16" t="str">
        <f t="shared" si="35"/>
        <v/>
      </c>
      <c r="S244" s="7" t="str">
        <v/>
      </c>
      <c r="T244" s="18" t="str">
        <f>IFERROR( IF( COUNTIF($R$2:R244,R244)=1, IF(VALUE(R244)=0,"",VALUE(R244)), "" ), "" )</f>
        <v/>
      </c>
      <c r="U244" s="8" t="str">
        <f t="shared" si="36"/>
        <v/>
      </c>
      <c r="V244" s="26"/>
      <c r="W244" s="19"/>
      <c r="X244" s="19"/>
      <c r="Y244" s="7"/>
    </row>
    <row r="245" spans="1:25" ht="25.05" customHeight="1" x14ac:dyDescent="0.45">
      <c r="A245" s="2"/>
      <c r="B245" s="2"/>
      <c r="C245" s="2"/>
      <c r="D245" s="3"/>
      <c r="E245" s="2"/>
      <c r="F245" s="2"/>
      <c r="G245" s="2"/>
      <c r="H245" s="2"/>
      <c r="K245" s="15" t="e">
        <f t="shared" si="39"/>
        <v>#VALUE!</v>
      </c>
      <c r="L245" s="15" t="e">
        <f t="shared" si="40"/>
        <v>#VALUE!</v>
      </c>
      <c r="M245" s="16" t="e">
        <f t="shared" si="34"/>
        <v>#VALUE!</v>
      </c>
      <c r="N245" s="16" t="e">
        <f t="shared" si="37"/>
        <v>#VALUE!</v>
      </c>
      <c r="O245" s="16" t="str">
        <f t="shared" si="38"/>
        <v>Other</v>
      </c>
      <c r="P245" s="16" t="str">
        <f t="shared" si="35"/>
        <v/>
      </c>
      <c r="S245" s="7" t="str">
        <v/>
      </c>
      <c r="T245" s="18" t="str">
        <f>IFERROR( IF( COUNTIF($R$2:R245,R245)=1, IF(VALUE(R245)=0,"",VALUE(R245)), "" ), "" )</f>
        <v/>
      </c>
      <c r="U245" s="8" t="str">
        <f t="shared" si="36"/>
        <v/>
      </c>
      <c r="V245" s="26"/>
      <c r="W245" s="19"/>
      <c r="X245" s="19"/>
      <c r="Y245" s="7"/>
    </row>
    <row r="246" spans="1:25" ht="25.05" customHeight="1" x14ac:dyDescent="0.45">
      <c r="A246" s="2"/>
      <c r="B246" s="2"/>
      <c r="C246" s="2"/>
      <c r="D246" s="3"/>
      <c r="E246" s="2"/>
      <c r="F246" s="2"/>
      <c r="G246" s="2"/>
      <c r="H246" s="2"/>
      <c r="K246" s="15" t="e">
        <f t="shared" si="39"/>
        <v>#VALUE!</v>
      </c>
      <c r="L246" s="15" t="e">
        <f t="shared" si="40"/>
        <v>#VALUE!</v>
      </c>
      <c r="M246" s="16" t="e">
        <f t="shared" si="34"/>
        <v>#VALUE!</v>
      </c>
      <c r="N246" s="16" t="e">
        <f t="shared" si="37"/>
        <v>#VALUE!</v>
      </c>
      <c r="O246" s="16" t="str">
        <f t="shared" si="38"/>
        <v>Other</v>
      </c>
      <c r="P246" s="16" t="str">
        <f t="shared" si="35"/>
        <v/>
      </c>
      <c r="S246" s="7" t="str">
        <v/>
      </c>
      <c r="T246" s="18" t="str">
        <f>IFERROR( IF( COUNTIF($R$2:R246,R246)=1, IF(VALUE(R246)=0,"",VALUE(R246)), "" ), "" )</f>
        <v/>
      </c>
      <c r="U246" s="8" t="str">
        <f t="shared" si="36"/>
        <v/>
      </c>
      <c r="V246" s="26"/>
      <c r="W246" s="19"/>
      <c r="X246" s="19"/>
      <c r="Y246" s="7"/>
    </row>
    <row r="247" spans="1:25" ht="25.05" customHeight="1" x14ac:dyDescent="0.45">
      <c r="A247" s="2"/>
      <c r="B247" s="2"/>
      <c r="C247" s="2"/>
      <c r="D247" s="3"/>
      <c r="E247" s="2"/>
      <c r="F247" s="2"/>
      <c r="G247" s="2"/>
      <c r="H247" s="2"/>
      <c r="K247" s="15" t="e">
        <f t="shared" si="39"/>
        <v>#VALUE!</v>
      </c>
      <c r="L247" s="15" t="e">
        <f t="shared" si="40"/>
        <v>#VALUE!</v>
      </c>
      <c r="M247" s="16" t="e">
        <f t="shared" si="34"/>
        <v>#VALUE!</v>
      </c>
      <c r="N247" s="16" t="e">
        <f t="shared" si="37"/>
        <v>#VALUE!</v>
      </c>
      <c r="O247" s="16" t="str">
        <f t="shared" si="38"/>
        <v>Other</v>
      </c>
      <c r="P247" s="16" t="str">
        <f t="shared" si="35"/>
        <v/>
      </c>
      <c r="S247" s="7" t="str">
        <v/>
      </c>
      <c r="T247" s="18" t="str">
        <f>IFERROR( IF( COUNTIF($R$2:R247,R247)=1, IF(VALUE(R247)=0,"",VALUE(R247)), "" ), "" )</f>
        <v/>
      </c>
      <c r="U247" s="8" t="str">
        <f t="shared" si="36"/>
        <v/>
      </c>
      <c r="V247" s="26"/>
      <c r="W247" s="19"/>
      <c r="X247" s="19"/>
      <c r="Y247" s="7"/>
    </row>
    <row r="248" spans="1:25" ht="25.05" customHeight="1" x14ac:dyDescent="0.45">
      <c r="A248" s="2"/>
      <c r="B248" s="2"/>
      <c r="C248" s="2"/>
      <c r="D248" s="3"/>
      <c r="E248" s="2"/>
      <c r="F248" s="2"/>
      <c r="G248" s="2"/>
      <c r="H248" s="2"/>
      <c r="K248" s="15" t="e">
        <f t="shared" si="39"/>
        <v>#VALUE!</v>
      </c>
      <c r="L248" s="15" t="e">
        <f t="shared" si="40"/>
        <v>#VALUE!</v>
      </c>
      <c r="M248" s="16" t="e">
        <f t="shared" si="34"/>
        <v>#VALUE!</v>
      </c>
      <c r="N248" s="16" t="e">
        <f t="shared" si="37"/>
        <v>#VALUE!</v>
      </c>
      <c r="O248" s="16" t="str">
        <f t="shared" si="38"/>
        <v>Other</v>
      </c>
      <c r="P248" s="16" t="str">
        <f t="shared" si="35"/>
        <v/>
      </c>
      <c r="S248" s="7" t="str">
        <v/>
      </c>
      <c r="T248" s="18" t="str">
        <f>IFERROR( IF( COUNTIF($R$2:R248,R248)=1, IF(VALUE(R248)=0,"",VALUE(R248)), "" ), "" )</f>
        <v/>
      </c>
      <c r="U248" s="8" t="str">
        <f t="shared" si="36"/>
        <v/>
      </c>
      <c r="V248" s="26"/>
      <c r="W248" s="19"/>
      <c r="X248" s="19"/>
      <c r="Y248" s="7"/>
    </row>
    <row r="249" spans="1:25" ht="25.05" customHeight="1" x14ac:dyDescent="0.45">
      <c r="A249" s="2"/>
      <c r="B249" s="2"/>
      <c r="C249" s="2"/>
      <c r="D249" s="3"/>
      <c r="E249" s="2"/>
      <c r="F249" s="2"/>
      <c r="G249" s="2"/>
      <c r="H249" s="2"/>
      <c r="K249" s="15" t="e">
        <f t="shared" si="39"/>
        <v>#VALUE!</v>
      </c>
      <c r="L249" s="15" t="e">
        <f t="shared" si="40"/>
        <v>#VALUE!</v>
      </c>
      <c r="M249" s="16" t="e">
        <f t="shared" si="34"/>
        <v>#VALUE!</v>
      </c>
      <c r="N249" s="16" t="e">
        <f t="shared" si="37"/>
        <v>#VALUE!</v>
      </c>
      <c r="O249" s="16" t="str">
        <f t="shared" si="38"/>
        <v>Other</v>
      </c>
      <c r="P249" s="16" t="str">
        <f t="shared" si="35"/>
        <v/>
      </c>
      <c r="S249" s="7" t="str">
        <v/>
      </c>
      <c r="T249" s="18" t="str">
        <f>IFERROR( IF( COUNTIF($R$2:R249,R249)=1, IF(VALUE(R249)=0,"",VALUE(R249)), "" ), "" )</f>
        <v/>
      </c>
      <c r="U249" s="8" t="str">
        <f t="shared" si="36"/>
        <v/>
      </c>
      <c r="V249" s="26"/>
      <c r="W249" s="19"/>
      <c r="X249" s="19"/>
      <c r="Y249" s="7"/>
    </row>
    <row r="250" spans="1:25" ht="25.05" customHeight="1" x14ac:dyDescent="0.45">
      <c r="A250" s="2"/>
      <c r="B250" s="2"/>
      <c r="C250" s="2"/>
      <c r="D250" s="3"/>
      <c r="E250" s="2"/>
      <c r="F250" s="2"/>
      <c r="G250" s="2"/>
      <c r="H250" s="2"/>
      <c r="K250" s="15" t="e">
        <f t="shared" si="39"/>
        <v>#VALUE!</v>
      </c>
      <c r="L250" s="15" t="e">
        <f t="shared" si="40"/>
        <v>#VALUE!</v>
      </c>
      <c r="M250" s="16" t="e">
        <f t="shared" si="34"/>
        <v>#VALUE!</v>
      </c>
      <c r="N250" s="16" t="e">
        <f t="shared" si="37"/>
        <v>#VALUE!</v>
      </c>
      <c r="O250" s="16" t="str">
        <f t="shared" si="38"/>
        <v>Other</v>
      </c>
      <c r="P250" s="16" t="str">
        <f t="shared" si="35"/>
        <v/>
      </c>
      <c r="S250" s="7" t="str">
        <v/>
      </c>
      <c r="T250" s="18" t="str">
        <f>IFERROR( IF( COUNTIF($R$2:R250,R250)=1, IF(VALUE(R250)=0,"",VALUE(R250)), "" ), "" )</f>
        <v/>
      </c>
      <c r="U250" s="8" t="str">
        <f t="shared" si="36"/>
        <v/>
      </c>
      <c r="V250" s="26"/>
      <c r="W250" s="19"/>
      <c r="X250" s="19"/>
      <c r="Y250" s="7"/>
    </row>
    <row r="251" spans="1:25" ht="25.05" customHeight="1" x14ac:dyDescent="0.45">
      <c r="A251" s="2"/>
      <c r="B251" s="2"/>
      <c r="C251" s="2"/>
      <c r="D251" s="3"/>
      <c r="E251" s="2"/>
      <c r="F251" s="2"/>
      <c r="G251" s="2"/>
      <c r="H251" s="2"/>
      <c r="K251" s="15" t="e">
        <f t="shared" si="39"/>
        <v>#VALUE!</v>
      </c>
      <c r="L251" s="15" t="e">
        <f t="shared" si="40"/>
        <v>#VALUE!</v>
      </c>
      <c r="M251" s="16" t="e">
        <f t="shared" si="34"/>
        <v>#VALUE!</v>
      </c>
      <c r="N251" s="16" t="e">
        <f t="shared" si="37"/>
        <v>#VALUE!</v>
      </c>
      <c r="O251" s="16" t="str">
        <f t="shared" si="38"/>
        <v>Other</v>
      </c>
      <c r="P251" s="16" t="str">
        <f t="shared" si="35"/>
        <v/>
      </c>
      <c r="S251" s="7" t="str">
        <v/>
      </c>
      <c r="T251" s="18" t="str">
        <f>IFERROR( IF( COUNTIF($R$2:R251,R251)=1, IF(VALUE(R251)=0,"",VALUE(R251)), "" ), "" )</f>
        <v/>
      </c>
      <c r="U251" s="8" t="str">
        <f t="shared" si="36"/>
        <v/>
      </c>
      <c r="V251" s="26"/>
      <c r="W251" s="19"/>
      <c r="X251" s="19"/>
      <c r="Y251" s="7"/>
    </row>
    <row r="252" spans="1:25" ht="25.05" customHeight="1" x14ac:dyDescent="0.45">
      <c r="A252" s="2"/>
      <c r="B252" s="2"/>
      <c r="C252" s="2"/>
      <c r="D252" s="3"/>
      <c r="E252" s="2"/>
      <c r="F252" s="2"/>
      <c r="G252" s="2"/>
      <c r="H252" s="2"/>
      <c r="K252" s="15" t="e">
        <f t="shared" si="39"/>
        <v>#VALUE!</v>
      </c>
      <c r="L252" s="15" t="e">
        <f t="shared" si="40"/>
        <v>#VALUE!</v>
      </c>
      <c r="M252" s="16" t="e">
        <f t="shared" si="34"/>
        <v>#VALUE!</v>
      </c>
      <c r="N252" s="16" t="e">
        <f t="shared" si="37"/>
        <v>#VALUE!</v>
      </c>
      <c r="O252" s="16" t="str">
        <f t="shared" si="38"/>
        <v>Other</v>
      </c>
      <c r="P252" s="16" t="str">
        <f t="shared" si="35"/>
        <v/>
      </c>
      <c r="S252" s="7" t="str">
        <v/>
      </c>
      <c r="T252" s="18" t="str">
        <f>IFERROR( IF( COUNTIF($R$2:R252,R252)=1, IF(VALUE(R252)=0,"",VALUE(R252)), "" ), "" )</f>
        <v/>
      </c>
      <c r="U252" s="8" t="str">
        <f t="shared" si="36"/>
        <v/>
      </c>
      <c r="V252" s="26"/>
      <c r="W252" s="19"/>
      <c r="X252" s="19"/>
      <c r="Y252" s="7"/>
    </row>
    <row r="253" spans="1:25" ht="25.05" customHeight="1" x14ac:dyDescent="0.45">
      <c r="A253" s="2"/>
      <c r="B253" s="2"/>
      <c r="C253" s="2"/>
      <c r="D253" s="3"/>
      <c r="E253" s="2"/>
      <c r="F253" s="2"/>
      <c r="G253" s="2"/>
      <c r="H253" s="2"/>
      <c r="K253" s="15" t="e">
        <f t="shared" si="39"/>
        <v>#VALUE!</v>
      </c>
      <c r="L253" s="15" t="e">
        <f t="shared" si="40"/>
        <v>#VALUE!</v>
      </c>
      <c r="M253" s="16" t="e">
        <f t="shared" si="34"/>
        <v>#VALUE!</v>
      </c>
      <c r="N253" s="16" t="e">
        <f t="shared" si="37"/>
        <v>#VALUE!</v>
      </c>
      <c r="O253" s="16" t="str">
        <f t="shared" si="38"/>
        <v>Other</v>
      </c>
      <c r="P253" s="16" t="str">
        <f t="shared" si="35"/>
        <v/>
      </c>
      <c r="S253" s="7" t="str">
        <v/>
      </c>
      <c r="T253" s="18" t="str">
        <f>IFERROR( IF( COUNTIF($R$2:R253,R253)=1, IF(VALUE(R253)=0,"",VALUE(R253)), "" ), "" )</f>
        <v/>
      </c>
      <c r="U253" s="8" t="str">
        <f t="shared" si="36"/>
        <v/>
      </c>
      <c r="V253" s="26"/>
      <c r="W253" s="19"/>
      <c r="X253" s="19"/>
      <c r="Y253" s="7"/>
    </row>
    <row r="254" spans="1:25" ht="25.05" customHeight="1" x14ac:dyDescent="0.45">
      <c r="A254" s="2"/>
      <c r="B254" s="2"/>
      <c r="C254" s="2"/>
      <c r="D254" s="3"/>
      <c r="E254" s="2"/>
      <c r="F254" s="2"/>
      <c r="G254" s="2"/>
      <c r="H254" s="2"/>
      <c r="K254" s="15" t="e">
        <f t="shared" si="39"/>
        <v>#VALUE!</v>
      </c>
      <c r="L254" s="15" t="e">
        <f t="shared" si="40"/>
        <v>#VALUE!</v>
      </c>
      <c r="M254" s="16" t="e">
        <f t="shared" si="34"/>
        <v>#VALUE!</v>
      </c>
      <c r="N254" s="16" t="e">
        <f t="shared" si="37"/>
        <v>#VALUE!</v>
      </c>
      <c r="O254" s="16" t="str">
        <f t="shared" si="38"/>
        <v>Other</v>
      </c>
      <c r="P254" s="16" t="str">
        <f t="shared" si="35"/>
        <v/>
      </c>
      <c r="S254" s="7" t="str">
        <v/>
      </c>
      <c r="T254" s="18" t="str">
        <f>IFERROR( IF( COUNTIF($R$2:R254,R254)=1, IF(VALUE(R254)=0,"",VALUE(R254)), "" ), "" )</f>
        <v/>
      </c>
      <c r="U254" s="8" t="str">
        <f t="shared" si="36"/>
        <v/>
      </c>
      <c r="V254" s="26"/>
      <c r="W254" s="19"/>
      <c r="X254" s="19"/>
      <c r="Y254" s="7"/>
    </row>
    <row r="255" spans="1:25" ht="25.05" customHeight="1" x14ac:dyDescent="0.45">
      <c r="A255" s="2"/>
      <c r="B255" s="2"/>
      <c r="C255" s="2"/>
      <c r="D255" s="3"/>
      <c r="E255" s="2"/>
      <c r="F255" s="2"/>
      <c r="G255" s="2"/>
      <c r="H255" s="2"/>
      <c r="K255" s="15" t="e">
        <f t="shared" si="39"/>
        <v>#VALUE!</v>
      </c>
      <c r="L255" s="15" t="e">
        <f t="shared" si="40"/>
        <v>#VALUE!</v>
      </c>
      <c r="M255" s="16" t="e">
        <f t="shared" si="34"/>
        <v>#VALUE!</v>
      </c>
      <c r="N255" s="16" t="e">
        <f t="shared" si="37"/>
        <v>#VALUE!</v>
      </c>
      <c r="O255" s="16" t="str">
        <f t="shared" si="38"/>
        <v>Other</v>
      </c>
      <c r="P255" s="16" t="str">
        <f t="shared" si="35"/>
        <v/>
      </c>
      <c r="S255" s="7" t="str">
        <v/>
      </c>
      <c r="T255" s="18" t="str">
        <f>IFERROR( IF( COUNTIF($R$2:R255,R255)=1, IF(VALUE(R255)=0,"",VALUE(R255)), "" ), "" )</f>
        <v/>
      </c>
      <c r="U255" s="8" t="str">
        <f t="shared" si="36"/>
        <v/>
      </c>
      <c r="V255" s="26"/>
      <c r="W255" s="19"/>
      <c r="X255" s="19"/>
      <c r="Y255" s="7"/>
    </row>
    <row r="256" spans="1:25" ht="25.05" customHeight="1" x14ac:dyDescent="0.45">
      <c r="A256" s="2"/>
      <c r="B256" s="2"/>
      <c r="C256" s="2"/>
      <c r="D256" s="3"/>
      <c r="E256" s="2"/>
      <c r="F256" s="2"/>
      <c r="G256" s="2"/>
      <c r="H256" s="2"/>
      <c r="K256" s="15" t="e">
        <f t="shared" si="39"/>
        <v>#VALUE!</v>
      </c>
      <c r="L256" s="15" t="e">
        <f t="shared" si="40"/>
        <v>#VALUE!</v>
      </c>
      <c r="M256" s="16" t="e">
        <f t="shared" si="34"/>
        <v>#VALUE!</v>
      </c>
      <c r="N256" s="16" t="e">
        <f t="shared" si="37"/>
        <v>#VALUE!</v>
      </c>
      <c r="O256" s="16" t="str">
        <f t="shared" si="38"/>
        <v>Other</v>
      </c>
      <c r="P256" s="16" t="str">
        <f t="shared" si="35"/>
        <v/>
      </c>
      <c r="S256" s="7" t="str">
        <v/>
      </c>
      <c r="T256" s="18" t="str">
        <f>IFERROR( IF( COUNTIF($R$2:R256,R256)=1, IF(VALUE(R256)=0,"",VALUE(R256)), "" ), "" )</f>
        <v/>
      </c>
      <c r="U256" s="8" t="str">
        <f t="shared" si="36"/>
        <v/>
      </c>
      <c r="V256" s="26"/>
      <c r="W256" s="19"/>
      <c r="X256" s="19"/>
      <c r="Y256" s="7"/>
    </row>
    <row r="257" spans="1:25" ht="25.05" customHeight="1" x14ac:dyDescent="0.45">
      <c r="A257" s="2"/>
      <c r="B257" s="2"/>
      <c r="C257" s="2"/>
      <c r="D257" s="3"/>
      <c r="E257" s="2"/>
      <c r="F257" s="2"/>
      <c r="G257" s="2"/>
      <c r="H257" s="2"/>
      <c r="K257" s="15" t="e">
        <f t="shared" si="39"/>
        <v>#VALUE!</v>
      </c>
      <c r="L257" s="15" t="e">
        <f t="shared" si="40"/>
        <v>#VALUE!</v>
      </c>
      <c r="M257" s="16" t="e">
        <f t="shared" si="34"/>
        <v>#VALUE!</v>
      </c>
      <c r="N257" s="16" t="e">
        <f t="shared" si="37"/>
        <v>#VALUE!</v>
      </c>
      <c r="O257" s="16" t="str">
        <f t="shared" si="38"/>
        <v>Other</v>
      </c>
      <c r="P257" s="16" t="str">
        <f t="shared" si="35"/>
        <v/>
      </c>
      <c r="S257" s="7" t="str">
        <v/>
      </c>
      <c r="T257" s="18" t="str">
        <f>IFERROR( IF( COUNTIF($R$2:R257,R257)=1, IF(VALUE(R257)=0,"",VALUE(R257)), "" ), "" )</f>
        <v/>
      </c>
      <c r="U257" s="8" t="str">
        <f t="shared" si="36"/>
        <v/>
      </c>
      <c r="V257" s="26"/>
      <c r="W257" s="19"/>
      <c r="X257" s="19"/>
      <c r="Y257" s="7"/>
    </row>
    <row r="258" spans="1:25" ht="25.05" customHeight="1" x14ac:dyDescent="0.45">
      <c r="A258" s="2"/>
      <c r="B258" s="2"/>
      <c r="C258" s="2"/>
      <c r="D258" s="3"/>
      <c r="E258" s="2"/>
      <c r="F258" s="2"/>
      <c r="G258" s="2"/>
      <c r="H258" s="2"/>
      <c r="K258" s="15" t="e">
        <f t="shared" si="39"/>
        <v>#VALUE!</v>
      </c>
      <c r="L258" s="15" t="e">
        <f t="shared" si="40"/>
        <v>#VALUE!</v>
      </c>
      <c r="M258" s="16" t="e">
        <f t="shared" ref="M258:M321" si="41">MID(G258,FIND("LR-",G258)+3,FIND("-",G258,FIND("LR-",G258)+3)-FIND("LR-",G258)-3)</f>
        <v>#VALUE!</v>
      </c>
      <c r="N258" s="16" t="e">
        <f t="shared" si="37"/>
        <v>#VALUE!</v>
      </c>
      <c r="O258" s="16" t="str">
        <f t="shared" si="38"/>
        <v>Other</v>
      </c>
      <c r="P258" s="16" t="str">
        <f t="shared" ref="P258:P321" si="42">IF(S258&lt;&gt;"",IF(LEFT(S258,FIND(" &lt;&gt; ",S258)-1) &lt; MID(S258,FIND(" &lt;&gt; ",S258)+4,LEN(S258)),LEFT(S258,FIND(" &lt;&gt; ",S258)-1) &amp; " &lt;&gt; " &amp; MID(S258,FIND(" &lt;&gt; ",S258)+4,LEN(S258)),MID(S258,FIND(" &lt;&gt; ",S258)+4,LEN(S258)) &amp; " &lt;&gt; " &amp; LEFT(S258,FIND(" &lt;&gt; ",S258)-1)),"")</f>
        <v/>
      </c>
      <c r="S258" s="7" t="str">
        <v/>
      </c>
      <c r="T258" s="18" t="str">
        <f>IFERROR( IF( COUNTIF($R$2:R258,R258)=1, IF(VALUE(R258)=0,"",VALUE(R258)), "" ), "" )</f>
        <v/>
      </c>
      <c r="U258" s="8" t="str">
        <f t="shared" si="36"/>
        <v/>
      </c>
      <c r="V258" s="26"/>
      <c r="W258" s="19"/>
      <c r="X258" s="19"/>
      <c r="Y258" s="7"/>
    </row>
    <row r="259" spans="1:25" ht="25.05" customHeight="1" x14ac:dyDescent="0.45">
      <c r="A259" s="2"/>
      <c r="B259" s="2"/>
      <c r="C259" s="2"/>
      <c r="D259" s="3"/>
      <c r="E259" s="2"/>
      <c r="F259" s="2"/>
      <c r="G259" s="2"/>
      <c r="H259" s="2"/>
      <c r="K259" s="15" t="e">
        <f t="shared" si="39"/>
        <v>#VALUE!</v>
      </c>
      <c r="L259" s="15" t="e">
        <f t="shared" si="40"/>
        <v>#VALUE!</v>
      </c>
      <c r="M259" s="16" t="e">
        <f t="shared" si="41"/>
        <v>#VALUE!</v>
      </c>
      <c r="N259" s="16" t="e">
        <f t="shared" si="37"/>
        <v>#VALUE!</v>
      </c>
      <c r="O259" s="16" t="str">
        <f t="shared" si="38"/>
        <v>Other</v>
      </c>
      <c r="P259" s="16" t="str">
        <f t="shared" si="42"/>
        <v/>
      </c>
      <c r="S259" s="7" t="str">
        <v/>
      </c>
      <c r="T259" s="18" t="str">
        <f>IFERROR( IF( COUNTIF($R$2:R259,R259)=1, IF(VALUE(R259)=0,"",VALUE(R259)), "" ), "" )</f>
        <v/>
      </c>
      <c r="U259" s="8" t="str">
        <f t="shared" ref="U259:U322" si="43">IFERROR( IF( _xlfn.XLOOKUP(R259, M259:M1257, O259:O1257)=0, "", _xlfn.XLOOKUP(R259, M259:M1257, O259:O1257) ), "" )</f>
        <v/>
      </c>
      <c r="V259" s="26"/>
      <c r="W259" s="19"/>
      <c r="X259" s="19"/>
      <c r="Y259" s="7"/>
    </row>
    <row r="260" spans="1:25" ht="25.05" customHeight="1" x14ac:dyDescent="0.45">
      <c r="A260" s="2"/>
      <c r="B260" s="2"/>
      <c r="C260" s="2"/>
      <c r="D260" s="3"/>
      <c r="E260" s="2"/>
      <c r="F260" s="2"/>
      <c r="G260" s="2"/>
      <c r="H260" s="2"/>
      <c r="K260" s="15" t="e">
        <f t="shared" si="39"/>
        <v>#VALUE!</v>
      </c>
      <c r="L260" s="15" t="e">
        <f t="shared" si="40"/>
        <v>#VALUE!</v>
      </c>
      <c r="M260" s="16" t="e">
        <f t="shared" si="41"/>
        <v>#VALUE!</v>
      </c>
      <c r="N260" s="16" t="e">
        <f t="shared" si="37"/>
        <v>#VALUE!</v>
      </c>
      <c r="O260" s="16" t="str">
        <f t="shared" si="38"/>
        <v>Other</v>
      </c>
      <c r="P260" s="16" t="str">
        <f t="shared" si="42"/>
        <v/>
      </c>
      <c r="S260" s="7" t="str">
        <v/>
      </c>
      <c r="T260" s="18" t="str">
        <f>IFERROR( IF( COUNTIF($R$2:R260,R260)=1, IF(VALUE(R260)=0,"",VALUE(R260)), "" ), "" )</f>
        <v/>
      </c>
      <c r="U260" s="8" t="str">
        <f t="shared" si="43"/>
        <v/>
      </c>
      <c r="V260" s="26"/>
      <c r="W260" s="19"/>
      <c r="X260" s="19"/>
      <c r="Y260" s="7"/>
    </row>
    <row r="261" spans="1:25" ht="25.05" customHeight="1" x14ac:dyDescent="0.45">
      <c r="A261" s="2"/>
      <c r="B261" s="2"/>
      <c r="C261" s="2"/>
      <c r="D261" s="3"/>
      <c r="E261" s="2"/>
      <c r="F261" s="2"/>
      <c r="G261" s="2"/>
      <c r="H261" s="2"/>
      <c r="K261" s="15" t="e">
        <f t="shared" si="39"/>
        <v>#VALUE!</v>
      </c>
      <c r="L261" s="15" t="e">
        <f t="shared" si="40"/>
        <v>#VALUE!</v>
      </c>
      <c r="M261" s="16" t="e">
        <f t="shared" si="41"/>
        <v>#VALUE!</v>
      </c>
      <c r="N261" s="16" t="e">
        <f t="shared" si="37"/>
        <v>#VALUE!</v>
      </c>
      <c r="O261" s="16" t="str">
        <f t="shared" si="38"/>
        <v>Other</v>
      </c>
      <c r="P261" s="16" t="str">
        <f t="shared" si="42"/>
        <v/>
      </c>
      <c r="S261" s="7" t="str">
        <v/>
      </c>
      <c r="T261" s="18" t="str">
        <f>IFERROR( IF( COUNTIF($R$2:R261,R261)=1, IF(VALUE(R261)=0,"",VALUE(R261)), "" ), "" )</f>
        <v/>
      </c>
      <c r="U261" s="8" t="str">
        <f t="shared" si="43"/>
        <v/>
      </c>
      <c r="V261" s="26"/>
      <c r="W261" s="19"/>
      <c r="X261" s="19"/>
      <c r="Y261" s="7"/>
    </row>
    <row r="262" spans="1:25" ht="25.05" customHeight="1" x14ac:dyDescent="0.45">
      <c r="A262" s="2"/>
      <c r="B262" s="2"/>
      <c r="C262" s="2"/>
      <c r="D262" s="3"/>
      <c r="E262" s="2"/>
      <c r="F262" s="2"/>
      <c r="G262" s="2"/>
      <c r="H262" s="2"/>
      <c r="K262" s="15" t="e">
        <f t="shared" si="39"/>
        <v>#VALUE!</v>
      </c>
      <c r="L262" s="15" t="e">
        <f t="shared" si="40"/>
        <v>#VALUE!</v>
      </c>
      <c r="M262" s="16" t="e">
        <f t="shared" si="41"/>
        <v>#VALUE!</v>
      </c>
      <c r="N262" s="16" t="e">
        <f t="shared" si="37"/>
        <v>#VALUE!</v>
      </c>
      <c r="O262" s="16" t="str">
        <f t="shared" si="38"/>
        <v>Other</v>
      </c>
      <c r="P262" s="16" t="str">
        <f t="shared" si="42"/>
        <v/>
      </c>
      <c r="S262" s="7" t="str">
        <v/>
      </c>
      <c r="T262" s="18" t="str">
        <f>IFERROR( IF( COUNTIF($R$2:R262,R262)=1, IF(VALUE(R262)=0,"",VALUE(R262)), "" ), "" )</f>
        <v/>
      </c>
      <c r="U262" s="8" t="str">
        <f t="shared" si="43"/>
        <v/>
      </c>
      <c r="V262" s="26"/>
      <c r="W262" s="19"/>
      <c r="X262" s="19"/>
      <c r="Y262" s="7"/>
    </row>
    <row r="263" spans="1:25" ht="25.05" customHeight="1" x14ac:dyDescent="0.45">
      <c r="A263" s="2"/>
      <c r="B263" s="2"/>
      <c r="C263" s="2"/>
      <c r="D263" s="3"/>
      <c r="E263" s="2"/>
      <c r="F263" s="2"/>
      <c r="G263" s="2"/>
      <c r="H263" s="2"/>
      <c r="K263" s="15" t="e">
        <f t="shared" si="39"/>
        <v>#VALUE!</v>
      </c>
      <c r="L263" s="15" t="e">
        <f t="shared" si="40"/>
        <v>#VALUE!</v>
      </c>
      <c r="M263" s="16" t="e">
        <f t="shared" si="41"/>
        <v>#VALUE!</v>
      </c>
      <c r="N263" s="16" t="e">
        <f t="shared" si="37"/>
        <v>#VALUE!</v>
      </c>
      <c r="O263" s="16" t="str">
        <f t="shared" si="38"/>
        <v>Other</v>
      </c>
      <c r="P263" s="16" t="str">
        <f t="shared" si="42"/>
        <v/>
      </c>
      <c r="S263" s="7" t="str">
        <v/>
      </c>
      <c r="T263" s="18" t="str">
        <f>IFERROR( IF( COUNTIF($R$2:R263,R263)=1, IF(VALUE(R263)=0,"",VALUE(R263)), "" ), "" )</f>
        <v/>
      </c>
      <c r="U263" s="8" t="str">
        <f t="shared" si="43"/>
        <v/>
      </c>
      <c r="V263" s="26"/>
      <c r="W263" s="19"/>
      <c r="X263" s="19"/>
      <c r="Y263" s="7"/>
    </row>
    <row r="264" spans="1:25" ht="25.05" customHeight="1" x14ac:dyDescent="0.45">
      <c r="A264" s="2"/>
      <c r="B264" s="2"/>
      <c r="C264" s="2"/>
      <c r="D264" s="3"/>
      <c r="E264" s="2"/>
      <c r="F264" s="2"/>
      <c r="G264" s="2"/>
      <c r="H264" s="2"/>
      <c r="K264" s="15" t="e">
        <f t="shared" si="39"/>
        <v>#VALUE!</v>
      </c>
      <c r="L264" s="15" t="e">
        <f t="shared" si="40"/>
        <v>#VALUE!</v>
      </c>
      <c r="M264" s="16" t="e">
        <f t="shared" si="41"/>
        <v>#VALUE!</v>
      </c>
      <c r="N264" s="16" t="e">
        <f t="shared" si="37"/>
        <v>#VALUE!</v>
      </c>
      <c r="O264" s="16" t="str">
        <f t="shared" si="38"/>
        <v>Other</v>
      </c>
      <c r="P264" s="16" t="str">
        <f t="shared" si="42"/>
        <v/>
      </c>
      <c r="S264" s="7" t="str">
        <v/>
      </c>
      <c r="T264" s="18" t="str">
        <f>IFERROR( IF( COUNTIF($R$2:R264,R264)=1, IF(VALUE(R264)=0,"",VALUE(R264)), "" ), "" )</f>
        <v/>
      </c>
      <c r="U264" s="8" t="str">
        <f t="shared" si="43"/>
        <v/>
      </c>
      <c r="V264" s="26"/>
      <c r="W264" s="19"/>
      <c r="X264" s="19"/>
      <c r="Y264" s="7"/>
    </row>
    <row r="265" spans="1:25" ht="25.05" customHeight="1" x14ac:dyDescent="0.45">
      <c r="A265" s="2"/>
      <c r="B265" s="2"/>
      <c r="C265" s="2"/>
      <c r="D265" s="3"/>
      <c r="E265" s="2"/>
      <c r="F265" s="2"/>
      <c r="G265" s="2"/>
      <c r="H265" s="2"/>
      <c r="K265" s="15" t="e">
        <f t="shared" si="39"/>
        <v>#VALUE!</v>
      </c>
      <c r="L265" s="15" t="e">
        <f t="shared" si="40"/>
        <v>#VALUE!</v>
      </c>
      <c r="M265" s="16" t="e">
        <f t="shared" si="41"/>
        <v>#VALUE!</v>
      </c>
      <c r="N265" s="16" t="e">
        <f t="shared" si="37"/>
        <v>#VALUE!</v>
      </c>
      <c r="O265" s="16" t="str">
        <f t="shared" si="38"/>
        <v>Other</v>
      </c>
      <c r="P265" s="16" t="str">
        <f t="shared" si="42"/>
        <v/>
      </c>
      <c r="S265" s="7" t="str">
        <v/>
      </c>
      <c r="T265" s="18" t="str">
        <f>IFERROR( IF( COUNTIF($R$2:R265,R265)=1, IF(VALUE(R265)=0,"",VALUE(R265)), "" ), "" )</f>
        <v/>
      </c>
      <c r="U265" s="8" t="str">
        <f t="shared" si="43"/>
        <v/>
      </c>
      <c r="V265" s="26"/>
      <c r="W265" s="19"/>
      <c r="X265" s="19"/>
      <c r="Y265" s="7"/>
    </row>
    <row r="266" spans="1:25" ht="25.05" customHeight="1" x14ac:dyDescent="0.45">
      <c r="A266" s="2"/>
      <c r="B266" s="2"/>
      <c r="C266" s="2"/>
      <c r="D266" s="3"/>
      <c r="E266" s="2"/>
      <c r="F266" s="2"/>
      <c r="G266" s="2"/>
      <c r="H266" s="2"/>
      <c r="K266" s="15" t="e">
        <f t="shared" si="39"/>
        <v>#VALUE!</v>
      </c>
      <c r="L266" s="15" t="e">
        <f t="shared" si="40"/>
        <v>#VALUE!</v>
      </c>
      <c r="M266" s="16" t="e">
        <f t="shared" si="41"/>
        <v>#VALUE!</v>
      </c>
      <c r="N266" s="16" t="e">
        <f t="shared" si="37"/>
        <v>#VALUE!</v>
      </c>
      <c r="O266" s="16" t="str">
        <f t="shared" si="38"/>
        <v>Other</v>
      </c>
      <c r="P266" s="16" t="str">
        <f t="shared" si="42"/>
        <v/>
      </c>
      <c r="S266" s="7" t="str">
        <v/>
      </c>
      <c r="T266" s="18" t="str">
        <f>IFERROR( IF( COUNTIF($R$2:R266,R266)=1, IF(VALUE(R266)=0,"",VALUE(R266)), "" ), "" )</f>
        <v/>
      </c>
      <c r="U266" s="8" t="str">
        <f t="shared" si="43"/>
        <v/>
      </c>
      <c r="V266" s="26"/>
      <c r="W266" s="19"/>
      <c r="X266" s="19"/>
      <c r="Y266" s="7"/>
    </row>
    <row r="267" spans="1:25" ht="25.05" customHeight="1" x14ac:dyDescent="0.45">
      <c r="A267" s="2"/>
      <c r="B267" s="2"/>
      <c r="C267" s="2"/>
      <c r="D267" s="3"/>
      <c r="E267" s="2"/>
      <c r="F267" s="2"/>
      <c r="G267" s="2"/>
      <c r="H267" s="2"/>
      <c r="K267" s="15" t="e">
        <f t="shared" si="39"/>
        <v>#VALUE!</v>
      </c>
      <c r="L267" s="15" t="e">
        <f t="shared" si="40"/>
        <v>#VALUE!</v>
      </c>
      <c r="M267" s="16" t="e">
        <f t="shared" si="41"/>
        <v>#VALUE!</v>
      </c>
      <c r="N267" s="16" t="e">
        <f t="shared" si="37"/>
        <v>#VALUE!</v>
      </c>
      <c r="O267" s="16" t="str">
        <f t="shared" si="38"/>
        <v>Other</v>
      </c>
      <c r="P267" s="16" t="str">
        <f t="shared" si="42"/>
        <v/>
      </c>
      <c r="S267" s="7" t="str">
        <v/>
      </c>
      <c r="T267" s="18" t="str">
        <f>IFERROR( IF( COUNTIF($R$2:R267,R267)=1, IF(VALUE(R267)=0,"",VALUE(R267)), "" ), "" )</f>
        <v/>
      </c>
      <c r="U267" s="8" t="str">
        <f t="shared" si="43"/>
        <v/>
      </c>
      <c r="V267" s="26"/>
      <c r="W267" s="19"/>
      <c r="X267" s="19"/>
      <c r="Y267" s="7"/>
    </row>
    <row r="268" spans="1:25" ht="25.05" customHeight="1" x14ac:dyDescent="0.45">
      <c r="A268" s="2"/>
      <c r="B268" s="2"/>
      <c r="C268" s="2"/>
      <c r="D268" s="3"/>
      <c r="E268" s="2"/>
      <c r="F268" s="2"/>
      <c r="G268" s="2"/>
      <c r="H268" s="2"/>
      <c r="K268" s="15" t="e">
        <f t="shared" si="39"/>
        <v>#VALUE!</v>
      </c>
      <c r="L268" s="15" t="e">
        <f t="shared" si="40"/>
        <v>#VALUE!</v>
      </c>
      <c r="M268" s="16" t="e">
        <f t="shared" si="41"/>
        <v>#VALUE!</v>
      </c>
      <c r="N268" s="16" t="e">
        <f t="shared" si="37"/>
        <v>#VALUE!</v>
      </c>
      <c r="O268" s="16" t="str">
        <f t="shared" si="38"/>
        <v>Other</v>
      </c>
      <c r="P268" s="16" t="str">
        <f t="shared" si="42"/>
        <v/>
      </c>
      <c r="S268" s="7" t="str">
        <v/>
      </c>
      <c r="T268" s="18" t="str">
        <f>IFERROR( IF( COUNTIF($R$2:R268,R268)=1, IF(VALUE(R268)=0,"",VALUE(R268)), "" ), "" )</f>
        <v/>
      </c>
      <c r="U268" s="8" t="str">
        <f t="shared" si="43"/>
        <v/>
      </c>
      <c r="V268" s="26"/>
      <c r="W268" s="19"/>
      <c r="X268" s="19"/>
      <c r="Y268" s="7"/>
    </row>
    <row r="269" spans="1:25" ht="25.05" customHeight="1" x14ac:dyDescent="0.45">
      <c r="A269" s="2"/>
      <c r="B269" s="2"/>
      <c r="C269" s="2"/>
      <c r="D269" s="3"/>
      <c r="E269" s="2"/>
      <c r="F269" s="2"/>
      <c r="G269" s="2"/>
      <c r="H269" s="2"/>
      <c r="K269" s="15" t="e">
        <f t="shared" si="39"/>
        <v>#VALUE!</v>
      </c>
      <c r="L269" s="15" t="e">
        <f t="shared" si="40"/>
        <v>#VALUE!</v>
      </c>
      <c r="M269" s="16" t="e">
        <f t="shared" si="41"/>
        <v>#VALUE!</v>
      </c>
      <c r="N269" s="16" t="e">
        <f t="shared" si="37"/>
        <v>#VALUE!</v>
      </c>
      <c r="O269" s="16" t="str">
        <f t="shared" si="38"/>
        <v>Other</v>
      </c>
      <c r="P269" s="16" t="str">
        <f t="shared" si="42"/>
        <v/>
      </c>
      <c r="S269" s="7" t="str">
        <v/>
      </c>
      <c r="T269" s="18" t="str">
        <f>IFERROR( IF( COUNTIF($R$2:R269,R269)=1, IF(VALUE(R269)=0,"",VALUE(R269)), "" ), "" )</f>
        <v/>
      </c>
      <c r="U269" s="8" t="str">
        <f t="shared" si="43"/>
        <v/>
      </c>
      <c r="V269" s="26"/>
      <c r="W269" s="19"/>
      <c r="X269" s="19"/>
      <c r="Y269" s="7"/>
    </row>
    <row r="270" spans="1:25" ht="25.05" customHeight="1" x14ac:dyDescent="0.45">
      <c r="A270" s="2"/>
      <c r="B270" s="2"/>
      <c r="C270" s="2"/>
      <c r="D270" s="3"/>
      <c r="E270" s="2"/>
      <c r="F270" s="2"/>
      <c r="G270" s="2"/>
      <c r="H270" s="2"/>
      <c r="K270" s="15" t="e">
        <f t="shared" si="39"/>
        <v>#VALUE!</v>
      </c>
      <c r="L270" s="15" t="e">
        <f t="shared" si="40"/>
        <v>#VALUE!</v>
      </c>
      <c r="M270" s="16" t="e">
        <f t="shared" si="41"/>
        <v>#VALUE!</v>
      </c>
      <c r="N270" s="16" t="e">
        <f t="shared" si="37"/>
        <v>#VALUE!</v>
      </c>
      <c r="O270" s="16" t="str">
        <f t="shared" si="38"/>
        <v>Other</v>
      </c>
      <c r="P270" s="16" t="str">
        <f t="shared" si="42"/>
        <v/>
      </c>
      <c r="S270" s="7" t="str">
        <v/>
      </c>
      <c r="T270" s="18" t="str">
        <f>IFERROR( IF( COUNTIF($R$2:R270,R270)=1, IF(VALUE(R270)=0,"",VALUE(R270)), "" ), "" )</f>
        <v/>
      </c>
      <c r="U270" s="8" t="str">
        <f t="shared" si="43"/>
        <v/>
      </c>
      <c r="V270" s="26"/>
      <c r="W270" s="19"/>
      <c r="X270" s="19"/>
      <c r="Y270" s="7"/>
    </row>
    <row r="271" spans="1:25" ht="25.05" customHeight="1" x14ac:dyDescent="0.45">
      <c r="A271" s="2"/>
      <c r="B271" s="2"/>
      <c r="C271" s="2"/>
      <c r="D271" s="3"/>
      <c r="E271" s="2"/>
      <c r="F271" s="2"/>
      <c r="G271" s="2"/>
      <c r="H271" s="2"/>
      <c r="K271" s="15" t="e">
        <f t="shared" si="39"/>
        <v>#VALUE!</v>
      </c>
      <c r="L271" s="15" t="e">
        <f t="shared" si="40"/>
        <v>#VALUE!</v>
      </c>
      <c r="M271" s="16" t="e">
        <f t="shared" si="41"/>
        <v>#VALUE!</v>
      </c>
      <c r="N271" s="16" t="e">
        <f t="shared" si="37"/>
        <v>#VALUE!</v>
      </c>
      <c r="O271" s="16" t="str">
        <f t="shared" si="38"/>
        <v>Other</v>
      </c>
      <c r="P271" s="16" t="str">
        <f t="shared" si="42"/>
        <v/>
      </c>
      <c r="S271" s="7" t="str">
        <v/>
      </c>
      <c r="T271" s="18" t="str">
        <f>IFERROR( IF( COUNTIF($R$2:R271,R271)=1, IF(VALUE(R271)=0,"",VALUE(R271)), "" ), "" )</f>
        <v/>
      </c>
      <c r="U271" s="8" t="str">
        <f t="shared" si="43"/>
        <v/>
      </c>
      <c r="V271" s="26"/>
      <c r="W271" s="19"/>
      <c r="X271" s="19"/>
      <c r="Y271" s="7"/>
    </row>
    <row r="272" spans="1:25" ht="25.05" customHeight="1" x14ac:dyDescent="0.45">
      <c r="A272" s="2"/>
      <c r="B272" s="2"/>
      <c r="C272" s="2"/>
      <c r="D272" s="3"/>
      <c r="E272" s="2"/>
      <c r="F272" s="2"/>
      <c r="G272" s="2"/>
      <c r="H272" s="2"/>
      <c r="K272" s="15" t="e">
        <f t="shared" si="39"/>
        <v>#VALUE!</v>
      </c>
      <c r="L272" s="15" t="e">
        <f t="shared" si="40"/>
        <v>#VALUE!</v>
      </c>
      <c r="M272" s="16" t="e">
        <f t="shared" si="41"/>
        <v>#VALUE!</v>
      </c>
      <c r="N272" s="16" t="e">
        <f t="shared" si="37"/>
        <v>#VALUE!</v>
      </c>
      <c r="O272" s="16" t="str">
        <f t="shared" si="38"/>
        <v>Other</v>
      </c>
      <c r="P272" s="16" t="str">
        <f t="shared" si="42"/>
        <v/>
      </c>
      <c r="S272" s="7" t="str">
        <v/>
      </c>
      <c r="T272" s="18" t="str">
        <f>IFERROR( IF( COUNTIF($R$2:R272,R272)=1, IF(VALUE(R272)=0,"",VALUE(R272)), "" ), "" )</f>
        <v/>
      </c>
      <c r="U272" s="8" t="str">
        <f t="shared" si="43"/>
        <v/>
      </c>
      <c r="V272" s="26"/>
      <c r="W272" s="19"/>
      <c r="X272" s="19"/>
      <c r="Y272" s="7"/>
    </row>
    <row r="273" spans="1:25" ht="25.05" customHeight="1" x14ac:dyDescent="0.45">
      <c r="A273" s="2"/>
      <c r="B273" s="2"/>
      <c r="C273" s="2"/>
      <c r="D273" s="3"/>
      <c r="E273" s="2"/>
      <c r="F273" s="2"/>
      <c r="G273" s="2"/>
      <c r="H273" s="2"/>
      <c r="K273" s="15" t="e">
        <f t="shared" si="39"/>
        <v>#VALUE!</v>
      </c>
      <c r="L273" s="15" t="e">
        <f t="shared" si="40"/>
        <v>#VALUE!</v>
      </c>
      <c r="M273" s="16" t="e">
        <f t="shared" si="41"/>
        <v>#VALUE!</v>
      </c>
      <c r="N273" s="16" t="e">
        <f t="shared" si="37"/>
        <v>#VALUE!</v>
      </c>
      <c r="O273" s="16" t="str">
        <f t="shared" si="38"/>
        <v>Other</v>
      </c>
      <c r="P273" s="16" t="str">
        <f t="shared" si="42"/>
        <v/>
      </c>
      <c r="S273" s="7" t="str">
        <v/>
      </c>
      <c r="T273" s="18" t="str">
        <f>IFERROR( IF( COUNTIF($R$2:R273,R273)=1, IF(VALUE(R273)=0,"",VALUE(R273)), "" ), "" )</f>
        <v/>
      </c>
      <c r="U273" s="8" t="str">
        <f t="shared" si="43"/>
        <v/>
      </c>
      <c r="V273" s="26"/>
      <c r="W273" s="19"/>
      <c r="X273" s="19"/>
      <c r="Y273" s="7"/>
    </row>
    <row r="274" spans="1:25" ht="25.05" customHeight="1" x14ac:dyDescent="0.45">
      <c r="A274" s="2"/>
      <c r="B274" s="2"/>
      <c r="C274" s="2"/>
      <c r="D274" s="3"/>
      <c r="E274" s="2"/>
      <c r="F274" s="2"/>
      <c r="G274" s="2"/>
      <c r="H274" s="2"/>
      <c r="K274" s="15" t="e">
        <f t="shared" si="39"/>
        <v>#VALUE!</v>
      </c>
      <c r="L274" s="15" t="e">
        <f t="shared" si="40"/>
        <v>#VALUE!</v>
      </c>
      <c r="M274" s="16" t="e">
        <f t="shared" si="41"/>
        <v>#VALUE!</v>
      </c>
      <c r="N274" s="16" t="e">
        <f t="shared" si="37"/>
        <v>#VALUE!</v>
      </c>
      <c r="O274" s="16" t="str">
        <f t="shared" si="38"/>
        <v>Other</v>
      </c>
      <c r="P274" s="16" t="str">
        <f t="shared" si="42"/>
        <v/>
      </c>
      <c r="S274" s="7" t="str">
        <v/>
      </c>
      <c r="T274" s="18" t="str">
        <f>IFERROR( IF( COUNTIF($R$2:R274,R274)=1, IF(VALUE(R274)=0,"",VALUE(R274)), "" ), "" )</f>
        <v/>
      </c>
      <c r="U274" s="8" t="str">
        <f t="shared" si="43"/>
        <v/>
      </c>
      <c r="V274" s="26"/>
      <c r="W274" s="19"/>
      <c r="X274" s="19"/>
      <c r="Y274" s="7"/>
    </row>
    <row r="275" spans="1:25" ht="25.05" customHeight="1" x14ac:dyDescent="0.45">
      <c r="A275" s="2"/>
      <c r="B275" s="2"/>
      <c r="C275" s="2"/>
      <c r="D275" s="3"/>
      <c r="E275" s="2"/>
      <c r="F275" s="2"/>
      <c r="G275" s="2"/>
      <c r="H275" s="2"/>
      <c r="K275" s="15" t="e">
        <f t="shared" si="39"/>
        <v>#VALUE!</v>
      </c>
      <c r="L275" s="15" t="e">
        <f t="shared" si="40"/>
        <v>#VALUE!</v>
      </c>
      <c r="M275" s="16" t="e">
        <f t="shared" si="41"/>
        <v>#VALUE!</v>
      </c>
      <c r="N275" s="16" t="e">
        <f t="shared" si="37"/>
        <v>#VALUE!</v>
      </c>
      <c r="O275" s="16" t="str">
        <f t="shared" si="38"/>
        <v>Other</v>
      </c>
      <c r="P275" s="16" t="str">
        <f t="shared" si="42"/>
        <v/>
      </c>
      <c r="S275" s="7" t="str">
        <v/>
      </c>
      <c r="T275" s="18" t="str">
        <f>IFERROR( IF( COUNTIF($R$2:R275,R275)=1, IF(VALUE(R275)=0,"",VALUE(R275)), "" ), "" )</f>
        <v/>
      </c>
      <c r="U275" s="8" t="str">
        <f t="shared" si="43"/>
        <v/>
      </c>
      <c r="V275" s="26"/>
      <c r="W275" s="19"/>
      <c r="X275" s="19"/>
      <c r="Y275" s="7"/>
    </row>
    <row r="276" spans="1:25" ht="25.05" customHeight="1" x14ac:dyDescent="0.45">
      <c r="A276" s="2"/>
      <c r="B276" s="2"/>
      <c r="C276" s="2"/>
      <c r="D276" s="3"/>
      <c r="E276" s="2"/>
      <c r="F276" s="2"/>
      <c r="G276" s="2"/>
      <c r="H276" s="2"/>
      <c r="K276" s="15" t="e">
        <f t="shared" si="39"/>
        <v>#VALUE!</v>
      </c>
      <c r="L276" s="15" t="e">
        <f t="shared" si="40"/>
        <v>#VALUE!</v>
      </c>
      <c r="M276" s="16" t="e">
        <f t="shared" si="41"/>
        <v>#VALUE!</v>
      </c>
      <c r="N276" s="16" t="e">
        <f t="shared" si="37"/>
        <v>#VALUE!</v>
      </c>
      <c r="O276" s="16" t="str">
        <f t="shared" si="38"/>
        <v>Other</v>
      </c>
      <c r="P276" s="16" t="str">
        <f t="shared" si="42"/>
        <v/>
      </c>
      <c r="S276" s="7" t="str">
        <v/>
      </c>
      <c r="T276" s="18" t="str">
        <f>IFERROR( IF( COUNTIF($R$2:R276,R276)=1, IF(VALUE(R276)=0,"",VALUE(R276)), "" ), "" )</f>
        <v/>
      </c>
      <c r="U276" s="8" t="str">
        <f t="shared" si="43"/>
        <v/>
      </c>
      <c r="V276" s="26"/>
      <c r="W276" s="19"/>
      <c r="X276" s="19"/>
      <c r="Y276" s="7"/>
    </row>
    <row r="277" spans="1:25" ht="25.05" customHeight="1" x14ac:dyDescent="0.45">
      <c r="A277" s="2"/>
      <c r="B277" s="2"/>
      <c r="C277" s="2"/>
      <c r="D277" s="3"/>
      <c r="E277" s="2"/>
      <c r="F277" s="2"/>
      <c r="G277" s="2"/>
      <c r="H277" s="2"/>
      <c r="K277" s="15" t="e">
        <f t="shared" si="39"/>
        <v>#VALUE!</v>
      </c>
      <c r="L277" s="15" t="e">
        <f t="shared" si="40"/>
        <v>#VALUE!</v>
      </c>
      <c r="M277" s="16" t="e">
        <f t="shared" si="41"/>
        <v>#VALUE!</v>
      </c>
      <c r="N277" s="16" t="e">
        <f t="shared" si="37"/>
        <v>#VALUE!</v>
      </c>
      <c r="O277" s="16" t="str">
        <f t="shared" si="38"/>
        <v>Other</v>
      </c>
      <c r="P277" s="16" t="str">
        <f t="shared" si="42"/>
        <v/>
      </c>
      <c r="S277" s="7" t="str">
        <v/>
      </c>
      <c r="T277" s="18" t="str">
        <f>IFERROR( IF( COUNTIF($R$2:R277,R277)=1, IF(VALUE(R277)=0,"",VALUE(R277)), "" ), "" )</f>
        <v/>
      </c>
      <c r="U277" s="8" t="str">
        <f t="shared" si="43"/>
        <v/>
      </c>
      <c r="V277" s="26"/>
      <c r="W277" s="19"/>
      <c r="X277" s="19"/>
      <c r="Y277" s="7"/>
    </row>
    <row r="278" spans="1:25" ht="25.05" customHeight="1" x14ac:dyDescent="0.45">
      <c r="A278" s="2"/>
      <c r="B278" s="2"/>
      <c r="C278" s="2"/>
      <c r="D278" s="3"/>
      <c r="E278" s="2"/>
      <c r="F278" s="2"/>
      <c r="G278" s="2"/>
      <c r="H278" s="2"/>
      <c r="K278" s="15" t="e">
        <f t="shared" si="39"/>
        <v>#VALUE!</v>
      </c>
      <c r="L278" s="15" t="e">
        <f t="shared" si="40"/>
        <v>#VALUE!</v>
      </c>
      <c r="M278" s="16" t="e">
        <f t="shared" si="41"/>
        <v>#VALUE!</v>
      </c>
      <c r="N278" s="16" t="e">
        <f t="shared" si="37"/>
        <v>#VALUE!</v>
      </c>
      <c r="O278" s="16" t="str">
        <f t="shared" si="38"/>
        <v>Other</v>
      </c>
      <c r="P278" s="16" t="str">
        <f t="shared" si="42"/>
        <v/>
      </c>
      <c r="S278" s="7" t="str">
        <v/>
      </c>
      <c r="T278" s="18" t="str">
        <f>IFERROR( IF( COUNTIF($R$2:R278,R278)=1, IF(VALUE(R278)=0,"",VALUE(R278)), "" ), "" )</f>
        <v/>
      </c>
      <c r="U278" s="8" t="str">
        <f t="shared" si="43"/>
        <v/>
      </c>
      <c r="V278" s="26"/>
      <c r="W278" s="19"/>
      <c r="X278" s="19"/>
      <c r="Y278" s="7"/>
    </row>
    <row r="279" spans="1:25" ht="25.05" customHeight="1" x14ac:dyDescent="0.45">
      <c r="A279" s="2"/>
      <c r="B279" s="2"/>
      <c r="C279" s="2"/>
      <c r="D279" s="3"/>
      <c r="E279" s="2"/>
      <c r="F279" s="2"/>
      <c r="G279" s="2"/>
      <c r="H279" s="2"/>
      <c r="K279" s="15" t="e">
        <f t="shared" si="39"/>
        <v>#VALUE!</v>
      </c>
      <c r="L279" s="15" t="e">
        <f t="shared" si="40"/>
        <v>#VALUE!</v>
      </c>
      <c r="M279" s="16" t="e">
        <f t="shared" si="41"/>
        <v>#VALUE!</v>
      </c>
      <c r="N279" s="16" t="e">
        <f t="shared" si="37"/>
        <v>#VALUE!</v>
      </c>
      <c r="O279" s="16" t="str">
        <f t="shared" si="38"/>
        <v>Other</v>
      </c>
      <c r="P279" s="16" t="str">
        <f t="shared" si="42"/>
        <v/>
      </c>
      <c r="S279" s="7" t="str">
        <v/>
      </c>
      <c r="T279" s="18" t="str">
        <f>IFERROR( IF( COUNTIF($R$2:R279,R279)=1, IF(VALUE(R279)=0,"",VALUE(R279)), "" ), "" )</f>
        <v/>
      </c>
      <c r="U279" s="8" t="str">
        <f t="shared" si="43"/>
        <v/>
      </c>
      <c r="V279" s="26"/>
      <c r="W279" s="19"/>
      <c r="X279" s="19"/>
      <c r="Y279" s="7"/>
    </row>
    <row r="280" spans="1:25" ht="25.05" customHeight="1" x14ac:dyDescent="0.45">
      <c r="A280" s="2"/>
      <c r="B280" s="2"/>
      <c r="C280" s="2"/>
      <c r="D280" s="3"/>
      <c r="E280" s="2"/>
      <c r="F280" s="2"/>
      <c r="G280" s="2"/>
      <c r="H280" s="2"/>
      <c r="K280" s="15" t="e">
        <f t="shared" si="39"/>
        <v>#VALUE!</v>
      </c>
      <c r="L280" s="15" t="e">
        <f t="shared" si="40"/>
        <v>#VALUE!</v>
      </c>
      <c r="M280" s="16" t="e">
        <f t="shared" si="41"/>
        <v>#VALUE!</v>
      </c>
      <c r="N280" s="16" t="e">
        <f t="shared" si="37"/>
        <v>#VALUE!</v>
      </c>
      <c r="O280" s="16" t="str">
        <f t="shared" si="38"/>
        <v>Other</v>
      </c>
      <c r="P280" s="16" t="str">
        <f t="shared" si="42"/>
        <v/>
      </c>
      <c r="S280" s="7" t="str">
        <v/>
      </c>
      <c r="T280" s="18" t="str">
        <f>IFERROR( IF( COUNTIF($R$2:R280,R280)=1, IF(VALUE(R280)=0,"",VALUE(R280)), "" ), "" )</f>
        <v/>
      </c>
      <c r="U280" s="8" t="str">
        <f t="shared" si="43"/>
        <v/>
      </c>
      <c r="V280" s="26"/>
      <c r="W280" s="19"/>
      <c r="X280" s="19"/>
      <c r="Y280" s="7"/>
    </row>
    <row r="281" spans="1:25" ht="25.05" customHeight="1" x14ac:dyDescent="0.45">
      <c r="A281" s="2"/>
      <c r="B281" s="2"/>
      <c r="C281" s="2"/>
      <c r="D281" s="3"/>
      <c r="E281" s="2"/>
      <c r="F281" s="2"/>
      <c r="G281" s="2"/>
      <c r="H281" s="2"/>
      <c r="K281" s="15" t="e">
        <f t="shared" si="39"/>
        <v>#VALUE!</v>
      </c>
      <c r="L281" s="15" t="e">
        <f t="shared" si="40"/>
        <v>#VALUE!</v>
      </c>
      <c r="M281" s="16" t="e">
        <f t="shared" si="41"/>
        <v>#VALUE!</v>
      </c>
      <c r="N281" s="16" t="e">
        <f t="shared" si="37"/>
        <v>#VALUE!</v>
      </c>
      <c r="O281" s="16" t="str">
        <f t="shared" si="38"/>
        <v>Other</v>
      </c>
      <c r="P281" s="16" t="str">
        <f t="shared" si="42"/>
        <v/>
      </c>
      <c r="S281" s="7" t="str">
        <v/>
      </c>
      <c r="T281" s="18" t="str">
        <f>IFERROR( IF( COUNTIF($R$2:R281,R281)=1, IF(VALUE(R281)=0,"",VALUE(R281)), "" ), "" )</f>
        <v/>
      </c>
      <c r="U281" s="8" t="str">
        <f t="shared" si="43"/>
        <v/>
      </c>
      <c r="V281" s="26"/>
      <c r="W281" s="19"/>
      <c r="X281" s="19"/>
      <c r="Y281" s="7"/>
    </row>
    <row r="282" spans="1:25" ht="25.05" customHeight="1" x14ac:dyDescent="0.45">
      <c r="A282" s="2"/>
      <c r="B282" s="2"/>
      <c r="C282" s="2"/>
      <c r="D282" s="3"/>
      <c r="E282" s="2"/>
      <c r="F282" s="2"/>
      <c r="G282" s="2"/>
      <c r="H282" s="2"/>
      <c r="K282" s="15" t="e">
        <f t="shared" si="39"/>
        <v>#VALUE!</v>
      </c>
      <c r="L282" s="15" t="e">
        <f t="shared" si="40"/>
        <v>#VALUE!</v>
      </c>
      <c r="M282" s="16" t="e">
        <f t="shared" si="41"/>
        <v>#VALUE!</v>
      </c>
      <c r="N282" s="16" t="e">
        <f t="shared" si="37"/>
        <v>#VALUE!</v>
      </c>
      <c r="O282" s="16" t="str">
        <f t="shared" si="38"/>
        <v>Other</v>
      </c>
      <c r="P282" s="16" t="str">
        <f t="shared" si="42"/>
        <v/>
      </c>
      <c r="S282" s="7" t="str">
        <v/>
      </c>
      <c r="T282" s="18" t="str">
        <f>IFERROR( IF( COUNTIF($R$2:R282,R282)=1, IF(VALUE(R282)=0,"",VALUE(R282)), "" ), "" )</f>
        <v/>
      </c>
      <c r="U282" s="8" t="str">
        <f t="shared" si="43"/>
        <v/>
      </c>
      <c r="V282" s="26"/>
      <c r="W282" s="19"/>
      <c r="X282" s="19"/>
      <c r="Y282" s="7"/>
    </row>
    <row r="283" spans="1:25" ht="25.05" customHeight="1" x14ac:dyDescent="0.45">
      <c r="A283" s="2"/>
      <c r="B283" s="2"/>
      <c r="C283" s="2"/>
      <c r="D283" s="3"/>
      <c r="E283" s="2"/>
      <c r="F283" s="2"/>
      <c r="G283" s="2"/>
      <c r="H283" s="2"/>
      <c r="K283" s="15" t="e">
        <f t="shared" si="39"/>
        <v>#VALUE!</v>
      </c>
      <c r="L283" s="15" t="e">
        <f t="shared" si="40"/>
        <v>#VALUE!</v>
      </c>
      <c r="M283" s="16" t="e">
        <f t="shared" si="41"/>
        <v>#VALUE!</v>
      </c>
      <c r="N283" s="16" t="e">
        <f t="shared" si="37"/>
        <v>#VALUE!</v>
      </c>
      <c r="O283" s="16" t="str">
        <f t="shared" si="38"/>
        <v>Other</v>
      </c>
      <c r="P283" s="16" t="str">
        <f t="shared" si="42"/>
        <v/>
      </c>
      <c r="S283" s="7" t="str">
        <v/>
      </c>
      <c r="T283" s="18" t="str">
        <f>IFERROR( IF( COUNTIF($R$2:R283,R283)=1, IF(VALUE(R283)=0,"",VALUE(R283)), "" ), "" )</f>
        <v/>
      </c>
      <c r="U283" s="8" t="str">
        <f t="shared" si="43"/>
        <v/>
      </c>
      <c r="V283" s="26"/>
      <c r="W283" s="19"/>
      <c r="X283" s="19"/>
      <c r="Y283" s="7"/>
    </row>
    <row r="284" spans="1:25" ht="25.05" customHeight="1" x14ac:dyDescent="0.45">
      <c r="A284" s="2"/>
      <c r="B284" s="2"/>
      <c r="C284" s="2"/>
      <c r="D284" s="3"/>
      <c r="E284" s="2"/>
      <c r="F284" s="2"/>
      <c r="G284" s="2"/>
      <c r="H284" s="2"/>
      <c r="K284" s="15" t="e">
        <f t="shared" si="39"/>
        <v>#VALUE!</v>
      </c>
      <c r="L284" s="15" t="e">
        <f t="shared" si="40"/>
        <v>#VALUE!</v>
      </c>
      <c r="M284" s="16" t="e">
        <f t="shared" si="41"/>
        <v>#VALUE!</v>
      </c>
      <c r="N284" s="16" t="e">
        <f t="shared" si="37"/>
        <v>#VALUE!</v>
      </c>
      <c r="O284" s="16" t="str">
        <f t="shared" si="38"/>
        <v>Other</v>
      </c>
      <c r="P284" s="16" t="str">
        <f t="shared" si="42"/>
        <v/>
      </c>
      <c r="S284" s="7" t="str">
        <v/>
      </c>
      <c r="T284" s="18" t="str">
        <f>IFERROR( IF( COUNTIF($R$2:R284,R284)=1, IF(VALUE(R284)=0,"",VALUE(R284)), "" ), "" )</f>
        <v/>
      </c>
      <c r="U284" s="8" t="str">
        <f t="shared" si="43"/>
        <v/>
      </c>
      <c r="V284" s="26"/>
      <c r="W284" s="19"/>
      <c r="X284" s="19"/>
      <c r="Y284" s="7"/>
    </row>
    <row r="285" spans="1:25" ht="25.05" customHeight="1" x14ac:dyDescent="0.45">
      <c r="A285" s="2"/>
      <c r="B285" s="2"/>
      <c r="C285" s="2"/>
      <c r="D285" s="3"/>
      <c r="E285" s="2"/>
      <c r="F285" s="2"/>
      <c r="G285" s="2"/>
      <c r="H285" s="2"/>
      <c r="K285" s="15" t="e">
        <f t="shared" si="39"/>
        <v>#VALUE!</v>
      </c>
      <c r="L285" s="15" t="e">
        <f t="shared" si="40"/>
        <v>#VALUE!</v>
      </c>
      <c r="M285" s="16" t="e">
        <f t="shared" si="41"/>
        <v>#VALUE!</v>
      </c>
      <c r="N285" s="16" t="e">
        <f t="shared" si="37"/>
        <v>#VALUE!</v>
      </c>
      <c r="O285" s="16" t="str">
        <f t="shared" si="38"/>
        <v>Other</v>
      </c>
      <c r="P285" s="16" t="str">
        <f t="shared" si="42"/>
        <v/>
      </c>
      <c r="S285" s="7" t="str">
        <v/>
      </c>
      <c r="T285" s="18" t="str">
        <f>IFERROR( IF( COUNTIF($R$2:R285,R285)=1, IF(VALUE(R285)=0,"",VALUE(R285)), "" ), "" )</f>
        <v/>
      </c>
      <c r="U285" s="8" t="str">
        <f t="shared" si="43"/>
        <v/>
      </c>
      <c r="V285" s="26"/>
      <c r="W285" s="19"/>
      <c r="X285" s="19"/>
      <c r="Y285" s="7"/>
    </row>
    <row r="286" spans="1:25" ht="25.05" customHeight="1" x14ac:dyDescent="0.45">
      <c r="A286" s="2"/>
      <c r="B286" s="2"/>
      <c r="C286" s="2"/>
      <c r="D286" s="3"/>
      <c r="E286" s="2"/>
      <c r="F286" s="2"/>
      <c r="G286" s="2"/>
      <c r="H286" s="2"/>
      <c r="K286" s="15" t="e">
        <f t="shared" si="39"/>
        <v>#VALUE!</v>
      </c>
      <c r="L286" s="15" t="e">
        <f t="shared" si="40"/>
        <v>#VALUE!</v>
      </c>
      <c r="M286" s="16" t="e">
        <f t="shared" si="41"/>
        <v>#VALUE!</v>
      </c>
      <c r="N286" s="16" t="e">
        <f t="shared" si="37"/>
        <v>#VALUE!</v>
      </c>
      <c r="O286" s="16" t="str">
        <f t="shared" si="38"/>
        <v>Other</v>
      </c>
      <c r="P286" s="16" t="str">
        <f t="shared" si="42"/>
        <v/>
      </c>
      <c r="S286" s="27" t="str">
        <v/>
      </c>
      <c r="T286" s="18" t="str">
        <f>IFERROR( IF( COUNTIF($R$2:R286,R286)=1, IF(VALUE(R286)=0,"",VALUE(R286)), "" ), "" )</f>
        <v/>
      </c>
      <c r="U286" s="8" t="str">
        <f t="shared" si="43"/>
        <v/>
      </c>
      <c r="W286" s="19"/>
      <c r="X286" s="19"/>
    </row>
    <row r="287" spans="1:25" ht="25.05" customHeight="1" x14ac:dyDescent="0.45">
      <c r="A287" s="2"/>
      <c r="B287" s="2"/>
      <c r="C287" s="2"/>
      <c r="D287" s="3"/>
      <c r="E287" s="2"/>
      <c r="F287" s="2"/>
      <c r="G287" s="2"/>
      <c r="H287" s="2"/>
      <c r="K287" s="15" t="e">
        <f t="shared" si="39"/>
        <v>#VALUE!</v>
      </c>
      <c r="L287" s="15" t="e">
        <f t="shared" si="40"/>
        <v>#VALUE!</v>
      </c>
      <c r="M287" s="16" t="e">
        <f t="shared" si="41"/>
        <v>#VALUE!</v>
      </c>
      <c r="N287" s="16" t="e">
        <f t="shared" si="37"/>
        <v>#VALUE!</v>
      </c>
      <c r="O287" s="16" t="str">
        <f t="shared" si="38"/>
        <v>Other</v>
      </c>
      <c r="P287" s="16" t="str">
        <f t="shared" si="42"/>
        <v/>
      </c>
      <c r="S287" s="27" t="str">
        <v/>
      </c>
      <c r="T287" s="18" t="str">
        <f>IFERROR( IF( COUNTIF($R$2:R287,R287)=1, IF(VALUE(R287)=0,"",VALUE(R287)), "" ), "" )</f>
        <v/>
      </c>
      <c r="U287" s="8" t="str">
        <f t="shared" si="43"/>
        <v/>
      </c>
      <c r="W287" s="19"/>
      <c r="X287" s="19"/>
    </row>
    <row r="288" spans="1:25" ht="25.05" customHeight="1" x14ac:dyDescent="0.45">
      <c r="A288" s="2"/>
      <c r="B288" s="2"/>
      <c r="C288" s="2"/>
      <c r="D288" s="3"/>
      <c r="E288" s="2"/>
      <c r="F288" s="2"/>
      <c r="G288" s="2"/>
      <c r="H288" s="2"/>
      <c r="K288" s="15" t="e">
        <f t="shared" si="39"/>
        <v>#VALUE!</v>
      </c>
      <c r="L288" s="15" t="e">
        <f t="shared" si="40"/>
        <v>#VALUE!</v>
      </c>
      <c r="M288" s="16" t="e">
        <f t="shared" si="41"/>
        <v>#VALUE!</v>
      </c>
      <c r="N288" s="16" t="e">
        <f t="shared" si="37"/>
        <v>#VALUE!</v>
      </c>
      <c r="O288" s="16" t="str">
        <f t="shared" si="38"/>
        <v>Other</v>
      </c>
      <c r="P288" s="16" t="str">
        <f t="shared" si="42"/>
        <v/>
      </c>
      <c r="S288" s="27" t="str">
        <v/>
      </c>
      <c r="T288" s="18" t="str">
        <f>IFERROR( IF( COUNTIF($R$2:R288,R288)=1, IF(VALUE(R288)=0,"",VALUE(R288)), "" ), "" )</f>
        <v/>
      </c>
      <c r="U288" s="8" t="str">
        <f t="shared" si="43"/>
        <v/>
      </c>
      <c r="W288" s="19"/>
      <c r="X288" s="19"/>
    </row>
    <row r="289" spans="1:24" ht="25.05" customHeight="1" x14ac:dyDescent="0.45">
      <c r="A289" s="2"/>
      <c r="B289" s="2"/>
      <c r="C289" s="2"/>
      <c r="D289" s="3"/>
      <c r="E289" s="2"/>
      <c r="F289" s="2"/>
      <c r="G289" s="2"/>
      <c r="H289" s="2"/>
      <c r="K289" s="15" t="e">
        <f t="shared" si="39"/>
        <v>#VALUE!</v>
      </c>
      <c r="L289" s="15" t="e">
        <f t="shared" si="40"/>
        <v>#VALUE!</v>
      </c>
      <c r="M289" s="16" t="e">
        <f t="shared" si="41"/>
        <v>#VALUE!</v>
      </c>
      <c r="N289" s="16" t="e">
        <f t="shared" si="37"/>
        <v>#VALUE!</v>
      </c>
      <c r="O289" s="16" t="str">
        <f t="shared" si="38"/>
        <v>Other</v>
      </c>
      <c r="P289" s="16" t="str">
        <f t="shared" si="42"/>
        <v/>
      </c>
      <c r="S289" s="27" t="str">
        <v/>
      </c>
      <c r="T289" s="18" t="str">
        <f>IFERROR( IF( COUNTIF($R$2:R289,R289)=1, IF(VALUE(R289)=0,"",VALUE(R289)), "" ), "" )</f>
        <v/>
      </c>
      <c r="U289" s="8" t="str">
        <f t="shared" si="43"/>
        <v/>
      </c>
      <c r="W289" s="19"/>
      <c r="X289" s="19"/>
    </row>
    <row r="290" spans="1:24" ht="25.05" customHeight="1" x14ac:dyDescent="0.45">
      <c r="A290" s="2"/>
      <c r="B290" s="2"/>
      <c r="C290" s="2"/>
      <c r="D290" s="3"/>
      <c r="E290" s="2"/>
      <c r="F290" s="2"/>
      <c r="G290" s="2"/>
      <c r="H290" s="2"/>
      <c r="K290" s="15" t="e">
        <f t="shared" si="39"/>
        <v>#VALUE!</v>
      </c>
      <c r="L290" s="15" t="e">
        <f t="shared" si="40"/>
        <v>#VALUE!</v>
      </c>
      <c r="M290" s="16" t="e">
        <f t="shared" si="41"/>
        <v>#VALUE!</v>
      </c>
      <c r="N290" s="16" t="e">
        <f t="shared" ref="N290:N353" si="44">K290 &amp; " &lt;&gt; " &amp; L290</f>
        <v>#VALUE!</v>
      </c>
      <c r="O290" s="16" t="str">
        <f t="shared" si="38"/>
        <v>Other</v>
      </c>
      <c r="P290" s="16" t="str">
        <f t="shared" si="42"/>
        <v/>
      </c>
      <c r="S290" s="27" t="str">
        <v/>
      </c>
      <c r="T290" s="18" t="str">
        <f>IFERROR( IF( COUNTIF($R$2:R290,R290)=1, IF(VALUE(R290)=0,"",VALUE(R290)), "" ), "" )</f>
        <v/>
      </c>
      <c r="U290" s="8" t="str">
        <f t="shared" si="43"/>
        <v/>
      </c>
      <c r="W290" s="19"/>
      <c r="X290" s="19"/>
    </row>
    <row r="291" spans="1:24" ht="25.05" customHeight="1" x14ac:dyDescent="0.45">
      <c r="A291" s="2"/>
      <c r="B291" s="2"/>
      <c r="C291" s="2"/>
      <c r="D291" s="3"/>
      <c r="E291" s="2"/>
      <c r="F291" s="2"/>
      <c r="G291" s="2"/>
      <c r="H291" s="2"/>
      <c r="K291" s="15" t="e">
        <f t="shared" si="39"/>
        <v>#VALUE!</v>
      </c>
      <c r="L291" s="15" t="e">
        <f t="shared" si="40"/>
        <v>#VALUE!</v>
      </c>
      <c r="M291" s="16" t="e">
        <f t="shared" si="41"/>
        <v>#VALUE!</v>
      </c>
      <c r="N291" s="16" t="e">
        <f t="shared" si="44"/>
        <v>#VALUE!</v>
      </c>
      <c r="O291" s="16" t="str">
        <f t="shared" si="38"/>
        <v>Other</v>
      </c>
      <c r="P291" s="16" t="str">
        <f t="shared" si="42"/>
        <v/>
      </c>
      <c r="S291" s="27" t="str">
        <v/>
      </c>
      <c r="T291" s="18" t="str">
        <f>IFERROR( IF( COUNTIF($R$2:R291,R291)=1, IF(VALUE(R291)=0,"",VALUE(R291)), "" ), "" )</f>
        <v/>
      </c>
      <c r="U291" s="8" t="str">
        <f t="shared" si="43"/>
        <v/>
      </c>
      <c r="W291" s="19"/>
      <c r="X291" s="19"/>
    </row>
    <row r="292" spans="1:24" ht="25.05" customHeight="1" x14ac:dyDescent="0.45">
      <c r="A292" s="2"/>
      <c r="B292" s="2"/>
      <c r="C292" s="2"/>
      <c r="D292" s="3"/>
      <c r="E292" s="2"/>
      <c r="F292" s="2"/>
      <c r="G292" s="2"/>
      <c r="H292" s="2"/>
      <c r="K292" s="15" t="e">
        <f t="shared" si="39"/>
        <v>#VALUE!</v>
      </c>
      <c r="L292" s="15" t="e">
        <f t="shared" si="40"/>
        <v>#VALUE!</v>
      </c>
      <c r="M292" s="16" t="e">
        <f t="shared" si="41"/>
        <v>#VALUE!</v>
      </c>
      <c r="N292" s="16" t="e">
        <f t="shared" si="44"/>
        <v>#VALUE!</v>
      </c>
      <c r="O292" s="16" t="str">
        <f t="shared" si="38"/>
        <v>Other</v>
      </c>
      <c r="P292" s="16" t="str">
        <f t="shared" si="42"/>
        <v/>
      </c>
      <c r="S292" s="27" t="str">
        <v/>
      </c>
      <c r="T292" s="18" t="str">
        <f>IFERROR( IF( COUNTIF($R$2:R292,R292)=1, IF(VALUE(R292)=0,"",VALUE(R292)), "" ), "" )</f>
        <v/>
      </c>
      <c r="U292" s="8" t="str">
        <f t="shared" si="43"/>
        <v/>
      </c>
      <c r="W292" s="19"/>
      <c r="X292" s="19"/>
    </row>
    <row r="293" spans="1:24" ht="25.05" customHeight="1" x14ac:dyDescent="0.45">
      <c r="A293" s="2"/>
      <c r="B293" s="2"/>
      <c r="C293" s="2"/>
      <c r="D293" s="3"/>
      <c r="E293" s="2"/>
      <c r="F293" s="2"/>
      <c r="G293" s="2"/>
      <c r="H293" s="2"/>
      <c r="K293" s="15" t="e">
        <f t="shared" si="39"/>
        <v>#VALUE!</v>
      </c>
      <c r="L293" s="15" t="e">
        <f t="shared" si="40"/>
        <v>#VALUE!</v>
      </c>
      <c r="M293" s="16" t="e">
        <f t="shared" si="41"/>
        <v>#VALUE!</v>
      </c>
      <c r="N293" s="16" t="e">
        <f t="shared" si="44"/>
        <v>#VALUE!</v>
      </c>
      <c r="O293" s="16" t="str">
        <f t="shared" si="38"/>
        <v>Other</v>
      </c>
      <c r="P293" s="16" t="str">
        <f t="shared" si="42"/>
        <v/>
      </c>
      <c r="S293" s="27" t="str">
        <v/>
      </c>
      <c r="T293" s="18" t="str">
        <f>IFERROR( IF( COUNTIF($R$2:R293,R293)=1, IF(VALUE(R293)=0,"",VALUE(R293)), "" ), "" )</f>
        <v/>
      </c>
      <c r="U293" s="8" t="str">
        <f t="shared" si="43"/>
        <v/>
      </c>
      <c r="W293" s="19"/>
      <c r="X293" s="19"/>
    </row>
    <row r="294" spans="1:24" ht="25.05" customHeight="1" x14ac:dyDescent="0.45">
      <c r="A294" s="2"/>
      <c r="B294" s="2"/>
      <c r="C294" s="2"/>
      <c r="D294" s="3"/>
      <c r="E294" s="2"/>
      <c r="F294" s="2"/>
      <c r="G294" s="2"/>
      <c r="H294" s="2"/>
      <c r="K294" s="15" t="e">
        <f t="shared" si="39"/>
        <v>#VALUE!</v>
      </c>
      <c r="L294" s="15" t="e">
        <f t="shared" si="40"/>
        <v>#VALUE!</v>
      </c>
      <c r="M294" s="16" t="e">
        <f t="shared" si="41"/>
        <v>#VALUE!</v>
      </c>
      <c r="N294" s="16" t="e">
        <f t="shared" si="44"/>
        <v>#VALUE!</v>
      </c>
      <c r="O294" s="16" t="str">
        <f t="shared" ref="O294:O357" si="45">IF(LEFT(E294, 6)="TenGig", "10G (Ten Gig)", IF(LEFT(E294, 10)="HundredGig", "100G (Hundred Gig)", "Other"))</f>
        <v>Other</v>
      </c>
      <c r="P294" s="16" t="str">
        <f t="shared" si="42"/>
        <v/>
      </c>
      <c r="S294" s="27" t="str">
        <v/>
      </c>
      <c r="T294" s="18" t="str">
        <f>IFERROR( IF( COUNTIF($R$2:R294,R294)=1, IF(VALUE(R294)=0,"",VALUE(R294)), "" ), "" )</f>
        <v/>
      </c>
      <c r="U294" s="8" t="str">
        <f t="shared" si="43"/>
        <v/>
      </c>
      <c r="W294" s="19"/>
      <c r="X294" s="19"/>
    </row>
    <row r="295" spans="1:24" ht="25.05" customHeight="1" x14ac:dyDescent="0.45">
      <c r="A295" s="2"/>
      <c r="B295" s="2"/>
      <c r="C295" s="2"/>
      <c r="D295" s="3"/>
      <c r="E295" s="2"/>
      <c r="F295" s="2"/>
      <c r="G295" s="2"/>
      <c r="H295" s="2"/>
      <c r="K295" s="15" t="e">
        <f t="shared" ref="K295:K358" si="46">LEFT(A295, FIND("-", A295)-1)</f>
        <v>#VALUE!</v>
      </c>
      <c r="L295" s="15" t="e">
        <f t="shared" si="40"/>
        <v>#VALUE!</v>
      </c>
      <c r="M295" s="16" t="e">
        <f t="shared" si="41"/>
        <v>#VALUE!</v>
      </c>
      <c r="N295" s="16" t="e">
        <f t="shared" si="44"/>
        <v>#VALUE!</v>
      </c>
      <c r="O295" s="16" t="str">
        <f t="shared" si="45"/>
        <v>Other</v>
      </c>
      <c r="P295" s="16" t="str">
        <f t="shared" si="42"/>
        <v/>
      </c>
      <c r="S295" s="27" t="str">
        <v/>
      </c>
      <c r="T295" s="18" t="str">
        <f>IFERROR( IF( COUNTIF($R$2:R295,R295)=1, IF(VALUE(R295)=0,"",VALUE(R295)), "" ), "" )</f>
        <v/>
      </c>
      <c r="U295" s="8" t="str">
        <f t="shared" si="43"/>
        <v/>
      </c>
      <c r="W295" s="19"/>
      <c r="X295" s="19"/>
    </row>
    <row r="296" spans="1:24" ht="25.05" customHeight="1" x14ac:dyDescent="0.45">
      <c r="A296" s="2"/>
      <c r="B296" s="2"/>
      <c r="C296" s="2"/>
      <c r="D296" s="3"/>
      <c r="E296" s="2"/>
      <c r="F296" s="2"/>
      <c r="G296" s="2"/>
      <c r="H296" s="2"/>
      <c r="K296" s="15" t="e">
        <f t="shared" si="46"/>
        <v>#VALUE!</v>
      </c>
      <c r="L296" s="15" t="e">
        <f t="shared" si="40"/>
        <v>#VALUE!</v>
      </c>
      <c r="M296" s="16" t="e">
        <f t="shared" si="41"/>
        <v>#VALUE!</v>
      </c>
      <c r="N296" s="16" t="e">
        <f t="shared" si="44"/>
        <v>#VALUE!</v>
      </c>
      <c r="O296" s="16" t="str">
        <f t="shared" si="45"/>
        <v>Other</v>
      </c>
      <c r="P296" s="16" t="str">
        <f t="shared" si="42"/>
        <v/>
      </c>
      <c r="S296" s="27" t="str">
        <v/>
      </c>
      <c r="T296" s="18" t="str">
        <f>IFERROR( IF( COUNTIF($R$2:R296,R296)=1, IF(VALUE(R296)=0,"",VALUE(R296)), "" ), "" )</f>
        <v/>
      </c>
      <c r="U296" s="8" t="str">
        <f t="shared" si="43"/>
        <v/>
      </c>
      <c r="W296" s="19"/>
      <c r="X296" s="19"/>
    </row>
    <row r="297" spans="1:24" ht="25.05" customHeight="1" x14ac:dyDescent="0.45">
      <c r="A297" s="2"/>
      <c r="B297" s="2"/>
      <c r="C297" s="2"/>
      <c r="D297" s="3"/>
      <c r="E297" s="2"/>
      <c r="F297" s="2"/>
      <c r="G297" s="2"/>
      <c r="H297" s="2"/>
      <c r="K297" s="15" t="e">
        <f t="shared" si="46"/>
        <v>#VALUE!</v>
      </c>
      <c r="L297" s="15" t="e">
        <f t="shared" ref="L297:L360" si="47">LEFT(C297, FIND("-", C297)-1)</f>
        <v>#VALUE!</v>
      </c>
      <c r="M297" s="16" t="e">
        <f t="shared" si="41"/>
        <v>#VALUE!</v>
      </c>
      <c r="N297" s="16" t="e">
        <f t="shared" si="44"/>
        <v>#VALUE!</v>
      </c>
      <c r="O297" s="16" t="str">
        <f t="shared" si="45"/>
        <v>Other</v>
      </c>
      <c r="P297" s="16" t="str">
        <f t="shared" si="42"/>
        <v/>
      </c>
      <c r="S297" s="27" t="str">
        <v/>
      </c>
      <c r="T297" s="18" t="str">
        <f>IFERROR( IF( COUNTIF($R$2:R297,R297)=1, IF(VALUE(R297)=0,"",VALUE(R297)), "" ), "" )</f>
        <v/>
      </c>
      <c r="U297" s="8" t="str">
        <f t="shared" si="43"/>
        <v/>
      </c>
      <c r="W297" s="19"/>
      <c r="X297" s="19"/>
    </row>
    <row r="298" spans="1:24" ht="25.05" customHeight="1" x14ac:dyDescent="0.45">
      <c r="A298" s="2"/>
      <c r="B298" s="2"/>
      <c r="C298" s="2"/>
      <c r="D298" s="3"/>
      <c r="E298" s="2"/>
      <c r="F298" s="2"/>
      <c r="G298" s="2"/>
      <c r="H298" s="2"/>
      <c r="K298" s="15" t="e">
        <f t="shared" si="46"/>
        <v>#VALUE!</v>
      </c>
      <c r="L298" s="15" t="e">
        <f t="shared" si="47"/>
        <v>#VALUE!</v>
      </c>
      <c r="M298" s="16" t="e">
        <f t="shared" si="41"/>
        <v>#VALUE!</v>
      </c>
      <c r="N298" s="16" t="e">
        <f t="shared" si="44"/>
        <v>#VALUE!</v>
      </c>
      <c r="O298" s="16" t="str">
        <f t="shared" si="45"/>
        <v>Other</v>
      </c>
      <c r="P298" s="16" t="str">
        <f t="shared" si="42"/>
        <v/>
      </c>
      <c r="S298" s="27" t="str">
        <v/>
      </c>
      <c r="T298" s="18" t="str">
        <f>IFERROR( IF( COUNTIF($R$2:R298,R298)=1, IF(VALUE(R298)=0,"",VALUE(R298)), "" ), "" )</f>
        <v/>
      </c>
      <c r="U298" s="8" t="str">
        <f t="shared" si="43"/>
        <v/>
      </c>
      <c r="W298" s="19"/>
      <c r="X298" s="19"/>
    </row>
    <row r="299" spans="1:24" ht="25.05" customHeight="1" x14ac:dyDescent="0.45">
      <c r="A299" s="2"/>
      <c r="B299" s="2"/>
      <c r="C299" s="2"/>
      <c r="D299" s="3"/>
      <c r="E299" s="2"/>
      <c r="F299" s="2"/>
      <c r="G299" s="2"/>
      <c r="H299" s="2"/>
      <c r="K299" s="15" t="e">
        <f t="shared" si="46"/>
        <v>#VALUE!</v>
      </c>
      <c r="L299" s="15" t="e">
        <f t="shared" si="47"/>
        <v>#VALUE!</v>
      </c>
      <c r="M299" s="16" t="e">
        <f t="shared" si="41"/>
        <v>#VALUE!</v>
      </c>
      <c r="N299" s="16" t="e">
        <f t="shared" si="44"/>
        <v>#VALUE!</v>
      </c>
      <c r="O299" s="16" t="str">
        <f t="shared" si="45"/>
        <v>Other</v>
      </c>
      <c r="P299" s="16" t="str">
        <f t="shared" si="42"/>
        <v/>
      </c>
      <c r="S299" s="27" t="str">
        <v/>
      </c>
      <c r="T299" s="18" t="str">
        <f>IFERROR( IF( COUNTIF($R$2:R299,R299)=1, IF(VALUE(R299)=0,"",VALUE(R299)), "" ), "" )</f>
        <v/>
      </c>
      <c r="U299" s="8" t="str">
        <f t="shared" si="43"/>
        <v/>
      </c>
      <c r="W299" s="19"/>
      <c r="X299" s="19"/>
    </row>
    <row r="300" spans="1:24" ht="25.05" customHeight="1" x14ac:dyDescent="0.45">
      <c r="A300" s="2"/>
      <c r="B300" s="2"/>
      <c r="C300" s="2"/>
      <c r="D300" s="3"/>
      <c r="E300" s="2"/>
      <c r="F300" s="2"/>
      <c r="G300" s="2"/>
      <c r="H300" s="2"/>
      <c r="K300" s="15" t="e">
        <f t="shared" si="46"/>
        <v>#VALUE!</v>
      </c>
      <c r="L300" s="15" t="e">
        <f t="shared" si="47"/>
        <v>#VALUE!</v>
      </c>
      <c r="M300" s="16" t="e">
        <f t="shared" si="41"/>
        <v>#VALUE!</v>
      </c>
      <c r="N300" s="16" t="e">
        <f t="shared" si="44"/>
        <v>#VALUE!</v>
      </c>
      <c r="O300" s="16" t="str">
        <f t="shared" si="45"/>
        <v>Other</v>
      </c>
      <c r="P300" s="16" t="str">
        <f t="shared" si="42"/>
        <v/>
      </c>
      <c r="S300" s="27" t="str">
        <v/>
      </c>
      <c r="T300" s="18" t="str">
        <f>IFERROR( IF( COUNTIF($R$2:R300,R300)=1, IF(VALUE(R300)=0,"",VALUE(R300)), "" ), "" )</f>
        <v/>
      </c>
      <c r="U300" s="8" t="str">
        <f t="shared" si="43"/>
        <v/>
      </c>
      <c r="W300" s="19"/>
      <c r="X300" s="19"/>
    </row>
    <row r="301" spans="1:24" ht="25.05" customHeight="1" x14ac:dyDescent="0.45">
      <c r="A301" s="2"/>
      <c r="B301" s="2"/>
      <c r="C301" s="2"/>
      <c r="D301" s="3"/>
      <c r="E301" s="2"/>
      <c r="F301" s="2"/>
      <c r="G301" s="2"/>
      <c r="H301" s="2"/>
      <c r="K301" s="15" t="e">
        <f t="shared" si="46"/>
        <v>#VALUE!</v>
      </c>
      <c r="L301" s="15" t="e">
        <f t="shared" si="47"/>
        <v>#VALUE!</v>
      </c>
      <c r="M301" s="16" t="e">
        <f t="shared" si="41"/>
        <v>#VALUE!</v>
      </c>
      <c r="N301" s="16" t="e">
        <f t="shared" si="44"/>
        <v>#VALUE!</v>
      </c>
      <c r="O301" s="16" t="str">
        <f t="shared" si="45"/>
        <v>Other</v>
      </c>
      <c r="P301" s="16" t="str">
        <f t="shared" si="42"/>
        <v/>
      </c>
      <c r="S301" s="27" t="str">
        <v/>
      </c>
      <c r="T301" s="18" t="str">
        <f>IFERROR( IF( COUNTIF($R$2:R301,R301)=1, IF(VALUE(R301)=0,"",VALUE(R301)), "" ), "" )</f>
        <v/>
      </c>
      <c r="U301" s="8" t="str">
        <f t="shared" si="43"/>
        <v/>
      </c>
      <c r="W301" s="19"/>
      <c r="X301" s="19"/>
    </row>
    <row r="302" spans="1:24" ht="25.05" customHeight="1" x14ac:dyDescent="0.45">
      <c r="A302" s="2"/>
      <c r="B302" s="2"/>
      <c r="C302" s="2"/>
      <c r="D302" s="3"/>
      <c r="E302" s="2"/>
      <c r="F302" s="2"/>
      <c r="G302" s="2"/>
      <c r="H302" s="2"/>
      <c r="K302" s="15" t="e">
        <f t="shared" si="46"/>
        <v>#VALUE!</v>
      </c>
      <c r="L302" s="15" t="e">
        <f t="shared" si="47"/>
        <v>#VALUE!</v>
      </c>
      <c r="M302" s="16" t="e">
        <f t="shared" si="41"/>
        <v>#VALUE!</v>
      </c>
      <c r="N302" s="16" t="e">
        <f t="shared" si="44"/>
        <v>#VALUE!</v>
      </c>
      <c r="O302" s="16" t="str">
        <f t="shared" si="45"/>
        <v>Other</v>
      </c>
      <c r="P302" s="16" t="str">
        <f t="shared" si="42"/>
        <v/>
      </c>
      <c r="S302" s="27" t="str">
        <v/>
      </c>
      <c r="T302" s="18" t="str">
        <f>IFERROR( IF( COUNTIF($R$2:R302,R302)=1, IF(VALUE(R302)=0,"",VALUE(R302)), "" ), "" )</f>
        <v/>
      </c>
      <c r="U302" s="8" t="str">
        <f t="shared" si="43"/>
        <v/>
      </c>
      <c r="W302" s="19"/>
      <c r="X302" s="19"/>
    </row>
    <row r="303" spans="1:24" ht="25.05" customHeight="1" x14ac:dyDescent="0.45">
      <c r="A303" s="2"/>
      <c r="B303" s="2"/>
      <c r="C303" s="2"/>
      <c r="D303" s="3"/>
      <c r="E303" s="2"/>
      <c r="F303" s="2"/>
      <c r="G303" s="2"/>
      <c r="H303" s="2"/>
      <c r="K303" s="15" t="e">
        <f t="shared" si="46"/>
        <v>#VALUE!</v>
      </c>
      <c r="L303" s="15" t="e">
        <f t="shared" si="47"/>
        <v>#VALUE!</v>
      </c>
      <c r="M303" s="16" t="e">
        <f t="shared" si="41"/>
        <v>#VALUE!</v>
      </c>
      <c r="N303" s="16" t="e">
        <f t="shared" si="44"/>
        <v>#VALUE!</v>
      </c>
      <c r="O303" s="16" t="str">
        <f t="shared" si="45"/>
        <v>Other</v>
      </c>
      <c r="P303" s="16" t="str">
        <f t="shared" si="42"/>
        <v/>
      </c>
      <c r="S303" s="27" t="str">
        <v/>
      </c>
      <c r="T303" s="18" t="str">
        <f>IFERROR( IF( COUNTIF($R$2:R303,R303)=1, IF(VALUE(R303)=0,"",VALUE(R303)), "" ), "" )</f>
        <v/>
      </c>
      <c r="U303" s="8" t="str">
        <f t="shared" si="43"/>
        <v/>
      </c>
      <c r="W303" s="19"/>
      <c r="X303" s="19"/>
    </row>
    <row r="304" spans="1:24" ht="25.05" customHeight="1" x14ac:dyDescent="0.45">
      <c r="A304" s="2"/>
      <c r="B304" s="2"/>
      <c r="C304" s="2"/>
      <c r="D304" s="3"/>
      <c r="E304" s="2"/>
      <c r="F304" s="2"/>
      <c r="G304" s="2"/>
      <c r="H304" s="2"/>
      <c r="K304" s="15" t="e">
        <f t="shared" si="46"/>
        <v>#VALUE!</v>
      </c>
      <c r="L304" s="15" t="e">
        <f t="shared" si="47"/>
        <v>#VALUE!</v>
      </c>
      <c r="M304" s="16" t="e">
        <f t="shared" si="41"/>
        <v>#VALUE!</v>
      </c>
      <c r="N304" s="16" t="e">
        <f t="shared" si="44"/>
        <v>#VALUE!</v>
      </c>
      <c r="O304" s="16" t="str">
        <f t="shared" si="45"/>
        <v>Other</v>
      </c>
      <c r="P304" s="16" t="str">
        <f t="shared" si="42"/>
        <v/>
      </c>
      <c r="S304" s="27" t="str">
        <v/>
      </c>
      <c r="T304" s="18" t="str">
        <f>IFERROR( IF( COUNTIF($R$2:R304,R304)=1, IF(VALUE(R304)=0,"",VALUE(R304)), "" ), "" )</f>
        <v/>
      </c>
      <c r="U304" s="8" t="str">
        <f t="shared" si="43"/>
        <v/>
      </c>
      <c r="W304" s="19"/>
      <c r="X304" s="19"/>
    </row>
    <row r="305" spans="1:24" ht="25.05" customHeight="1" x14ac:dyDescent="0.45">
      <c r="A305" s="2"/>
      <c r="B305" s="2"/>
      <c r="C305" s="2"/>
      <c r="D305" s="3"/>
      <c r="E305" s="2"/>
      <c r="F305" s="2"/>
      <c r="G305" s="2"/>
      <c r="H305" s="2"/>
      <c r="K305" s="15" t="e">
        <f t="shared" si="46"/>
        <v>#VALUE!</v>
      </c>
      <c r="L305" s="15" t="e">
        <f t="shared" si="47"/>
        <v>#VALUE!</v>
      </c>
      <c r="M305" s="16" t="e">
        <f t="shared" si="41"/>
        <v>#VALUE!</v>
      </c>
      <c r="N305" s="16" t="e">
        <f t="shared" si="44"/>
        <v>#VALUE!</v>
      </c>
      <c r="O305" s="16" t="str">
        <f t="shared" si="45"/>
        <v>Other</v>
      </c>
      <c r="P305" s="16" t="str">
        <f t="shared" si="42"/>
        <v/>
      </c>
      <c r="S305" s="27" t="str">
        <v/>
      </c>
      <c r="T305" s="18" t="str">
        <f>IFERROR( IF( COUNTIF($R$2:R305,R305)=1, IF(VALUE(R305)=0,"",VALUE(R305)), "" ), "" )</f>
        <v/>
      </c>
      <c r="U305" s="8" t="str">
        <f t="shared" si="43"/>
        <v/>
      </c>
      <c r="W305" s="19"/>
      <c r="X305" s="19"/>
    </row>
    <row r="306" spans="1:24" ht="25.05" customHeight="1" x14ac:dyDescent="0.45">
      <c r="A306" s="2"/>
      <c r="B306" s="2"/>
      <c r="C306" s="2"/>
      <c r="D306" s="3"/>
      <c r="E306" s="2"/>
      <c r="F306" s="2"/>
      <c r="G306" s="2"/>
      <c r="H306" s="2"/>
      <c r="K306" s="15" t="e">
        <f t="shared" si="46"/>
        <v>#VALUE!</v>
      </c>
      <c r="L306" s="15" t="e">
        <f t="shared" si="47"/>
        <v>#VALUE!</v>
      </c>
      <c r="M306" s="16" t="e">
        <f t="shared" si="41"/>
        <v>#VALUE!</v>
      </c>
      <c r="N306" s="16" t="e">
        <f t="shared" si="44"/>
        <v>#VALUE!</v>
      </c>
      <c r="O306" s="16" t="str">
        <f t="shared" si="45"/>
        <v>Other</v>
      </c>
      <c r="P306" s="16" t="str">
        <f t="shared" si="42"/>
        <v/>
      </c>
      <c r="S306" s="27" t="str">
        <v/>
      </c>
      <c r="T306" s="18" t="str">
        <f>IFERROR( IF( COUNTIF($R$2:R306,R306)=1, IF(VALUE(R306)=0,"",VALUE(R306)), "" ), "" )</f>
        <v/>
      </c>
      <c r="U306" s="8" t="str">
        <f t="shared" si="43"/>
        <v/>
      </c>
      <c r="W306" s="19"/>
      <c r="X306" s="19"/>
    </row>
    <row r="307" spans="1:24" ht="25.05" customHeight="1" x14ac:dyDescent="0.45">
      <c r="A307" s="2"/>
      <c r="B307" s="2"/>
      <c r="C307" s="2"/>
      <c r="D307" s="3"/>
      <c r="E307" s="2"/>
      <c r="F307" s="2"/>
      <c r="G307" s="2"/>
      <c r="H307" s="2"/>
      <c r="K307" s="15" t="e">
        <f t="shared" si="46"/>
        <v>#VALUE!</v>
      </c>
      <c r="L307" s="15" t="e">
        <f t="shared" si="47"/>
        <v>#VALUE!</v>
      </c>
      <c r="M307" s="16" t="e">
        <f t="shared" si="41"/>
        <v>#VALUE!</v>
      </c>
      <c r="N307" s="16" t="e">
        <f t="shared" si="44"/>
        <v>#VALUE!</v>
      </c>
      <c r="O307" s="16" t="str">
        <f t="shared" si="45"/>
        <v>Other</v>
      </c>
      <c r="P307" s="16" t="str">
        <f t="shared" si="42"/>
        <v/>
      </c>
      <c r="S307" s="27" t="str">
        <v/>
      </c>
      <c r="T307" s="18" t="str">
        <f>IFERROR( IF( COUNTIF($R$2:R307,R307)=1, IF(VALUE(R307)=0,"",VALUE(R307)), "" ), "" )</f>
        <v/>
      </c>
      <c r="U307" s="8" t="str">
        <f t="shared" si="43"/>
        <v/>
      </c>
      <c r="W307" s="19"/>
      <c r="X307" s="19"/>
    </row>
    <row r="308" spans="1:24" ht="25.05" customHeight="1" x14ac:dyDescent="0.45">
      <c r="A308" s="2"/>
      <c r="B308" s="2"/>
      <c r="C308" s="2"/>
      <c r="D308" s="3"/>
      <c r="E308" s="2"/>
      <c r="F308" s="2"/>
      <c r="G308" s="2"/>
      <c r="H308" s="2"/>
      <c r="K308" s="15" t="e">
        <f t="shared" si="46"/>
        <v>#VALUE!</v>
      </c>
      <c r="L308" s="15" t="e">
        <f t="shared" si="47"/>
        <v>#VALUE!</v>
      </c>
      <c r="M308" s="16" t="e">
        <f t="shared" si="41"/>
        <v>#VALUE!</v>
      </c>
      <c r="N308" s="16" t="e">
        <f t="shared" si="44"/>
        <v>#VALUE!</v>
      </c>
      <c r="O308" s="16" t="str">
        <f t="shared" si="45"/>
        <v>Other</v>
      </c>
      <c r="P308" s="16" t="str">
        <f t="shared" si="42"/>
        <v/>
      </c>
      <c r="S308" s="27" t="str">
        <v/>
      </c>
      <c r="T308" s="18" t="str">
        <f>IFERROR( IF( COUNTIF($R$2:R308,R308)=1, IF(VALUE(R308)=0,"",VALUE(R308)), "" ), "" )</f>
        <v/>
      </c>
      <c r="U308" s="8" t="str">
        <f t="shared" si="43"/>
        <v/>
      </c>
      <c r="W308" s="19"/>
      <c r="X308" s="19"/>
    </row>
    <row r="309" spans="1:24" ht="25.05" customHeight="1" x14ac:dyDescent="0.45">
      <c r="A309" s="2"/>
      <c r="B309" s="2"/>
      <c r="C309" s="2"/>
      <c r="D309" s="3"/>
      <c r="E309" s="2"/>
      <c r="F309" s="2"/>
      <c r="G309" s="2"/>
      <c r="H309" s="2"/>
      <c r="K309" s="15" t="e">
        <f t="shared" si="46"/>
        <v>#VALUE!</v>
      </c>
      <c r="L309" s="15" t="e">
        <f t="shared" si="47"/>
        <v>#VALUE!</v>
      </c>
      <c r="M309" s="16" t="e">
        <f t="shared" si="41"/>
        <v>#VALUE!</v>
      </c>
      <c r="N309" s="16" t="e">
        <f t="shared" si="44"/>
        <v>#VALUE!</v>
      </c>
      <c r="O309" s="16" t="str">
        <f t="shared" si="45"/>
        <v>Other</v>
      </c>
      <c r="P309" s="16" t="str">
        <f t="shared" si="42"/>
        <v/>
      </c>
      <c r="S309" s="27" t="str">
        <v/>
      </c>
      <c r="T309" s="18" t="str">
        <f>IFERROR( IF( COUNTIF($R$2:R309,R309)=1, IF(VALUE(R309)=0,"",VALUE(R309)), "" ), "" )</f>
        <v/>
      </c>
      <c r="U309" s="8" t="str">
        <f t="shared" si="43"/>
        <v/>
      </c>
      <c r="W309" s="19"/>
      <c r="X309" s="19"/>
    </row>
    <row r="310" spans="1:24" ht="25.05" customHeight="1" x14ac:dyDescent="0.45">
      <c r="A310" s="2"/>
      <c r="B310" s="2"/>
      <c r="C310" s="2"/>
      <c r="D310" s="3"/>
      <c r="E310" s="2"/>
      <c r="F310" s="2"/>
      <c r="G310" s="2"/>
      <c r="H310" s="2"/>
      <c r="K310" s="15" t="e">
        <f t="shared" si="46"/>
        <v>#VALUE!</v>
      </c>
      <c r="L310" s="15" t="e">
        <f t="shared" si="47"/>
        <v>#VALUE!</v>
      </c>
      <c r="M310" s="16" t="e">
        <f t="shared" si="41"/>
        <v>#VALUE!</v>
      </c>
      <c r="N310" s="16" t="e">
        <f t="shared" si="44"/>
        <v>#VALUE!</v>
      </c>
      <c r="O310" s="16" t="str">
        <f t="shared" si="45"/>
        <v>Other</v>
      </c>
      <c r="P310" s="16" t="str">
        <f t="shared" si="42"/>
        <v/>
      </c>
      <c r="S310" s="27" t="str">
        <v/>
      </c>
      <c r="T310" s="18" t="str">
        <f>IFERROR( IF( COUNTIF($R$2:R310,R310)=1, IF(VALUE(R310)=0,"",VALUE(R310)), "" ), "" )</f>
        <v/>
      </c>
      <c r="U310" s="8" t="str">
        <f t="shared" si="43"/>
        <v/>
      </c>
      <c r="W310" s="19"/>
      <c r="X310" s="19"/>
    </row>
    <row r="311" spans="1:24" ht="25.05" customHeight="1" x14ac:dyDescent="0.45">
      <c r="A311" s="2"/>
      <c r="B311" s="2"/>
      <c r="C311" s="2"/>
      <c r="D311" s="3"/>
      <c r="E311" s="2"/>
      <c r="F311" s="2"/>
      <c r="G311" s="2"/>
      <c r="H311" s="2"/>
      <c r="K311" s="15" t="e">
        <f t="shared" si="46"/>
        <v>#VALUE!</v>
      </c>
      <c r="L311" s="15" t="e">
        <f t="shared" si="47"/>
        <v>#VALUE!</v>
      </c>
      <c r="M311" s="16" t="e">
        <f t="shared" si="41"/>
        <v>#VALUE!</v>
      </c>
      <c r="N311" s="16" t="e">
        <f t="shared" si="44"/>
        <v>#VALUE!</v>
      </c>
      <c r="O311" s="16" t="str">
        <f t="shared" si="45"/>
        <v>Other</v>
      </c>
      <c r="P311" s="16" t="str">
        <f t="shared" si="42"/>
        <v/>
      </c>
      <c r="S311" s="27" t="str">
        <v/>
      </c>
      <c r="T311" s="18" t="str">
        <f>IFERROR( IF( COUNTIF($R$2:R311,R311)=1, IF(VALUE(R311)=0,"",VALUE(R311)), "" ), "" )</f>
        <v/>
      </c>
      <c r="U311" s="8" t="str">
        <f t="shared" si="43"/>
        <v/>
      </c>
      <c r="W311" s="19"/>
      <c r="X311" s="19"/>
    </row>
    <row r="312" spans="1:24" ht="25.05" customHeight="1" x14ac:dyDescent="0.45">
      <c r="A312" s="2"/>
      <c r="B312" s="2"/>
      <c r="C312" s="2"/>
      <c r="D312" s="3"/>
      <c r="E312" s="2"/>
      <c r="F312" s="2"/>
      <c r="G312" s="2"/>
      <c r="H312" s="2"/>
      <c r="K312" s="15" t="e">
        <f t="shared" si="46"/>
        <v>#VALUE!</v>
      </c>
      <c r="L312" s="15" t="e">
        <f t="shared" si="47"/>
        <v>#VALUE!</v>
      </c>
      <c r="M312" s="16" t="e">
        <f t="shared" si="41"/>
        <v>#VALUE!</v>
      </c>
      <c r="N312" s="16" t="e">
        <f t="shared" si="44"/>
        <v>#VALUE!</v>
      </c>
      <c r="O312" s="16" t="str">
        <f t="shared" si="45"/>
        <v>Other</v>
      </c>
      <c r="P312" s="16" t="str">
        <f t="shared" si="42"/>
        <v/>
      </c>
      <c r="S312" s="27" t="str">
        <v/>
      </c>
      <c r="T312" s="18" t="str">
        <f>IFERROR( IF( COUNTIF($R$2:R312,R312)=1, IF(VALUE(R312)=0,"",VALUE(R312)), "" ), "" )</f>
        <v/>
      </c>
      <c r="U312" s="8" t="str">
        <f t="shared" si="43"/>
        <v/>
      </c>
      <c r="W312" s="19"/>
      <c r="X312" s="19"/>
    </row>
    <row r="313" spans="1:24" ht="25.05" customHeight="1" x14ac:dyDescent="0.45">
      <c r="A313" s="2"/>
      <c r="B313" s="2"/>
      <c r="C313" s="2"/>
      <c r="D313" s="3"/>
      <c r="E313" s="2"/>
      <c r="F313" s="2"/>
      <c r="G313" s="2"/>
      <c r="H313" s="2"/>
      <c r="K313" s="15" t="e">
        <f t="shared" si="46"/>
        <v>#VALUE!</v>
      </c>
      <c r="L313" s="15" t="e">
        <f t="shared" si="47"/>
        <v>#VALUE!</v>
      </c>
      <c r="M313" s="16" t="e">
        <f t="shared" si="41"/>
        <v>#VALUE!</v>
      </c>
      <c r="N313" s="16" t="e">
        <f t="shared" si="44"/>
        <v>#VALUE!</v>
      </c>
      <c r="O313" s="16" t="str">
        <f t="shared" si="45"/>
        <v>Other</v>
      </c>
      <c r="P313" s="16" t="str">
        <f t="shared" si="42"/>
        <v/>
      </c>
      <c r="S313" s="27" t="str">
        <v/>
      </c>
      <c r="T313" s="18" t="str">
        <f>IFERROR( IF( COUNTIF($R$2:R313,R313)=1, IF(VALUE(R313)=0,"",VALUE(R313)), "" ), "" )</f>
        <v/>
      </c>
      <c r="U313" s="8" t="str">
        <f t="shared" si="43"/>
        <v/>
      </c>
      <c r="W313" s="19"/>
      <c r="X313" s="19"/>
    </row>
    <row r="314" spans="1:24" ht="25.05" customHeight="1" x14ac:dyDescent="0.45">
      <c r="A314" s="2"/>
      <c r="B314" s="2"/>
      <c r="C314" s="2"/>
      <c r="D314" s="3"/>
      <c r="E314" s="2"/>
      <c r="F314" s="2"/>
      <c r="G314" s="2"/>
      <c r="H314" s="2"/>
      <c r="K314" s="15" t="e">
        <f t="shared" si="46"/>
        <v>#VALUE!</v>
      </c>
      <c r="L314" s="15" t="e">
        <f t="shared" si="47"/>
        <v>#VALUE!</v>
      </c>
      <c r="M314" s="16" t="e">
        <f t="shared" si="41"/>
        <v>#VALUE!</v>
      </c>
      <c r="N314" s="16" t="e">
        <f t="shared" si="44"/>
        <v>#VALUE!</v>
      </c>
      <c r="O314" s="16" t="str">
        <f t="shared" si="45"/>
        <v>Other</v>
      </c>
      <c r="P314" s="16" t="str">
        <f t="shared" si="42"/>
        <v/>
      </c>
      <c r="S314" s="27" t="str">
        <v/>
      </c>
      <c r="T314" s="18" t="str">
        <f>IFERROR( IF( COUNTIF($R$2:R314,R314)=1, IF(VALUE(R314)=0,"",VALUE(R314)), "" ), "" )</f>
        <v/>
      </c>
      <c r="U314" s="8" t="str">
        <f t="shared" si="43"/>
        <v/>
      </c>
      <c r="W314" s="19"/>
      <c r="X314" s="19"/>
    </row>
    <row r="315" spans="1:24" ht="25.05" customHeight="1" x14ac:dyDescent="0.45">
      <c r="A315" s="2"/>
      <c r="B315" s="2"/>
      <c r="C315" s="2"/>
      <c r="D315" s="3"/>
      <c r="E315" s="2"/>
      <c r="F315" s="2"/>
      <c r="G315" s="2"/>
      <c r="H315" s="2"/>
      <c r="K315" s="15" t="e">
        <f t="shared" si="46"/>
        <v>#VALUE!</v>
      </c>
      <c r="L315" s="15" t="e">
        <f t="shared" si="47"/>
        <v>#VALUE!</v>
      </c>
      <c r="M315" s="16" t="e">
        <f t="shared" si="41"/>
        <v>#VALUE!</v>
      </c>
      <c r="N315" s="16" t="e">
        <f t="shared" si="44"/>
        <v>#VALUE!</v>
      </c>
      <c r="O315" s="16" t="str">
        <f t="shared" si="45"/>
        <v>Other</v>
      </c>
      <c r="P315" s="16" t="str">
        <f t="shared" si="42"/>
        <v/>
      </c>
      <c r="S315" s="27" t="str">
        <v/>
      </c>
      <c r="T315" s="18" t="str">
        <f>IFERROR( IF( COUNTIF($R$2:R315,R315)=1, IF(VALUE(R315)=0,"",VALUE(R315)), "" ), "" )</f>
        <v/>
      </c>
      <c r="U315" s="8" t="str">
        <f t="shared" si="43"/>
        <v/>
      </c>
      <c r="W315" s="19"/>
      <c r="X315" s="19"/>
    </row>
    <row r="316" spans="1:24" ht="25.05" customHeight="1" x14ac:dyDescent="0.45">
      <c r="A316" s="2"/>
      <c r="B316" s="2"/>
      <c r="C316" s="2"/>
      <c r="D316" s="3"/>
      <c r="E316" s="2"/>
      <c r="F316" s="2"/>
      <c r="G316" s="2"/>
      <c r="H316" s="2"/>
      <c r="K316" s="15" t="e">
        <f t="shared" si="46"/>
        <v>#VALUE!</v>
      </c>
      <c r="L316" s="15" t="e">
        <f t="shared" si="47"/>
        <v>#VALUE!</v>
      </c>
      <c r="M316" s="16" t="e">
        <f t="shared" si="41"/>
        <v>#VALUE!</v>
      </c>
      <c r="N316" s="16" t="e">
        <f t="shared" si="44"/>
        <v>#VALUE!</v>
      </c>
      <c r="O316" s="16" t="str">
        <f t="shared" si="45"/>
        <v>Other</v>
      </c>
      <c r="P316" s="16" t="str">
        <f t="shared" si="42"/>
        <v/>
      </c>
      <c r="S316" s="27" t="str">
        <v/>
      </c>
      <c r="T316" s="18" t="str">
        <f>IFERROR( IF( COUNTIF($R$2:R316,R316)=1, IF(VALUE(R316)=0,"",VALUE(R316)), "" ), "" )</f>
        <v/>
      </c>
      <c r="U316" s="8" t="str">
        <f t="shared" si="43"/>
        <v/>
      </c>
      <c r="W316" s="19"/>
      <c r="X316" s="19"/>
    </row>
    <row r="317" spans="1:24" ht="25.05" customHeight="1" x14ac:dyDescent="0.45">
      <c r="A317" s="2"/>
      <c r="B317" s="2"/>
      <c r="C317" s="2"/>
      <c r="D317" s="3"/>
      <c r="E317" s="2"/>
      <c r="F317" s="2"/>
      <c r="G317" s="2"/>
      <c r="H317" s="2"/>
      <c r="K317" s="15" t="e">
        <f t="shared" si="46"/>
        <v>#VALUE!</v>
      </c>
      <c r="L317" s="15" t="e">
        <f t="shared" si="47"/>
        <v>#VALUE!</v>
      </c>
      <c r="M317" s="16" t="e">
        <f t="shared" si="41"/>
        <v>#VALUE!</v>
      </c>
      <c r="N317" s="16" t="e">
        <f t="shared" si="44"/>
        <v>#VALUE!</v>
      </c>
      <c r="O317" s="16" t="str">
        <f t="shared" si="45"/>
        <v>Other</v>
      </c>
      <c r="P317" s="16" t="str">
        <f t="shared" si="42"/>
        <v/>
      </c>
      <c r="S317" s="27" t="str">
        <v/>
      </c>
      <c r="T317" s="18" t="str">
        <f>IFERROR( IF( COUNTIF($R$2:R317,R317)=1, IF(VALUE(R317)=0,"",VALUE(R317)), "" ), "" )</f>
        <v/>
      </c>
      <c r="U317" s="8" t="str">
        <f t="shared" si="43"/>
        <v/>
      </c>
      <c r="W317" s="19"/>
      <c r="X317" s="19"/>
    </row>
    <row r="318" spans="1:24" ht="25.05" customHeight="1" x14ac:dyDescent="0.45">
      <c r="A318" s="2"/>
      <c r="B318" s="2"/>
      <c r="C318" s="2"/>
      <c r="D318" s="3"/>
      <c r="E318" s="2"/>
      <c r="F318" s="2"/>
      <c r="G318" s="2"/>
      <c r="H318" s="2"/>
      <c r="K318" s="15" t="e">
        <f t="shared" si="46"/>
        <v>#VALUE!</v>
      </c>
      <c r="L318" s="15" t="e">
        <f t="shared" si="47"/>
        <v>#VALUE!</v>
      </c>
      <c r="M318" s="16" t="e">
        <f t="shared" si="41"/>
        <v>#VALUE!</v>
      </c>
      <c r="N318" s="16" t="e">
        <f t="shared" si="44"/>
        <v>#VALUE!</v>
      </c>
      <c r="O318" s="16" t="str">
        <f t="shared" si="45"/>
        <v>Other</v>
      </c>
      <c r="P318" s="16" t="str">
        <f t="shared" si="42"/>
        <v/>
      </c>
      <c r="S318" s="27" t="str">
        <v/>
      </c>
      <c r="T318" s="18" t="str">
        <f>IFERROR( IF( COUNTIF($R$2:R318,R318)=1, IF(VALUE(R318)=0,"",VALUE(R318)), "" ), "" )</f>
        <v/>
      </c>
      <c r="U318" s="8" t="str">
        <f t="shared" si="43"/>
        <v/>
      </c>
      <c r="W318" s="19"/>
      <c r="X318" s="19"/>
    </row>
    <row r="319" spans="1:24" ht="25.05" customHeight="1" x14ac:dyDescent="0.45">
      <c r="A319" s="2"/>
      <c r="B319" s="2"/>
      <c r="C319" s="2"/>
      <c r="D319" s="3"/>
      <c r="E319" s="2"/>
      <c r="F319" s="2"/>
      <c r="G319" s="2"/>
      <c r="H319" s="2"/>
      <c r="K319" s="15" t="e">
        <f t="shared" si="46"/>
        <v>#VALUE!</v>
      </c>
      <c r="L319" s="15" t="e">
        <f t="shared" si="47"/>
        <v>#VALUE!</v>
      </c>
      <c r="M319" s="16" t="e">
        <f t="shared" si="41"/>
        <v>#VALUE!</v>
      </c>
      <c r="N319" s="16" t="e">
        <f t="shared" si="44"/>
        <v>#VALUE!</v>
      </c>
      <c r="O319" s="16" t="str">
        <f t="shared" si="45"/>
        <v>Other</v>
      </c>
      <c r="P319" s="16" t="str">
        <f t="shared" si="42"/>
        <v/>
      </c>
      <c r="S319" s="27" t="str">
        <v/>
      </c>
      <c r="T319" s="18" t="str">
        <f>IFERROR( IF( COUNTIF($R$2:R319,R319)=1, IF(VALUE(R319)=0,"",VALUE(R319)), "" ), "" )</f>
        <v/>
      </c>
      <c r="U319" s="8" t="str">
        <f t="shared" si="43"/>
        <v/>
      </c>
      <c r="W319" s="19"/>
      <c r="X319" s="19"/>
    </row>
    <row r="320" spans="1:24" ht="25.05" customHeight="1" x14ac:dyDescent="0.45">
      <c r="A320" s="2"/>
      <c r="B320" s="2"/>
      <c r="C320" s="2"/>
      <c r="D320" s="3"/>
      <c r="E320" s="2"/>
      <c r="F320" s="2"/>
      <c r="G320" s="2"/>
      <c r="H320" s="2"/>
      <c r="K320" s="15" t="e">
        <f t="shared" si="46"/>
        <v>#VALUE!</v>
      </c>
      <c r="L320" s="15" t="e">
        <f t="shared" si="47"/>
        <v>#VALUE!</v>
      </c>
      <c r="M320" s="16" t="e">
        <f t="shared" si="41"/>
        <v>#VALUE!</v>
      </c>
      <c r="N320" s="16" t="e">
        <f t="shared" si="44"/>
        <v>#VALUE!</v>
      </c>
      <c r="O320" s="16" t="str">
        <f t="shared" si="45"/>
        <v>Other</v>
      </c>
      <c r="P320" s="16" t="str">
        <f t="shared" si="42"/>
        <v/>
      </c>
      <c r="S320" s="27" t="str">
        <v/>
      </c>
      <c r="T320" s="18" t="str">
        <f>IFERROR( IF( COUNTIF($R$2:R320,R320)=1, IF(VALUE(R320)=0,"",VALUE(R320)), "" ), "" )</f>
        <v/>
      </c>
      <c r="U320" s="8" t="str">
        <f t="shared" si="43"/>
        <v/>
      </c>
      <c r="W320" s="19"/>
      <c r="X320" s="19"/>
    </row>
    <row r="321" spans="1:24" ht="25.05" customHeight="1" x14ac:dyDescent="0.45">
      <c r="A321" s="2"/>
      <c r="B321" s="2"/>
      <c r="C321" s="2"/>
      <c r="D321" s="3"/>
      <c r="E321" s="2"/>
      <c r="F321" s="2"/>
      <c r="G321" s="2"/>
      <c r="H321" s="2"/>
      <c r="K321" s="15" t="e">
        <f t="shared" si="46"/>
        <v>#VALUE!</v>
      </c>
      <c r="L321" s="15" t="e">
        <f t="shared" si="47"/>
        <v>#VALUE!</v>
      </c>
      <c r="M321" s="16" t="e">
        <f t="shared" si="41"/>
        <v>#VALUE!</v>
      </c>
      <c r="N321" s="16" t="e">
        <f t="shared" si="44"/>
        <v>#VALUE!</v>
      </c>
      <c r="O321" s="16" t="str">
        <f t="shared" si="45"/>
        <v>Other</v>
      </c>
      <c r="P321" s="16" t="str">
        <f t="shared" si="42"/>
        <v/>
      </c>
      <c r="S321" s="27" t="str">
        <v/>
      </c>
      <c r="T321" s="18" t="str">
        <f>IFERROR( IF( COUNTIF($R$2:R321,R321)=1, IF(VALUE(R321)=0,"",VALUE(R321)), "" ), "" )</f>
        <v/>
      </c>
      <c r="U321" s="8" t="str">
        <f t="shared" si="43"/>
        <v/>
      </c>
      <c r="W321" s="19"/>
      <c r="X321" s="19"/>
    </row>
    <row r="322" spans="1:24" ht="25.05" customHeight="1" x14ac:dyDescent="0.45">
      <c r="A322" s="2"/>
      <c r="B322" s="2"/>
      <c r="C322" s="2"/>
      <c r="D322" s="3"/>
      <c r="E322" s="2"/>
      <c r="F322" s="2"/>
      <c r="G322" s="2"/>
      <c r="H322" s="2"/>
      <c r="K322" s="15" t="e">
        <f t="shared" si="46"/>
        <v>#VALUE!</v>
      </c>
      <c r="L322" s="15" t="e">
        <f t="shared" si="47"/>
        <v>#VALUE!</v>
      </c>
      <c r="M322" s="16" t="e">
        <f t="shared" ref="M322:M385" si="48">MID(G322,FIND("LR-",G322)+3,FIND("-",G322,FIND("LR-",G322)+3)-FIND("LR-",G322)-3)</f>
        <v>#VALUE!</v>
      </c>
      <c r="N322" s="16" t="e">
        <f t="shared" si="44"/>
        <v>#VALUE!</v>
      </c>
      <c r="O322" s="16" t="str">
        <f t="shared" si="45"/>
        <v>Other</v>
      </c>
      <c r="P322" s="16" t="str">
        <f t="shared" ref="P322:P385" si="49">IF(S322&lt;&gt;"",IF(LEFT(S322,FIND(" &lt;&gt; ",S322)-1) &lt; MID(S322,FIND(" &lt;&gt; ",S322)+4,LEN(S322)),LEFT(S322,FIND(" &lt;&gt; ",S322)-1) &amp; " &lt;&gt; " &amp; MID(S322,FIND(" &lt;&gt; ",S322)+4,LEN(S322)),MID(S322,FIND(" &lt;&gt; ",S322)+4,LEN(S322)) &amp; " &lt;&gt; " &amp; LEFT(S322,FIND(" &lt;&gt; ",S322)-1)),"")</f>
        <v/>
      </c>
      <c r="S322" s="27" t="str">
        <v/>
      </c>
      <c r="T322" s="18" t="str">
        <f>IFERROR( IF( COUNTIF($R$2:R322,R322)=1, IF(VALUE(R322)=0,"",VALUE(R322)), "" ), "" )</f>
        <v/>
      </c>
      <c r="U322" s="8" t="str">
        <f t="shared" si="43"/>
        <v/>
      </c>
      <c r="W322" s="19"/>
      <c r="X322" s="19"/>
    </row>
    <row r="323" spans="1:24" ht="25.05" customHeight="1" x14ac:dyDescent="0.45">
      <c r="A323" s="2"/>
      <c r="B323" s="2"/>
      <c r="C323" s="2"/>
      <c r="D323" s="3"/>
      <c r="E323" s="2"/>
      <c r="F323" s="2"/>
      <c r="G323" s="2"/>
      <c r="H323" s="2"/>
      <c r="K323" s="15" t="e">
        <f t="shared" si="46"/>
        <v>#VALUE!</v>
      </c>
      <c r="L323" s="15" t="e">
        <f t="shared" si="47"/>
        <v>#VALUE!</v>
      </c>
      <c r="M323" s="16" t="e">
        <f t="shared" si="48"/>
        <v>#VALUE!</v>
      </c>
      <c r="N323" s="16" t="e">
        <f t="shared" si="44"/>
        <v>#VALUE!</v>
      </c>
      <c r="O323" s="16" t="str">
        <f t="shared" si="45"/>
        <v>Other</v>
      </c>
      <c r="P323" s="16" t="str">
        <f t="shared" si="49"/>
        <v/>
      </c>
      <c r="S323" s="27" t="str">
        <v/>
      </c>
      <c r="T323" s="18" t="str">
        <f>IFERROR( IF( COUNTIF($R$2:R323,R323)=1, IF(VALUE(R323)=0,"",VALUE(R323)), "" ), "" )</f>
        <v/>
      </c>
      <c r="U323" s="8" t="str">
        <f t="shared" ref="U323:U386" si="50">IFERROR( IF( _xlfn.XLOOKUP(R323, M323:M1321, O323:O1321)=0, "", _xlfn.XLOOKUP(R323, M323:M1321, O323:O1321) ), "" )</f>
        <v/>
      </c>
      <c r="W323" s="19"/>
      <c r="X323" s="19"/>
    </row>
    <row r="324" spans="1:24" ht="25.05" customHeight="1" x14ac:dyDescent="0.45">
      <c r="A324" s="2"/>
      <c r="B324" s="2"/>
      <c r="C324" s="2"/>
      <c r="D324" s="3"/>
      <c r="E324" s="2"/>
      <c r="F324" s="2"/>
      <c r="G324" s="2"/>
      <c r="H324" s="2"/>
      <c r="K324" s="15" t="e">
        <f t="shared" si="46"/>
        <v>#VALUE!</v>
      </c>
      <c r="L324" s="15" t="e">
        <f t="shared" si="47"/>
        <v>#VALUE!</v>
      </c>
      <c r="M324" s="16" t="e">
        <f t="shared" si="48"/>
        <v>#VALUE!</v>
      </c>
      <c r="N324" s="16" t="e">
        <f t="shared" si="44"/>
        <v>#VALUE!</v>
      </c>
      <c r="O324" s="16" t="str">
        <f t="shared" si="45"/>
        <v>Other</v>
      </c>
      <c r="P324" s="16" t="str">
        <f t="shared" si="49"/>
        <v/>
      </c>
      <c r="S324" s="27" t="str">
        <v/>
      </c>
      <c r="T324" s="18" t="str">
        <f>IFERROR( IF( COUNTIF($R$2:R324,R324)=1, IF(VALUE(R324)=0,"",VALUE(R324)), "" ), "" )</f>
        <v/>
      </c>
      <c r="U324" s="8" t="str">
        <f t="shared" si="50"/>
        <v/>
      </c>
      <c r="W324" s="19"/>
      <c r="X324" s="19"/>
    </row>
    <row r="325" spans="1:24" ht="25.05" customHeight="1" x14ac:dyDescent="0.45">
      <c r="A325" s="2"/>
      <c r="B325" s="2"/>
      <c r="C325" s="2"/>
      <c r="D325" s="3"/>
      <c r="E325" s="2"/>
      <c r="F325" s="2"/>
      <c r="G325" s="2"/>
      <c r="H325" s="2"/>
      <c r="K325" s="15" t="e">
        <f t="shared" si="46"/>
        <v>#VALUE!</v>
      </c>
      <c r="L325" s="15" t="e">
        <f t="shared" si="47"/>
        <v>#VALUE!</v>
      </c>
      <c r="M325" s="16" t="e">
        <f t="shared" si="48"/>
        <v>#VALUE!</v>
      </c>
      <c r="N325" s="16" t="e">
        <f t="shared" si="44"/>
        <v>#VALUE!</v>
      </c>
      <c r="O325" s="16" t="str">
        <f t="shared" si="45"/>
        <v>Other</v>
      </c>
      <c r="P325" s="16" t="str">
        <f t="shared" si="49"/>
        <v/>
      </c>
      <c r="S325" s="27" t="str">
        <v/>
      </c>
      <c r="T325" s="18" t="str">
        <f>IFERROR( IF( COUNTIF($R$2:R325,R325)=1, IF(VALUE(R325)=0,"",VALUE(R325)), "" ), "" )</f>
        <v/>
      </c>
      <c r="U325" s="8" t="str">
        <f t="shared" si="50"/>
        <v/>
      </c>
      <c r="W325" s="19"/>
      <c r="X325" s="19"/>
    </row>
    <row r="326" spans="1:24" ht="25.05" customHeight="1" x14ac:dyDescent="0.45">
      <c r="A326" s="2"/>
      <c r="B326" s="2"/>
      <c r="C326" s="2"/>
      <c r="D326" s="3"/>
      <c r="E326" s="2"/>
      <c r="F326" s="2"/>
      <c r="G326" s="2"/>
      <c r="H326" s="2"/>
      <c r="K326" s="15" t="e">
        <f t="shared" si="46"/>
        <v>#VALUE!</v>
      </c>
      <c r="L326" s="15" t="e">
        <f t="shared" si="47"/>
        <v>#VALUE!</v>
      </c>
      <c r="M326" s="16" t="e">
        <f t="shared" si="48"/>
        <v>#VALUE!</v>
      </c>
      <c r="N326" s="16" t="e">
        <f t="shared" si="44"/>
        <v>#VALUE!</v>
      </c>
      <c r="O326" s="16" t="str">
        <f t="shared" si="45"/>
        <v>Other</v>
      </c>
      <c r="P326" s="16" t="str">
        <f t="shared" si="49"/>
        <v/>
      </c>
      <c r="S326" s="27" t="str">
        <v/>
      </c>
      <c r="T326" s="18" t="str">
        <f>IFERROR( IF( COUNTIF($R$2:R326,R326)=1, IF(VALUE(R326)=0,"",VALUE(R326)), "" ), "" )</f>
        <v/>
      </c>
      <c r="U326" s="8" t="str">
        <f t="shared" si="50"/>
        <v/>
      </c>
      <c r="W326" s="19"/>
      <c r="X326" s="19"/>
    </row>
    <row r="327" spans="1:24" ht="25.05" customHeight="1" x14ac:dyDescent="0.45">
      <c r="A327" s="2"/>
      <c r="B327" s="2"/>
      <c r="C327" s="2"/>
      <c r="D327" s="3"/>
      <c r="E327" s="2"/>
      <c r="F327" s="2"/>
      <c r="G327" s="2"/>
      <c r="H327" s="2"/>
      <c r="K327" s="15" t="e">
        <f t="shared" si="46"/>
        <v>#VALUE!</v>
      </c>
      <c r="L327" s="15" t="e">
        <f t="shared" si="47"/>
        <v>#VALUE!</v>
      </c>
      <c r="M327" s="16" t="e">
        <f t="shared" si="48"/>
        <v>#VALUE!</v>
      </c>
      <c r="N327" s="16" t="e">
        <f t="shared" si="44"/>
        <v>#VALUE!</v>
      </c>
      <c r="O327" s="16" t="str">
        <f t="shared" si="45"/>
        <v>Other</v>
      </c>
      <c r="P327" s="16" t="str">
        <f t="shared" si="49"/>
        <v/>
      </c>
      <c r="S327" s="27" t="str">
        <v/>
      </c>
      <c r="T327" s="18" t="str">
        <f>IFERROR( IF( COUNTIF($R$2:R327,R327)=1, IF(VALUE(R327)=0,"",VALUE(R327)), "" ), "" )</f>
        <v/>
      </c>
      <c r="U327" s="8" t="str">
        <f t="shared" si="50"/>
        <v/>
      </c>
      <c r="W327" s="19"/>
      <c r="X327" s="19"/>
    </row>
    <row r="328" spans="1:24" ht="25.05" customHeight="1" x14ac:dyDescent="0.45">
      <c r="A328" s="2"/>
      <c r="B328" s="2"/>
      <c r="C328" s="2"/>
      <c r="D328" s="3"/>
      <c r="E328" s="2"/>
      <c r="F328" s="2"/>
      <c r="G328" s="2"/>
      <c r="H328" s="2"/>
      <c r="K328" s="15" t="e">
        <f t="shared" si="46"/>
        <v>#VALUE!</v>
      </c>
      <c r="L328" s="15" t="e">
        <f t="shared" si="47"/>
        <v>#VALUE!</v>
      </c>
      <c r="M328" s="16" t="e">
        <f t="shared" si="48"/>
        <v>#VALUE!</v>
      </c>
      <c r="N328" s="16" t="e">
        <f t="shared" si="44"/>
        <v>#VALUE!</v>
      </c>
      <c r="O328" s="16" t="str">
        <f t="shared" si="45"/>
        <v>Other</v>
      </c>
      <c r="P328" s="16" t="str">
        <f t="shared" si="49"/>
        <v/>
      </c>
      <c r="S328" s="27" t="str">
        <v/>
      </c>
      <c r="T328" s="18" t="str">
        <f>IFERROR( IF( COUNTIF($R$2:R328,R328)=1, IF(VALUE(R328)=0,"",VALUE(R328)), "" ), "" )</f>
        <v/>
      </c>
      <c r="U328" s="8" t="str">
        <f t="shared" si="50"/>
        <v/>
      </c>
      <c r="W328" s="19"/>
      <c r="X328" s="19"/>
    </row>
    <row r="329" spans="1:24" ht="25.05" customHeight="1" x14ac:dyDescent="0.45">
      <c r="A329" s="2"/>
      <c r="B329" s="2"/>
      <c r="C329" s="2"/>
      <c r="D329" s="3"/>
      <c r="E329" s="2"/>
      <c r="F329" s="2"/>
      <c r="G329" s="2"/>
      <c r="H329" s="2"/>
      <c r="K329" s="15" t="e">
        <f t="shared" si="46"/>
        <v>#VALUE!</v>
      </c>
      <c r="L329" s="15" t="e">
        <f t="shared" si="47"/>
        <v>#VALUE!</v>
      </c>
      <c r="M329" s="16" t="e">
        <f t="shared" si="48"/>
        <v>#VALUE!</v>
      </c>
      <c r="N329" s="16" t="e">
        <f t="shared" si="44"/>
        <v>#VALUE!</v>
      </c>
      <c r="O329" s="16" t="str">
        <f t="shared" si="45"/>
        <v>Other</v>
      </c>
      <c r="P329" s="16" t="str">
        <f t="shared" si="49"/>
        <v/>
      </c>
      <c r="S329" s="27" t="str">
        <v/>
      </c>
      <c r="T329" s="18" t="str">
        <f>IFERROR( IF( COUNTIF($R$2:R329,R329)=1, IF(VALUE(R329)=0,"",VALUE(R329)), "" ), "" )</f>
        <v/>
      </c>
      <c r="U329" s="8" t="str">
        <f t="shared" si="50"/>
        <v/>
      </c>
      <c r="W329" s="19"/>
      <c r="X329" s="19"/>
    </row>
    <row r="330" spans="1:24" ht="25.05" customHeight="1" x14ac:dyDescent="0.45">
      <c r="A330" s="2"/>
      <c r="B330" s="2"/>
      <c r="C330" s="2"/>
      <c r="D330" s="3"/>
      <c r="E330" s="2"/>
      <c r="F330" s="2"/>
      <c r="G330" s="2"/>
      <c r="H330" s="2"/>
      <c r="K330" s="15" t="e">
        <f t="shared" si="46"/>
        <v>#VALUE!</v>
      </c>
      <c r="L330" s="15" t="e">
        <f t="shared" si="47"/>
        <v>#VALUE!</v>
      </c>
      <c r="M330" s="16" t="e">
        <f t="shared" si="48"/>
        <v>#VALUE!</v>
      </c>
      <c r="N330" s="16" t="e">
        <f t="shared" si="44"/>
        <v>#VALUE!</v>
      </c>
      <c r="O330" s="16" t="str">
        <f t="shared" si="45"/>
        <v>Other</v>
      </c>
      <c r="P330" s="16" t="str">
        <f t="shared" si="49"/>
        <v/>
      </c>
      <c r="S330" s="27" t="str">
        <v/>
      </c>
      <c r="T330" s="18" t="str">
        <f>IFERROR( IF( COUNTIF($R$2:R330,R330)=1, IF(VALUE(R330)=0,"",VALUE(R330)), "" ), "" )</f>
        <v/>
      </c>
      <c r="U330" s="8" t="str">
        <f t="shared" si="50"/>
        <v/>
      </c>
      <c r="W330" s="19"/>
      <c r="X330" s="19"/>
    </row>
    <row r="331" spans="1:24" ht="25.05" customHeight="1" x14ac:dyDescent="0.45">
      <c r="A331" s="2"/>
      <c r="B331" s="2"/>
      <c r="C331" s="2"/>
      <c r="D331" s="3"/>
      <c r="E331" s="2"/>
      <c r="F331" s="2"/>
      <c r="G331" s="2"/>
      <c r="H331" s="2"/>
      <c r="K331" s="15" t="e">
        <f t="shared" si="46"/>
        <v>#VALUE!</v>
      </c>
      <c r="L331" s="15" t="e">
        <f t="shared" si="47"/>
        <v>#VALUE!</v>
      </c>
      <c r="M331" s="16" t="e">
        <f t="shared" si="48"/>
        <v>#VALUE!</v>
      </c>
      <c r="N331" s="16" t="e">
        <f t="shared" si="44"/>
        <v>#VALUE!</v>
      </c>
      <c r="O331" s="16" t="str">
        <f t="shared" si="45"/>
        <v>Other</v>
      </c>
      <c r="P331" s="16" t="str">
        <f t="shared" si="49"/>
        <v/>
      </c>
      <c r="S331" s="27" t="str">
        <v/>
      </c>
      <c r="T331" s="18" t="str">
        <f>IFERROR( IF( COUNTIF($R$2:R331,R331)=1, IF(VALUE(R331)=0,"",VALUE(R331)), "" ), "" )</f>
        <v/>
      </c>
      <c r="U331" s="8" t="str">
        <f t="shared" si="50"/>
        <v/>
      </c>
      <c r="W331" s="19"/>
      <c r="X331" s="19"/>
    </row>
    <row r="332" spans="1:24" ht="25.05" customHeight="1" x14ac:dyDescent="0.45">
      <c r="A332" s="2"/>
      <c r="B332" s="2"/>
      <c r="C332" s="2"/>
      <c r="D332" s="3"/>
      <c r="E332" s="2"/>
      <c r="F332" s="2"/>
      <c r="G332" s="2"/>
      <c r="H332" s="2"/>
      <c r="K332" s="15" t="e">
        <f t="shared" si="46"/>
        <v>#VALUE!</v>
      </c>
      <c r="L332" s="15" t="e">
        <f t="shared" si="47"/>
        <v>#VALUE!</v>
      </c>
      <c r="M332" s="16" t="e">
        <f t="shared" si="48"/>
        <v>#VALUE!</v>
      </c>
      <c r="N332" s="16" t="e">
        <f t="shared" si="44"/>
        <v>#VALUE!</v>
      </c>
      <c r="O332" s="16" t="str">
        <f t="shared" si="45"/>
        <v>Other</v>
      </c>
      <c r="P332" s="16" t="str">
        <f t="shared" si="49"/>
        <v/>
      </c>
      <c r="S332" s="27" t="str">
        <v/>
      </c>
      <c r="T332" s="18" t="str">
        <f>IFERROR( IF( COUNTIF($R$2:R332,R332)=1, IF(VALUE(R332)=0,"",VALUE(R332)), "" ), "" )</f>
        <v/>
      </c>
      <c r="U332" s="8" t="str">
        <f t="shared" si="50"/>
        <v/>
      </c>
      <c r="W332" s="19"/>
      <c r="X332" s="19"/>
    </row>
    <row r="333" spans="1:24" ht="25.05" customHeight="1" x14ac:dyDescent="0.45">
      <c r="A333" s="2"/>
      <c r="B333" s="2"/>
      <c r="C333" s="2"/>
      <c r="D333" s="3"/>
      <c r="E333" s="2"/>
      <c r="F333" s="2"/>
      <c r="G333" s="2"/>
      <c r="H333" s="2"/>
      <c r="K333" s="15" t="e">
        <f t="shared" si="46"/>
        <v>#VALUE!</v>
      </c>
      <c r="L333" s="15" t="e">
        <f t="shared" si="47"/>
        <v>#VALUE!</v>
      </c>
      <c r="M333" s="16" t="e">
        <f t="shared" si="48"/>
        <v>#VALUE!</v>
      </c>
      <c r="N333" s="16" t="e">
        <f t="shared" si="44"/>
        <v>#VALUE!</v>
      </c>
      <c r="O333" s="16" t="str">
        <f t="shared" si="45"/>
        <v>Other</v>
      </c>
      <c r="P333" s="16" t="str">
        <f t="shared" si="49"/>
        <v/>
      </c>
      <c r="S333" s="27" t="str">
        <v/>
      </c>
      <c r="T333" s="18" t="str">
        <f>IFERROR( IF( COUNTIF($R$2:R333,R333)=1, IF(VALUE(R333)=0,"",VALUE(R333)), "" ), "" )</f>
        <v/>
      </c>
      <c r="U333" s="8" t="str">
        <f t="shared" si="50"/>
        <v/>
      </c>
      <c r="W333" s="19"/>
      <c r="X333" s="19"/>
    </row>
    <row r="334" spans="1:24" ht="25.05" customHeight="1" x14ac:dyDescent="0.45">
      <c r="A334" s="2"/>
      <c r="B334" s="2"/>
      <c r="C334" s="2"/>
      <c r="D334" s="3"/>
      <c r="E334" s="2"/>
      <c r="F334" s="2"/>
      <c r="G334" s="2"/>
      <c r="H334" s="2"/>
      <c r="K334" s="15" t="e">
        <f t="shared" si="46"/>
        <v>#VALUE!</v>
      </c>
      <c r="L334" s="15" t="e">
        <f t="shared" si="47"/>
        <v>#VALUE!</v>
      </c>
      <c r="M334" s="16" t="e">
        <f t="shared" si="48"/>
        <v>#VALUE!</v>
      </c>
      <c r="N334" s="16" t="e">
        <f t="shared" si="44"/>
        <v>#VALUE!</v>
      </c>
      <c r="O334" s="16" t="str">
        <f t="shared" si="45"/>
        <v>Other</v>
      </c>
      <c r="P334" s="16" t="str">
        <f t="shared" si="49"/>
        <v/>
      </c>
      <c r="S334" s="27" t="str">
        <v/>
      </c>
      <c r="T334" s="18" t="str">
        <f>IFERROR( IF( COUNTIF($R$2:R334,R334)=1, IF(VALUE(R334)=0,"",VALUE(R334)), "" ), "" )</f>
        <v/>
      </c>
      <c r="U334" s="8" t="str">
        <f t="shared" si="50"/>
        <v/>
      </c>
      <c r="W334" s="19"/>
      <c r="X334" s="19"/>
    </row>
    <row r="335" spans="1:24" ht="25.05" customHeight="1" x14ac:dyDescent="0.45">
      <c r="A335" s="2"/>
      <c r="B335" s="2"/>
      <c r="C335" s="2"/>
      <c r="D335" s="3"/>
      <c r="E335" s="2"/>
      <c r="F335" s="2"/>
      <c r="G335" s="2"/>
      <c r="H335" s="2"/>
      <c r="K335" s="15" t="e">
        <f t="shared" si="46"/>
        <v>#VALUE!</v>
      </c>
      <c r="L335" s="15" t="e">
        <f t="shared" si="47"/>
        <v>#VALUE!</v>
      </c>
      <c r="M335" s="16" t="e">
        <f t="shared" si="48"/>
        <v>#VALUE!</v>
      </c>
      <c r="N335" s="16" t="e">
        <f t="shared" si="44"/>
        <v>#VALUE!</v>
      </c>
      <c r="O335" s="16" t="str">
        <f t="shared" si="45"/>
        <v>Other</v>
      </c>
      <c r="P335" s="16" t="str">
        <f t="shared" si="49"/>
        <v/>
      </c>
      <c r="S335" s="27" t="str">
        <v/>
      </c>
      <c r="T335" s="18" t="str">
        <f>IFERROR( IF( COUNTIF($R$2:R335,R335)=1, IF(VALUE(R335)=0,"",VALUE(R335)), "" ), "" )</f>
        <v/>
      </c>
      <c r="U335" s="8" t="str">
        <f t="shared" si="50"/>
        <v/>
      </c>
      <c r="W335" s="19"/>
      <c r="X335" s="19"/>
    </row>
    <row r="336" spans="1:24" ht="25.05" customHeight="1" x14ac:dyDescent="0.45">
      <c r="A336" s="2"/>
      <c r="B336" s="2"/>
      <c r="C336" s="2"/>
      <c r="D336" s="3"/>
      <c r="E336" s="2"/>
      <c r="F336" s="2"/>
      <c r="G336" s="2"/>
      <c r="H336" s="2"/>
      <c r="K336" s="15" t="e">
        <f t="shared" si="46"/>
        <v>#VALUE!</v>
      </c>
      <c r="L336" s="15" t="e">
        <f t="shared" si="47"/>
        <v>#VALUE!</v>
      </c>
      <c r="M336" s="16" t="e">
        <f t="shared" si="48"/>
        <v>#VALUE!</v>
      </c>
      <c r="N336" s="16" t="e">
        <f t="shared" si="44"/>
        <v>#VALUE!</v>
      </c>
      <c r="O336" s="16" t="str">
        <f t="shared" si="45"/>
        <v>Other</v>
      </c>
      <c r="P336" s="16" t="str">
        <f t="shared" si="49"/>
        <v/>
      </c>
      <c r="S336" s="27" t="str">
        <v/>
      </c>
      <c r="T336" s="18" t="str">
        <f>IFERROR( IF( COUNTIF($R$2:R336,R336)=1, IF(VALUE(R336)=0,"",VALUE(R336)), "" ), "" )</f>
        <v/>
      </c>
      <c r="U336" s="8" t="str">
        <f t="shared" si="50"/>
        <v/>
      </c>
      <c r="W336" s="19"/>
      <c r="X336" s="19"/>
    </row>
    <row r="337" spans="1:24" ht="25.05" customHeight="1" x14ac:dyDescent="0.45">
      <c r="A337" s="2"/>
      <c r="B337" s="2"/>
      <c r="C337" s="2"/>
      <c r="D337" s="3"/>
      <c r="E337" s="2"/>
      <c r="F337" s="2"/>
      <c r="G337" s="2"/>
      <c r="H337" s="2"/>
      <c r="K337" s="15" t="e">
        <f t="shared" si="46"/>
        <v>#VALUE!</v>
      </c>
      <c r="L337" s="15" t="e">
        <f t="shared" si="47"/>
        <v>#VALUE!</v>
      </c>
      <c r="M337" s="16" t="e">
        <f t="shared" si="48"/>
        <v>#VALUE!</v>
      </c>
      <c r="N337" s="16" t="e">
        <f t="shared" si="44"/>
        <v>#VALUE!</v>
      </c>
      <c r="O337" s="16" t="str">
        <f t="shared" si="45"/>
        <v>Other</v>
      </c>
      <c r="P337" s="16" t="str">
        <f t="shared" si="49"/>
        <v/>
      </c>
      <c r="S337" s="27" t="str">
        <v/>
      </c>
      <c r="T337" s="18" t="str">
        <f>IFERROR( IF( COUNTIF($R$2:R337,R337)=1, IF(VALUE(R337)=0,"",VALUE(R337)), "" ), "" )</f>
        <v/>
      </c>
      <c r="U337" s="8" t="str">
        <f t="shared" si="50"/>
        <v/>
      </c>
      <c r="W337" s="19"/>
      <c r="X337" s="19"/>
    </row>
    <row r="338" spans="1:24" ht="25.05" customHeight="1" x14ac:dyDescent="0.45">
      <c r="A338" s="2"/>
      <c r="B338" s="2"/>
      <c r="C338" s="2"/>
      <c r="D338" s="3"/>
      <c r="E338" s="2"/>
      <c r="F338" s="2"/>
      <c r="G338" s="2"/>
      <c r="H338" s="2"/>
      <c r="K338" s="15" t="e">
        <f t="shared" si="46"/>
        <v>#VALUE!</v>
      </c>
      <c r="L338" s="15" t="e">
        <f t="shared" si="47"/>
        <v>#VALUE!</v>
      </c>
      <c r="M338" s="16" t="e">
        <f t="shared" si="48"/>
        <v>#VALUE!</v>
      </c>
      <c r="N338" s="16" t="e">
        <f t="shared" si="44"/>
        <v>#VALUE!</v>
      </c>
      <c r="O338" s="16" t="str">
        <f t="shared" si="45"/>
        <v>Other</v>
      </c>
      <c r="P338" s="16" t="str">
        <f t="shared" si="49"/>
        <v/>
      </c>
      <c r="S338" s="27" t="str">
        <v/>
      </c>
      <c r="T338" s="18" t="str">
        <f>IFERROR( IF( COUNTIF($R$2:R338,R338)=1, IF(VALUE(R338)=0,"",VALUE(R338)), "" ), "" )</f>
        <v/>
      </c>
      <c r="U338" s="8" t="str">
        <f t="shared" si="50"/>
        <v/>
      </c>
      <c r="W338" s="19"/>
      <c r="X338" s="19"/>
    </row>
    <row r="339" spans="1:24" ht="25.05" customHeight="1" x14ac:dyDescent="0.45">
      <c r="A339" s="2"/>
      <c r="B339" s="2"/>
      <c r="C339" s="2"/>
      <c r="D339" s="3"/>
      <c r="E339" s="2"/>
      <c r="F339" s="2"/>
      <c r="G339" s="2"/>
      <c r="H339" s="2"/>
      <c r="K339" s="15" t="e">
        <f t="shared" si="46"/>
        <v>#VALUE!</v>
      </c>
      <c r="L339" s="15" t="e">
        <f t="shared" si="47"/>
        <v>#VALUE!</v>
      </c>
      <c r="M339" s="16" t="e">
        <f t="shared" si="48"/>
        <v>#VALUE!</v>
      </c>
      <c r="N339" s="16" t="e">
        <f t="shared" si="44"/>
        <v>#VALUE!</v>
      </c>
      <c r="O339" s="16" t="str">
        <f t="shared" si="45"/>
        <v>Other</v>
      </c>
      <c r="P339" s="16" t="str">
        <f t="shared" si="49"/>
        <v/>
      </c>
      <c r="S339" s="27" t="str">
        <v/>
      </c>
      <c r="T339" s="18" t="str">
        <f>IFERROR( IF( COUNTIF($R$2:R339,R339)=1, IF(VALUE(R339)=0,"",VALUE(R339)), "" ), "" )</f>
        <v/>
      </c>
      <c r="U339" s="8" t="str">
        <f t="shared" si="50"/>
        <v/>
      </c>
      <c r="W339" s="19"/>
      <c r="X339" s="19"/>
    </row>
    <row r="340" spans="1:24" ht="25.05" customHeight="1" x14ac:dyDescent="0.45">
      <c r="A340" s="2"/>
      <c r="B340" s="2"/>
      <c r="C340" s="2"/>
      <c r="D340" s="3"/>
      <c r="E340" s="2"/>
      <c r="F340" s="2"/>
      <c r="G340" s="2"/>
      <c r="H340" s="2"/>
      <c r="K340" s="15" t="e">
        <f t="shared" si="46"/>
        <v>#VALUE!</v>
      </c>
      <c r="L340" s="15" t="e">
        <f t="shared" si="47"/>
        <v>#VALUE!</v>
      </c>
      <c r="M340" s="16" t="e">
        <f t="shared" si="48"/>
        <v>#VALUE!</v>
      </c>
      <c r="N340" s="16" t="e">
        <f t="shared" si="44"/>
        <v>#VALUE!</v>
      </c>
      <c r="O340" s="16" t="str">
        <f t="shared" si="45"/>
        <v>Other</v>
      </c>
      <c r="P340" s="16" t="str">
        <f t="shared" si="49"/>
        <v/>
      </c>
      <c r="S340" s="27" t="str">
        <v/>
      </c>
      <c r="T340" s="18" t="str">
        <f>IFERROR( IF( COUNTIF($R$2:R340,R340)=1, IF(VALUE(R340)=0,"",VALUE(R340)), "" ), "" )</f>
        <v/>
      </c>
      <c r="U340" s="8" t="str">
        <f t="shared" si="50"/>
        <v/>
      </c>
      <c r="W340" s="19"/>
      <c r="X340" s="19"/>
    </row>
    <row r="341" spans="1:24" ht="25.05" customHeight="1" x14ac:dyDescent="0.45">
      <c r="A341" s="2"/>
      <c r="B341" s="2"/>
      <c r="C341" s="2"/>
      <c r="D341" s="3"/>
      <c r="E341" s="2"/>
      <c r="F341" s="2"/>
      <c r="G341" s="2"/>
      <c r="H341" s="2"/>
      <c r="K341" s="15" t="e">
        <f t="shared" si="46"/>
        <v>#VALUE!</v>
      </c>
      <c r="L341" s="15" t="e">
        <f t="shared" si="47"/>
        <v>#VALUE!</v>
      </c>
      <c r="M341" s="16" t="e">
        <f t="shared" si="48"/>
        <v>#VALUE!</v>
      </c>
      <c r="N341" s="16" t="e">
        <f t="shared" si="44"/>
        <v>#VALUE!</v>
      </c>
      <c r="O341" s="16" t="str">
        <f t="shared" si="45"/>
        <v>Other</v>
      </c>
      <c r="P341" s="16" t="str">
        <f t="shared" si="49"/>
        <v/>
      </c>
      <c r="S341" s="27" t="str">
        <v/>
      </c>
      <c r="T341" s="18" t="str">
        <f>IFERROR( IF( COUNTIF($R$2:R341,R341)=1, IF(VALUE(R341)=0,"",VALUE(R341)), "" ), "" )</f>
        <v/>
      </c>
      <c r="U341" s="8" t="str">
        <f t="shared" si="50"/>
        <v/>
      </c>
      <c r="W341" s="19"/>
      <c r="X341" s="19"/>
    </row>
    <row r="342" spans="1:24" ht="25.05" customHeight="1" x14ac:dyDescent="0.45">
      <c r="A342" s="2"/>
      <c r="B342" s="2"/>
      <c r="C342" s="2"/>
      <c r="D342" s="3"/>
      <c r="E342" s="2"/>
      <c r="F342" s="2"/>
      <c r="G342" s="2"/>
      <c r="H342" s="2"/>
      <c r="K342" s="15" t="e">
        <f t="shared" si="46"/>
        <v>#VALUE!</v>
      </c>
      <c r="L342" s="15" t="e">
        <f t="shared" si="47"/>
        <v>#VALUE!</v>
      </c>
      <c r="M342" s="16" t="e">
        <f t="shared" si="48"/>
        <v>#VALUE!</v>
      </c>
      <c r="N342" s="16" t="e">
        <f t="shared" si="44"/>
        <v>#VALUE!</v>
      </c>
      <c r="O342" s="16" t="str">
        <f t="shared" si="45"/>
        <v>Other</v>
      </c>
      <c r="P342" s="16" t="str">
        <f t="shared" si="49"/>
        <v/>
      </c>
      <c r="S342" s="27" t="str">
        <v/>
      </c>
      <c r="T342" s="18" t="str">
        <f>IFERROR( IF( COUNTIF($R$2:R342,R342)=1, IF(VALUE(R342)=0,"",VALUE(R342)), "" ), "" )</f>
        <v/>
      </c>
      <c r="U342" s="8" t="str">
        <f t="shared" si="50"/>
        <v/>
      </c>
      <c r="W342" s="19"/>
      <c r="X342" s="19"/>
    </row>
    <row r="343" spans="1:24" ht="25.05" customHeight="1" x14ac:dyDescent="0.45">
      <c r="A343" s="2"/>
      <c r="B343" s="2"/>
      <c r="C343" s="2"/>
      <c r="D343" s="3"/>
      <c r="E343" s="2"/>
      <c r="F343" s="2"/>
      <c r="G343" s="2"/>
      <c r="H343" s="2"/>
      <c r="K343" s="15" t="e">
        <f t="shared" si="46"/>
        <v>#VALUE!</v>
      </c>
      <c r="L343" s="15" t="e">
        <f t="shared" si="47"/>
        <v>#VALUE!</v>
      </c>
      <c r="M343" s="16" t="e">
        <f t="shared" si="48"/>
        <v>#VALUE!</v>
      </c>
      <c r="N343" s="16" t="e">
        <f t="shared" si="44"/>
        <v>#VALUE!</v>
      </c>
      <c r="O343" s="16" t="str">
        <f t="shared" si="45"/>
        <v>Other</v>
      </c>
      <c r="P343" s="16" t="str">
        <f t="shared" si="49"/>
        <v/>
      </c>
      <c r="S343" s="27" t="str">
        <v/>
      </c>
      <c r="T343" s="18" t="str">
        <f>IFERROR( IF( COUNTIF($R$2:R343,R343)=1, IF(VALUE(R343)=0,"",VALUE(R343)), "" ), "" )</f>
        <v/>
      </c>
      <c r="U343" s="8" t="str">
        <f t="shared" si="50"/>
        <v/>
      </c>
      <c r="W343" s="19"/>
      <c r="X343" s="19"/>
    </row>
    <row r="344" spans="1:24" ht="25.05" customHeight="1" x14ac:dyDescent="0.45">
      <c r="A344" s="2"/>
      <c r="B344" s="2"/>
      <c r="C344" s="2"/>
      <c r="D344" s="3"/>
      <c r="E344" s="2"/>
      <c r="F344" s="2"/>
      <c r="G344" s="2"/>
      <c r="H344" s="2"/>
      <c r="K344" s="15" t="e">
        <f t="shared" si="46"/>
        <v>#VALUE!</v>
      </c>
      <c r="L344" s="15" t="e">
        <f t="shared" si="47"/>
        <v>#VALUE!</v>
      </c>
      <c r="M344" s="16" t="e">
        <f t="shared" si="48"/>
        <v>#VALUE!</v>
      </c>
      <c r="N344" s="16" t="e">
        <f t="shared" si="44"/>
        <v>#VALUE!</v>
      </c>
      <c r="O344" s="16" t="str">
        <f t="shared" si="45"/>
        <v>Other</v>
      </c>
      <c r="P344" s="16" t="str">
        <f t="shared" si="49"/>
        <v/>
      </c>
      <c r="S344" s="27" t="str">
        <v/>
      </c>
      <c r="T344" s="18" t="str">
        <f>IFERROR( IF( COUNTIF($R$2:R344,R344)=1, IF(VALUE(R344)=0,"",VALUE(R344)), "" ), "" )</f>
        <v/>
      </c>
      <c r="U344" s="8" t="str">
        <f t="shared" si="50"/>
        <v/>
      </c>
      <c r="W344" s="19"/>
      <c r="X344" s="19"/>
    </row>
    <row r="345" spans="1:24" ht="25.05" customHeight="1" x14ac:dyDescent="0.45">
      <c r="A345" s="2"/>
      <c r="B345" s="2"/>
      <c r="C345" s="2"/>
      <c r="D345" s="3"/>
      <c r="E345" s="2"/>
      <c r="F345" s="2"/>
      <c r="G345" s="2"/>
      <c r="H345" s="2"/>
      <c r="K345" s="15" t="e">
        <f t="shared" si="46"/>
        <v>#VALUE!</v>
      </c>
      <c r="L345" s="15" t="e">
        <f t="shared" si="47"/>
        <v>#VALUE!</v>
      </c>
      <c r="M345" s="16" t="e">
        <f t="shared" si="48"/>
        <v>#VALUE!</v>
      </c>
      <c r="N345" s="16" t="e">
        <f t="shared" si="44"/>
        <v>#VALUE!</v>
      </c>
      <c r="O345" s="16" t="str">
        <f t="shared" si="45"/>
        <v>Other</v>
      </c>
      <c r="P345" s="16" t="str">
        <f t="shared" si="49"/>
        <v/>
      </c>
      <c r="S345" s="27" t="str">
        <v/>
      </c>
      <c r="T345" s="18" t="str">
        <f>IFERROR( IF( COUNTIF($R$2:R345,R345)=1, IF(VALUE(R345)=0,"",VALUE(R345)), "" ), "" )</f>
        <v/>
      </c>
      <c r="U345" s="8" t="str">
        <f t="shared" si="50"/>
        <v/>
      </c>
      <c r="W345" s="19"/>
      <c r="X345" s="19"/>
    </row>
    <row r="346" spans="1:24" ht="25.05" customHeight="1" x14ac:dyDescent="0.45">
      <c r="A346" s="2"/>
      <c r="B346" s="2"/>
      <c r="C346" s="2"/>
      <c r="D346" s="3"/>
      <c r="E346" s="2"/>
      <c r="F346" s="2"/>
      <c r="G346" s="2"/>
      <c r="H346" s="2"/>
      <c r="K346" s="15" t="e">
        <f t="shared" si="46"/>
        <v>#VALUE!</v>
      </c>
      <c r="L346" s="15" t="e">
        <f t="shared" si="47"/>
        <v>#VALUE!</v>
      </c>
      <c r="M346" s="16" t="e">
        <f t="shared" si="48"/>
        <v>#VALUE!</v>
      </c>
      <c r="N346" s="16" t="e">
        <f t="shared" si="44"/>
        <v>#VALUE!</v>
      </c>
      <c r="O346" s="16" t="str">
        <f t="shared" si="45"/>
        <v>Other</v>
      </c>
      <c r="P346" s="16" t="str">
        <f t="shared" si="49"/>
        <v/>
      </c>
      <c r="S346" s="27" t="str">
        <v/>
      </c>
      <c r="T346" s="18" t="str">
        <f>IFERROR( IF( COUNTIF($R$2:R346,R346)=1, IF(VALUE(R346)=0,"",VALUE(R346)), "" ), "" )</f>
        <v/>
      </c>
      <c r="U346" s="8" t="str">
        <f t="shared" si="50"/>
        <v/>
      </c>
      <c r="W346" s="19"/>
      <c r="X346" s="19"/>
    </row>
    <row r="347" spans="1:24" ht="25.05" customHeight="1" x14ac:dyDescent="0.45">
      <c r="A347" s="2"/>
      <c r="B347" s="2"/>
      <c r="C347" s="2"/>
      <c r="D347" s="3"/>
      <c r="E347" s="2"/>
      <c r="F347" s="2"/>
      <c r="G347" s="2"/>
      <c r="H347" s="2"/>
      <c r="K347" s="15" t="e">
        <f t="shared" si="46"/>
        <v>#VALUE!</v>
      </c>
      <c r="L347" s="15" t="e">
        <f t="shared" si="47"/>
        <v>#VALUE!</v>
      </c>
      <c r="M347" s="16" t="e">
        <f t="shared" si="48"/>
        <v>#VALUE!</v>
      </c>
      <c r="N347" s="16" t="e">
        <f t="shared" si="44"/>
        <v>#VALUE!</v>
      </c>
      <c r="O347" s="16" t="str">
        <f t="shared" si="45"/>
        <v>Other</v>
      </c>
      <c r="P347" s="16" t="str">
        <f t="shared" si="49"/>
        <v/>
      </c>
      <c r="S347" s="27" t="str">
        <v/>
      </c>
      <c r="T347" s="18" t="str">
        <f>IFERROR( IF( COUNTIF($R$2:R347,R347)=1, IF(VALUE(R347)=0,"",VALUE(R347)), "" ), "" )</f>
        <v/>
      </c>
      <c r="U347" s="8" t="str">
        <f t="shared" si="50"/>
        <v/>
      </c>
      <c r="W347" s="19"/>
      <c r="X347" s="19"/>
    </row>
    <row r="348" spans="1:24" ht="25.05" customHeight="1" x14ac:dyDescent="0.45">
      <c r="A348" s="2"/>
      <c r="B348" s="2"/>
      <c r="C348" s="2"/>
      <c r="D348" s="3"/>
      <c r="E348" s="2"/>
      <c r="F348" s="2"/>
      <c r="G348" s="2"/>
      <c r="H348" s="2"/>
      <c r="K348" s="15" t="e">
        <f t="shared" si="46"/>
        <v>#VALUE!</v>
      </c>
      <c r="L348" s="15" t="e">
        <f t="shared" si="47"/>
        <v>#VALUE!</v>
      </c>
      <c r="M348" s="16" t="e">
        <f t="shared" si="48"/>
        <v>#VALUE!</v>
      </c>
      <c r="N348" s="16" t="e">
        <f t="shared" si="44"/>
        <v>#VALUE!</v>
      </c>
      <c r="O348" s="16" t="str">
        <f t="shared" si="45"/>
        <v>Other</v>
      </c>
      <c r="P348" s="16" t="str">
        <f t="shared" si="49"/>
        <v/>
      </c>
      <c r="S348" s="27" t="str">
        <v/>
      </c>
      <c r="T348" s="18" t="str">
        <f>IFERROR( IF( COUNTIF($R$2:R348,R348)=1, IF(VALUE(R348)=0,"",VALUE(R348)), "" ), "" )</f>
        <v/>
      </c>
      <c r="U348" s="8" t="str">
        <f t="shared" si="50"/>
        <v/>
      </c>
      <c r="W348" s="19"/>
      <c r="X348" s="19"/>
    </row>
    <row r="349" spans="1:24" ht="25.05" customHeight="1" x14ac:dyDescent="0.45">
      <c r="A349" s="2"/>
      <c r="B349" s="2"/>
      <c r="C349" s="2"/>
      <c r="D349" s="3"/>
      <c r="E349" s="2"/>
      <c r="F349" s="2"/>
      <c r="G349" s="2"/>
      <c r="H349" s="2"/>
      <c r="K349" s="15" t="e">
        <f t="shared" si="46"/>
        <v>#VALUE!</v>
      </c>
      <c r="L349" s="15" t="e">
        <f t="shared" si="47"/>
        <v>#VALUE!</v>
      </c>
      <c r="M349" s="16" t="e">
        <f t="shared" si="48"/>
        <v>#VALUE!</v>
      </c>
      <c r="N349" s="16" t="e">
        <f t="shared" si="44"/>
        <v>#VALUE!</v>
      </c>
      <c r="O349" s="16" t="str">
        <f t="shared" si="45"/>
        <v>Other</v>
      </c>
      <c r="P349" s="16" t="str">
        <f t="shared" si="49"/>
        <v/>
      </c>
      <c r="S349" s="27" t="str">
        <v/>
      </c>
      <c r="T349" s="18" t="str">
        <f>IFERROR( IF( COUNTIF($R$2:R349,R349)=1, IF(VALUE(R349)=0,"",VALUE(R349)), "" ), "" )</f>
        <v/>
      </c>
      <c r="U349" s="8" t="str">
        <f t="shared" si="50"/>
        <v/>
      </c>
      <c r="W349" s="19"/>
      <c r="X349" s="19"/>
    </row>
    <row r="350" spans="1:24" ht="25.05" customHeight="1" x14ac:dyDescent="0.45">
      <c r="A350" s="2"/>
      <c r="B350" s="2"/>
      <c r="C350" s="2"/>
      <c r="D350" s="3"/>
      <c r="E350" s="2"/>
      <c r="F350" s="2"/>
      <c r="G350" s="2"/>
      <c r="H350" s="2"/>
      <c r="K350" s="15" t="e">
        <f t="shared" si="46"/>
        <v>#VALUE!</v>
      </c>
      <c r="L350" s="15" t="e">
        <f t="shared" si="47"/>
        <v>#VALUE!</v>
      </c>
      <c r="M350" s="16" t="e">
        <f t="shared" si="48"/>
        <v>#VALUE!</v>
      </c>
      <c r="N350" s="16" t="e">
        <f t="shared" si="44"/>
        <v>#VALUE!</v>
      </c>
      <c r="O350" s="16" t="str">
        <f t="shared" si="45"/>
        <v>Other</v>
      </c>
      <c r="P350" s="16" t="str">
        <f t="shared" si="49"/>
        <v/>
      </c>
      <c r="S350" s="27" t="str">
        <v/>
      </c>
      <c r="T350" s="18" t="str">
        <f>IFERROR( IF( COUNTIF($R$2:R350,R350)=1, IF(VALUE(R350)=0,"",VALUE(R350)), "" ), "" )</f>
        <v/>
      </c>
      <c r="U350" s="8" t="str">
        <f t="shared" si="50"/>
        <v/>
      </c>
      <c r="W350" s="19"/>
      <c r="X350" s="19"/>
    </row>
    <row r="351" spans="1:24" ht="25.05" customHeight="1" x14ac:dyDescent="0.45">
      <c r="A351" s="2"/>
      <c r="B351" s="2"/>
      <c r="C351" s="2"/>
      <c r="D351" s="3"/>
      <c r="E351" s="2"/>
      <c r="F351" s="2"/>
      <c r="G351" s="2"/>
      <c r="H351" s="2"/>
      <c r="K351" s="15" t="e">
        <f t="shared" si="46"/>
        <v>#VALUE!</v>
      </c>
      <c r="L351" s="15" t="e">
        <f t="shared" si="47"/>
        <v>#VALUE!</v>
      </c>
      <c r="M351" s="16" t="e">
        <f t="shared" si="48"/>
        <v>#VALUE!</v>
      </c>
      <c r="N351" s="16" t="e">
        <f t="shared" si="44"/>
        <v>#VALUE!</v>
      </c>
      <c r="O351" s="16" t="str">
        <f t="shared" si="45"/>
        <v>Other</v>
      </c>
      <c r="P351" s="16" t="str">
        <f t="shared" si="49"/>
        <v/>
      </c>
      <c r="S351" s="27" t="str">
        <v/>
      </c>
      <c r="T351" s="18" t="str">
        <f>IFERROR( IF( COUNTIF($R$2:R351,R351)=1, IF(VALUE(R351)=0,"",VALUE(R351)), "" ), "" )</f>
        <v/>
      </c>
      <c r="U351" s="8" t="str">
        <f t="shared" si="50"/>
        <v/>
      </c>
      <c r="W351" s="19"/>
      <c r="X351" s="19"/>
    </row>
    <row r="352" spans="1:24" ht="25.05" customHeight="1" x14ac:dyDescent="0.45">
      <c r="A352" s="2"/>
      <c r="B352" s="2"/>
      <c r="C352" s="2"/>
      <c r="D352" s="3"/>
      <c r="E352" s="2"/>
      <c r="F352" s="2"/>
      <c r="G352" s="2"/>
      <c r="H352" s="2"/>
      <c r="K352" s="15" t="e">
        <f t="shared" si="46"/>
        <v>#VALUE!</v>
      </c>
      <c r="L352" s="15" t="e">
        <f t="shared" si="47"/>
        <v>#VALUE!</v>
      </c>
      <c r="M352" s="16" t="e">
        <f t="shared" si="48"/>
        <v>#VALUE!</v>
      </c>
      <c r="N352" s="16" t="e">
        <f t="shared" si="44"/>
        <v>#VALUE!</v>
      </c>
      <c r="O352" s="16" t="str">
        <f t="shared" si="45"/>
        <v>Other</v>
      </c>
      <c r="P352" s="16" t="str">
        <f t="shared" si="49"/>
        <v/>
      </c>
      <c r="S352" s="27" t="str">
        <v/>
      </c>
      <c r="T352" s="18" t="str">
        <f>IFERROR( IF( COUNTIF($R$2:R352,R352)=1, IF(VALUE(R352)=0,"",VALUE(R352)), "" ), "" )</f>
        <v/>
      </c>
      <c r="U352" s="8" t="str">
        <f t="shared" si="50"/>
        <v/>
      </c>
      <c r="W352" s="19"/>
      <c r="X352" s="19"/>
    </row>
    <row r="353" spans="1:24" ht="25.05" customHeight="1" x14ac:dyDescent="0.45">
      <c r="A353" s="2"/>
      <c r="B353" s="2"/>
      <c r="C353" s="2"/>
      <c r="D353" s="3"/>
      <c r="E353" s="2"/>
      <c r="F353" s="2"/>
      <c r="G353" s="2"/>
      <c r="H353" s="2"/>
      <c r="K353" s="15" t="e">
        <f t="shared" si="46"/>
        <v>#VALUE!</v>
      </c>
      <c r="L353" s="15" t="e">
        <f t="shared" si="47"/>
        <v>#VALUE!</v>
      </c>
      <c r="M353" s="16" t="e">
        <f t="shared" si="48"/>
        <v>#VALUE!</v>
      </c>
      <c r="N353" s="16" t="e">
        <f t="shared" si="44"/>
        <v>#VALUE!</v>
      </c>
      <c r="O353" s="16" t="str">
        <f t="shared" si="45"/>
        <v>Other</v>
      </c>
      <c r="P353" s="16" t="str">
        <f t="shared" si="49"/>
        <v/>
      </c>
      <c r="S353" s="27" t="str">
        <v/>
      </c>
      <c r="T353" s="18" t="str">
        <f>IFERROR( IF( COUNTIF($R$2:R353,R353)=1, IF(VALUE(R353)=0,"",VALUE(R353)), "" ), "" )</f>
        <v/>
      </c>
      <c r="U353" s="8" t="str">
        <f t="shared" si="50"/>
        <v/>
      </c>
      <c r="W353" s="19"/>
      <c r="X353" s="19"/>
    </row>
    <row r="354" spans="1:24" ht="25.05" customHeight="1" x14ac:dyDescent="0.45">
      <c r="A354" s="2"/>
      <c r="B354" s="2"/>
      <c r="C354" s="2"/>
      <c r="D354" s="3"/>
      <c r="E354" s="2"/>
      <c r="F354" s="2"/>
      <c r="G354" s="2"/>
      <c r="H354" s="2"/>
      <c r="K354" s="15" t="e">
        <f t="shared" si="46"/>
        <v>#VALUE!</v>
      </c>
      <c r="L354" s="15" t="e">
        <f t="shared" si="47"/>
        <v>#VALUE!</v>
      </c>
      <c r="M354" s="16" t="e">
        <f t="shared" si="48"/>
        <v>#VALUE!</v>
      </c>
      <c r="N354" s="16" t="e">
        <f t="shared" ref="N354:N417" si="51">K354 &amp; " &lt;&gt; " &amp; L354</f>
        <v>#VALUE!</v>
      </c>
      <c r="O354" s="16" t="str">
        <f t="shared" si="45"/>
        <v>Other</v>
      </c>
      <c r="P354" s="16" t="str">
        <f t="shared" si="49"/>
        <v/>
      </c>
      <c r="S354" s="27" t="str">
        <v/>
      </c>
      <c r="T354" s="18" t="str">
        <f>IFERROR( IF( COUNTIF($R$2:R354,R354)=1, IF(VALUE(R354)=0,"",VALUE(R354)), "" ), "" )</f>
        <v/>
      </c>
      <c r="U354" s="8" t="str">
        <f t="shared" si="50"/>
        <v/>
      </c>
      <c r="W354" s="19"/>
      <c r="X354" s="19"/>
    </row>
    <row r="355" spans="1:24" ht="25.05" customHeight="1" x14ac:dyDescent="0.45">
      <c r="A355" s="2"/>
      <c r="B355" s="2"/>
      <c r="C355" s="2"/>
      <c r="D355" s="3"/>
      <c r="E355" s="2"/>
      <c r="F355" s="2"/>
      <c r="G355" s="2"/>
      <c r="H355" s="2"/>
      <c r="K355" s="15" t="e">
        <f t="shared" si="46"/>
        <v>#VALUE!</v>
      </c>
      <c r="L355" s="15" t="e">
        <f t="shared" si="47"/>
        <v>#VALUE!</v>
      </c>
      <c r="M355" s="16" t="e">
        <f t="shared" si="48"/>
        <v>#VALUE!</v>
      </c>
      <c r="N355" s="16" t="e">
        <f t="shared" si="51"/>
        <v>#VALUE!</v>
      </c>
      <c r="O355" s="16" t="str">
        <f t="shared" si="45"/>
        <v>Other</v>
      </c>
      <c r="P355" s="16" t="str">
        <f t="shared" si="49"/>
        <v/>
      </c>
      <c r="S355" s="27" t="str">
        <v/>
      </c>
      <c r="T355" s="18" t="str">
        <f>IFERROR( IF( COUNTIF($R$2:R355,R355)=1, IF(VALUE(R355)=0,"",VALUE(R355)), "" ), "" )</f>
        <v/>
      </c>
      <c r="U355" s="8" t="str">
        <f t="shared" si="50"/>
        <v/>
      </c>
      <c r="W355" s="19"/>
      <c r="X355" s="19"/>
    </row>
    <row r="356" spans="1:24" ht="25.05" customHeight="1" x14ac:dyDescent="0.45">
      <c r="A356" s="2"/>
      <c r="B356" s="2"/>
      <c r="C356" s="2"/>
      <c r="D356" s="3"/>
      <c r="E356" s="2"/>
      <c r="F356" s="2"/>
      <c r="G356" s="2"/>
      <c r="H356" s="2"/>
      <c r="K356" s="15" t="e">
        <f t="shared" si="46"/>
        <v>#VALUE!</v>
      </c>
      <c r="L356" s="15" t="e">
        <f t="shared" si="47"/>
        <v>#VALUE!</v>
      </c>
      <c r="M356" s="16" t="e">
        <f t="shared" si="48"/>
        <v>#VALUE!</v>
      </c>
      <c r="N356" s="16" t="e">
        <f t="shared" si="51"/>
        <v>#VALUE!</v>
      </c>
      <c r="O356" s="16" t="str">
        <f t="shared" si="45"/>
        <v>Other</v>
      </c>
      <c r="P356" s="16" t="str">
        <f t="shared" si="49"/>
        <v/>
      </c>
      <c r="S356" s="27" t="str">
        <v/>
      </c>
      <c r="T356" s="18" t="str">
        <f>IFERROR( IF( COUNTIF($R$2:R356,R356)=1, IF(VALUE(R356)=0,"",VALUE(R356)), "" ), "" )</f>
        <v/>
      </c>
      <c r="U356" s="8" t="str">
        <f t="shared" si="50"/>
        <v/>
      </c>
      <c r="W356" s="19"/>
      <c r="X356" s="19"/>
    </row>
    <row r="357" spans="1:24" ht="25.05" customHeight="1" x14ac:dyDescent="0.45">
      <c r="A357" s="2"/>
      <c r="B357" s="2"/>
      <c r="C357" s="2"/>
      <c r="D357" s="3"/>
      <c r="E357" s="2"/>
      <c r="F357" s="2"/>
      <c r="G357" s="2"/>
      <c r="H357" s="2"/>
      <c r="K357" s="15" t="e">
        <f t="shared" si="46"/>
        <v>#VALUE!</v>
      </c>
      <c r="L357" s="15" t="e">
        <f t="shared" si="47"/>
        <v>#VALUE!</v>
      </c>
      <c r="M357" s="16" t="e">
        <f t="shared" si="48"/>
        <v>#VALUE!</v>
      </c>
      <c r="N357" s="16" t="e">
        <f t="shared" si="51"/>
        <v>#VALUE!</v>
      </c>
      <c r="O357" s="16" t="str">
        <f t="shared" si="45"/>
        <v>Other</v>
      </c>
      <c r="P357" s="16" t="str">
        <f t="shared" si="49"/>
        <v/>
      </c>
      <c r="S357" s="27" t="str">
        <v/>
      </c>
      <c r="T357" s="18" t="str">
        <f>IFERROR( IF( COUNTIF($R$2:R357,R357)=1, IF(VALUE(R357)=0,"",VALUE(R357)), "" ), "" )</f>
        <v/>
      </c>
      <c r="U357" s="8" t="str">
        <f t="shared" si="50"/>
        <v/>
      </c>
      <c r="W357" s="19"/>
      <c r="X357" s="19"/>
    </row>
    <row r="358" spans="1:24" ht="25.05" customHeight="1" x14ac:dyDescent="0.45">
      <c r="A358" s="2"/>
      <c r="B358" s="2"/>
      <c r="C358" s="2"/>
      <c r="D358" s="3"/>
      <c r="E358" s="2"/>
      <c r="F358" s="2"/>
      <c r="G358" s="2"/>
      <c r="H358" s="2"/>
      <c r="K358" s="15" t="e">
        <f t="shared" si="46"/>
        <v>#VALUE!</v>
      </c>
      <c r="L358" s="15" t="e">
        <f t="shared" si="47"/>
        <v>#VALUE!</v>
      </c>
      <c r="M358" s="16" t="e">
        <f t="shared" si="48"/>
        <v>#VALUE!</v>
      </c>
      <c r="N358" s="16" t="e">
        <f t="shared" si="51"/>
        <v>#VALUE!</v>
      </c>
      <c r="O358" s="16" t="str">
        <f t="shared" ref="O358:O421" si="52">IF(LEFT(E358, 6)="TenGig", "10G (Ten Gig)", IF(LEFT(E358, 10)="HundredGig", "100G (Hundred Gig)", "Other"))</f>
        <v>Other</v>
      </c>
      <c r="P358" s="16" t="str">
        <f t="shared" si="49"/>
        <v/>
      </c>
      <c r="S358" s="27" t="str">
        <v/>
      </c>
      <c r="T358" s="18" t="str">
        <f>IFERROR( IF( COUNTIF($R$2:R358,R358)=1, IF(VALUE(R358)=0,"",VALUE(R358)), "" ), "" )</f>
        <v/>
      </c>
      <c r="U358" s="8" t="str">
        <f t="shared" si="50"/>
        <v/>
      </c>
      <c r="W358" s="19"/>
      <c r="X358" s="19"/>
    </row>
    <row r="359" spans="1:24" ht="25.05" customHeight="1" x14ac:dyDescent="0.45">
      <c r="A359" s="2"/>
      <c r="B359" s="2"/>
      <c r="C359" s="2"/>
      <c r="D359" s="3"/>
      <c r="E359" s="2"/>
      <c r="F359" s="2"/>
      <c r="G359" s="2"/>
      <c r="H359" s="2"/>
      <c r="K359" s="15" t="e">
        <f t="shared" ref="K359:K422" si="53">LEFT(A359, FIND("-", A359)-1)</f>
        <v>#VALUE!</v>
      </c>
      <c r="L359" s="15" t="e">
        <f t="shared" si="47"/>
        <v>#VALUE!</v>
      </c>
      <c r="M359" s="16" t="e">
        <f t="shared" si="48"/>
        <v>#VALUE!</v>
      </c>
      <c r="N359" s="16" t="e">
        <f t="shared" si="51"/>
        <v>#VALUE!</v>
      </c>
      <c r="O359" s="16" t="str">
        <f t="shared" si="52"/>
        <v>Other</v>
      </c>
      <c r="P359" s="16" t="str">
        <f t="shared" si="49"/>
        <v/>
      </c>
      <c r="S359" s="27" t="str">
        <v/>
      </c>
      <c r="T359" s="18" t="str">
        <f>IFERROR( IF( COUNTIF($R$2:R359,R359)=1, IF(VALUE(R359)=0,"",VALUE(R359)), "" ), "" )</f>
        <v/>
      </c>
      <c r="U359" s="8" t="str">
        <f t="shared" si="50"/>
        <v/>
      </c>
      <c r="W359" s="19"/>
      <c r="X359" s="19"/>
    </row>
    <row r="360" spans="1:24" ht="25.05" customHeight="1" x14ac:dyDescent="0.45">
      <c r="A360" s="2"/>
      <c r="B360" s="2"/>
      <c r="C360" s="2"/>
      <c r="D360" s="3"/>
      <c r="E360" s="2"/>
      <c r="F360" s="2"/>
      <c r="G360" s="2"/>
      <c r="H360" s="2"/>
      <c r="K360" s="15" t="e">
        <f t="shared" si="53"/>
        <v>#VALUE!</v>
      </c>
      <c r="L360" s="15" t="e">
        <f t="shared" si="47"/>
        <v>#VALUE!</v>
      </c>
      <c r="M360" s="16" t="e">
        <f t="shared" si="48"/>
        <v>#VALUE!</v>
      </c>
      <c r="N360" s="16" t="e">
        <f t="shared" si="51"/>
        <v>#VALUE!</v>
      </c>
      <c r="O360" s="16" t="str">
        <f t="shared" si="52"/>
        <v>Other</v>
      </c>
      <c r="P360" s="16" t="str">
        <f t="shared" si="49"/>
        <v/>
      </c>
      <c r="S360" s="27" t="str">
        <v/>
      </c>
      <c r="T360" s="18" t="str">
        <f>IFERROR( IF( COUNTIF($R$2:R360,R360)=1, IF(VALUE(R360)=0,"",VALUE(R360)), "" ), "" )</f>
        <v/>
      </c>
      <c r="U360" s="8" t="str">
        <f t="shared" si="50"/>
        <v/>
      </c>
      <c r="W360" s="19"/>
      <c r="X360" s="19"/>
    </row>
    <row r="361" spans="1:24" ht="25.05" customHeight="1" x14ac:dyDescent="0.45">
      <c r="A361" s="2"/>
      <c r="B361" s="2"/>
      <c r="C361" s="2"/>
      <c r="D361" s="3"/>
      <c r="E361" s="2"/>
      <c r="F361" s="2"/>
      <c r="G361" s="2"/>
      <c r="H361" s="2"/>
      <c r="K361" s="15" t="e">
        <f t="shared" si="53"/>
        <v>#VALUE!</v>
      </c>
      <c r="L361" s="15" t="e">
        <f t="shared" ref="L361:L424" si="54">LEFT(C361, FIND("-", C361)-1)</f>
        <v>#VALUE!</v>
      </c>
      <c r="M361" s="16" t="e">
        <f t="shared" si="48"/>
        <v>#VALUE!</v>
      </c>
      <c r="N361" s="16" t="e">
        <f t="shared" si="51"/>
        <v>#VALUE!</v>
      </c>
      <c r="O361" s="16" t="str">
        <f t="shared" si="52"/>
        <v>Other</v>
      </c>
      <c r="P361" s="16" t="str">
        <f t="shared" si="49"/>
        <v/>
      </c>
      <c r="S361" s="27" t="str">
        <v/>
      </c>
      <c r="T361" s="18" t="str">
        <f>IFERROR( IF( COUNTIF($R$2:R361,R361)=1, IF(VALUE(R361)=0,"",VALUE(R361)), "" ), "" )</f>
        <v/>
      </c>
      <c r="U361" s="8" t="str">
        <f t="shared" si="50"/>
        <v/>
      </c>
      <c r="W361" s="19"/>
      <c r="X361" s="19"/>
    </row>
    <row r="362" spans="1:24" ht="25.05" customHeight="1" x14ac:dyDescent="0.45">
      <c r="A362" s="2"/>
      <c r="B362" s="2"/>
      <c r="C362" s="2"/>
      <c r="D362" s="3"/>
      <c r="E362" s="2"/>
      <c r="F362" s="2"/>
      <c r="G362" s="2"/>
      <c r="H362" s="2"/>
      <c r="K362" s="15" t="e">
        <f t="shared" si="53"/>
        <v>#VALUE!</v>
      </c>
      <c r="L362" s="15" t="e">
        <f t="shared" si="54"/>
        <v>#VALUE!</v>
      </c>
      <c r="M362" s="16" t="e">
        <f t="shared" si="48"/>
        <v>#VALUE!</v>
      </c>
      <c r="N362" s="16" t="e">
        <f t="shared" si="51"/>
        <v>#VALUE!</v>
      </c>
      <c r="O362" s="16" t="str">
        <f t="shared" si="52"/>
        <v>Other</v>
      </c>
      <c r="P362" s="16" t="str">
        <f t="shared" si="49"/>
        <v/>
      </c>
      <c r="S362" s="27" t="str">
        <v/>
      </c>
      <c r="T362" s="18" t="str">
        <f>IFERROR( IF( COUNTIF($R$2:R362,R362)=1, IF(VALUE(R362)=0,"",VALUE(R362)), "" ), "" )</f>
        <v/>
      </c>
      <c r="U362" s="8" t="str">
        <f t="shared" si="50"/>
        <v/>
      </c>
      <c r="W362" s="19"/>
      <c r="X362" s="19"/>
    </row>
    <row r="363" spans="1:24" ht="25.05" customHeight="1" x14ac:dyDescent="0.45">
      <c r="A363" s="2"/>
      <c r="B363" s="2"/>
      <c r="C363" s="2"/>
      <c r="D363" s="3"/>
      <c r="E363" s="2"/>
      <c r="F363" s="2"/>
      <c r="G363" s="2"/>
      <c r="H363" s="2"/>
      <c r="K363" s="15" t="e">
        <f t="shared" si="53"/>
        <v>#VALUE!</v>
      </c>
      <c r="L363" s="15" t="e">
        <f t="shared" si="54"/>
        <v>#VALUE!</v>
      </c>
      <c r="M363" s="16" t="e">
        <f t="shared" si="48"/>
        <v>#VALUE!</v>
      </c>
      <c r="N363" s="16" t="e">
        <f t="shared" si="51"/>
        <v>#VALUE!</v>
      </c>
      <c r="O363" s="16" t="str">
        <f t="shared" si="52"/>
        <v>Other</v>
      </c>
      <c r="P363" s="16" t="str">
        <f t="shared" si="49"/>
        <v/>
      </c>
      <c r="S363" s="27" t="str">
        <v/>
      </c>
      <c r="T363" s="18" t="str">
        <f>IFERROR( IF( COUNTIF($R$2:R363,R363)=1, IF(VALUE(R363)=0,"",VALUE(R363)), "" ), "" )</f>
        <v/>
      </c>
      <c r="U363" s="8" t="str">
        <f t="shared" si="50"/>
        <v/>
      </c>
      <c r="W363" s="19"/>
      <c r="X363" s="19"/>
    </row>
    <row r="364" spans="1:24" ht="25.05" customHeight="1" x14ac:dyDescent="0.45">
      <c r="A364" s="2"/>
      <c r="B364" s="2"/>
      <c r="C364" s="2"/>
      <c r="D364" s="3"/>
      <c r="E364" s="2"/>
      <c r="F364" s="2"/>
      <c r="G364" s="2"/>
      <c r="H364" s="2"/>
      <c r="K364" s="15" t="e">
        <f t="shared" si="53"/>
        <v>#VALUE!</v>
      </c>
      <c r="L364" s="15" t="e">
        <f t="shared" si="54"/>
        <v>#VALUE!</v>
      </c>
      <c r="M364" s="16" t="e">
        <f t="shared" si="48"/>
        <v>#VALUE!</v>
      </c>
      <c r="N364" s="16" t="e">
        <f t="shared" si="51"/>
        <v>#VALUE!</v>
      </c>
      <c r="O364" s="16" t="str">
        <f t="shared" si="52"/>
        <v>Other</v>
      </c>
      <c r="P364" s="16" t="str">
        <f t="shared" si="49"/>
        <v/>
      </c>
      <c r="S364" s="27" t="str">
        <v/>
      </c>
      <c r="T364" s="18" t="str">
        <f>IFERROR( IF( COUNTIF($R$2:R364,R364)=1, IF(VALUE(R364)=0,"",VALUE(R364)), "" ), "" )</f>
        <v/>
      </c>
      <c r="U364" s="8" t="str">
        <f t="shared" si="50"/>
        <v/>
      </c>
      <c r="W364" s="19"/>
      <c r="X364" s="19"/>
    </row>
    <row r="365" spans="1:24" ht="25.05" customHeight="1" x14ac:dyDescent="0.45">
      <c r="A365" s="2"/>
      <c r="B365" s="2"/>
      <c r="C365" s="2"/>
      <c r="D365" s="3"/>
      <c r="E365" s="2"/>
      <c r="F365" s="2"/>
      <c r="G365" s="2"/>
      <c r="H365" s="2"/>
      <c r="K365" s="15" t="e">
        <f t="shared" si="53"/>
        <v>#VALUE!</v>
      </c>
      <c r="L365" s="15" t="e">
        <f t="shared" si="54"/>
        <v>#VALUE!</v>
      </c>
      <c r="M365" s="16" t="e">
        <f t="shared" si="48"/>
        <v>#VALUE!</v>
      </c>
      <c r="N365" s="16" t="e">
        <f t="shared" si="51"/>
        <v>#VALUE!</v>
      </c>
      <c r="O365" s="16" t="str">
        <f t="shared" si="52"/>
        <v>Other</v>
      </c>
      <c r="P365" s="16" t="str">
        <f t="shared" si="49"/>
        <v/>
      </c>
      <c r="S365" s="27" t="str">
        <v/>
      </c>
      <c r="T365" s="18" t="str">
        <f>IFERROR( IF( COUNTIF($R$2:R365,R365)=1, IF(VALUE(R365)=0,"",VALUE(R365)), "" ), "" )</f>
        <v/>
      </c>
      <c r="U365" s="8" t="str">
        <f t="shared" si="50"/>
        <v/>
      </c>
      <c r="W365" s="19"/>
      <c r="X365" s="19"/>
    </row>
    <row r="366" spans="1:24" ht="25.05" customHeight="1" x14ac:dyDescent="0.45">
      <c r="A366" s="2"/>
      <c r="B366" s="2"/>
      <c r="C366" s="2"/>
      <c r="D366" s="3"/>
      <c r="E366" s="2"/>
      <c r="F366" s="2"/>
      <c r="G366" s="2"/>
      <c r="H366" s="2"/>
      <c r="K366" s="15" t="e">
        <f t="shared" si="53"/>
        <v>#VALUE!</v>
      </c>
      <c r="L366" s="15" t="e">
        <f t="shared" si="54"/>
        <v>#VALUE!</v>
      </c>
      <c r="M366" s="16" t="e">
        <f t="shared" si="48"/>
        <v>#VALUE!</v>
      </c>
      <c r="N366" s="16" t="e">
        <f t="shared" si="51"/>
        <v>#VALUE!</v>
      </c>
      <c r="O366" s="16" t="str">
        <f t="shared" si="52"/>
        <v>Other</v>
      </c>
      <c r="P366" s="16" t="str">
        <f t="shared" si="49"/>
        <v/>
      </c>
      <c r="S366" s="27" t="str">
        <v/>
      </c>
      <c r="T366" s="18" t="str">
        <f>IFERROR( IF( COUNTIF($R$2:R366,R366)=1, IF(VALUE(R366)=0,"",VALUE(R366)), "" ), "" )</f>
        <v/>
      </c>
      <c r="U366" s="8" t="str">
        <f t="shared" si="50"/>
        <v/>
      </c>
      <c r="W366" s="19"/>
      <c r="X366" s="19"/>
    </row>
    <row r="367" spans="1:24" ht="25.05" customHeight="1" x14ac:dyDescent="0.45">
      <c r="A367" s="2"/>
      <c r="B367" s="2"/>
      <c r="C367" s="2"/>
      <c r="D367" s="3"/>
      <c r="E367" s="2"/>
      <c r="F367" s="2"/>
      <c r="G367" s="2"/>
      <c r="H367" s="2"/>
      <c r="K367" s="15" t="e">
        <f t="shared" si="53"/>
        <v>#VALUE!</v>
      </c>
      <c r="L367" s="15" t="e">
        <f t="shared" si="54"/>
        <v>#VALUE!</v>
      </c>
      <c r="M367" s="16" t="e">
        <f t="shared" si="48"/>
        <v>#VALUE!</v>
      </c>
      <c r="N367" s="16" t="e">
        <f t="shared" si="51"/>
        <v>#VALUE!</v>
      </c>
      <c r="O367" s="16" t="str">
        <f t="shared" si="52"/>
        <v>Other</v>
      </c>
      <c r="P367" s="16" t="str">
        <f t="shared" si="49"/>
        <v/>
      </c>
      <c r="S367" s="27" t="str">
        <v/>
      </c>
      <c r="T367" s="18" t="str">
        <f>IFERROR( IF( COUNTIF($R$2:R367,R367)=1, IF(VALUE(R367)=0,"",VALUE(R367)), "" ), "" )</f>
        <v/>
      </c>
      <c r="U367" s="8" t="str">
        <f t="shared" si="50"/>
        <v/>
      </c>
      <c r="W367" s="19"/>
      <c r="X367" s="19"/>
    </row>
    <row r="368" spans="1:24" ht="25.05" customHeight="1" x14ac:dyDescent="0.45">
      <c r="A368" s="2"/>
      <c r="B368" s="2"/>
      <c r="C368" s="2"/>
      <c r="D368" s="3"/>
      <c r="E368" s="2"/>
      <c r="F368" s="2"/>
      <c r="G368" s="2"/>
      <c r="H368" s="2"/>
      <c r="K368" s="15" t="e">
        <f t="shared" si="53"/>
        <v>#VALUE!</v>
      </c>
      <c r="L368" s="15" t="e">
        <f t="shared" si="54"/>
        <v>#VALUE!</v>
      </c>
      <c r="M368" s="16" t="e">
        <f t="shared" si="48"/>
        <v>#VALUE!</v>
      </c>
      <c r="N368" s="16" t="e">
        <f t="shared" si="51"/>
        <v>#VALUE!</v>
      </c>
      <c r="O368" s="16" t="str">
        <f t="shared" si="52"/>
        <v>Other</v>
      </c>
      <c r="P368" s="16" t="str">
        <f t="shared" si="49"/>
        <v/>
      </c>
      <c r="S368" s="27" t="str">
        <v/>
      </c>
      <c r="T368" s="18" t="str">
        <f>IFERROR( IF( COUNTIF($R$2:R368,R368)=1, IF(VALUE(R368)=0,"",VALUE(R368)), "" ), "" )</f>
        <v/>
      </c>
      <c r="U368" s="8" t="str">
        <f t="shared" si="50"/>
        <v/>
      </c>
      <c r="W368" s="19"/>
      <c r="X368" s="19"/>
    </row>
    <row r="369" spans="1:24" ht="25.05" customHeight="1" x14ac:dyDescent="0.45">
      <c r="A369" s="2"/>
      <c r="B369" s="2"/>
      <c r="C369" s="2"/>
      <c r="D369" s="3"/>
      <c r="E369" s="2"/>
      <c r="F369" s="2"/>
      <c r="G369" s="2"/>
      <c r="H369" s="2"/>
      <c r="K369" s="15" t="e">
        <f t="shared" si="53"/>
        <v>#VALUE!</v>
      </c>
      <c r="L369" s="15" t="e">
        <f t="shared" si="54"/>
        <v>#VALUE!</v>
      </c>
      <c r="M369" s="16" t="e">
        <f t="shared" si="48"/>
        <v>#VALUE!</v>
      </c>
      <c r="N369" s="16" t="e">
        <f t="shared" si="51"/>
        <v>#VALUE!</v>
      </c>
      <c r="O369" s="16" t="str">
        <f t="shared" si="52"/>
        <v>Other</v>
      </c>
      <c r="P369" s="16" t="str">
        <f t="shared" si="49"/>
        <v/>
      </c>
      <c r="S369" s="27" t="str">
        <v/>
      </c>
      <c r="T369" s="18" t="str">
        <f>IFERROR( IF( COUNTIF($R$2:R369,R369)=1, IF(VALUE(R369)=0,"",VALUE(R369)), "" ), "" )</f>
        <v/>
      </c>
      <c r="U369" s="8" t="str">
        <f t="shared" si="50"/>
        <v/>
      </c>
      <c r="W369" s="19"/>
      <c r="X369" s="19"/>
    </row>
    <row r="370" spans="1:24" ht="25.05" customHeight="1" x14ac:dyDescent="0.45">
      <c r="A370" s="2"/>
      <c r="B370" s="2"/>
      <c r="C370" s="2"/>
      <c r="D370" s="3"/>
      <c r="E370" s="2"/>
      <c r="F370" s="2"/>
      <c r="G370" s="2"/>
      <c r="H370" s="2"/>
      <c r="K370" s="15" t="e">
        <f t="shared" si="53"/>
        <v>#VALUE!</v>
      </c>
      <c r="L370" s="15" t="e">
        <f t="shared" si="54"/>
        <v>#VALUE!</v>
      </c>
      <c r="M370" s="16" t="e">
        <f t="shared" si="48"/>
        <v>#VALUE!</v>
      </c>
      <c r="N370" s="16" t="e">
        <f t="shared" si="51"/>
        <v>#VALUE!</v>
      </c>
      <c r="O370" s="16" t="str">
        <f t="shared" si="52"/>
        <v>Other</v>
      </c>
      <c r="P370" s="16" t="str">
        <f t="shared" si="49"/>
        <v/>
      </c>
      <c r="S370" s="27" t="str">
        <v/>
      </c>
      <c r="T370" s="18" t="str">
        <f>IFERROR( IF( COUNTIF($R$2:R370,R370)=1, IF(VALUE(R370)=0,"",VALUE(R370)), "" ), "" )</f>
        <v/>
      </c>
      <c r="U370" s="8" t="str">
        <f t="shared" si="50"/>
        <v/>
      </c>
      <c r="W370" s="19"/>
      <c r="X370" s="19"/>
    </row>
    <row r="371" spans="1:24" ht="25.05" customHeight="1" x14ac:dyDescent="0.45">
      <c r="A371" s="2"/>
      <c r="B371" s="2"/>
      <c r="C371" s="2"/>
      <c r="D371" s="3"/>
      <c r="E371" s="2"/>
      <c r="F371" s="2"/>
      <c r="G371" s="2"/>
      <c r="H371" s="2"/>
      <c r="K371" s="15" t="e">
        <f t="shared" si="53"/>
        <v>#VALUE!</v>
      </c>
      <c r="L371" s="15" t="e">
        <f t="shared" si="54"/>
        <v>#VALUE!</v>
      </c>
      <c r="M371" s="16" t="e">
        <f t="shared" si="48"/>
        <v>#VALUE!</v>
      </c>
      <c r="N371" s="16" t="e">
        <f t="shared" si="51"/>
        <v>#VALUE!</v>
      </c>
      <c r="O371" s="16" t="str">
        <f t="shared" si="52"/>
        <v>Other</v>
      </c>
      <c r="P371" s="16" t="str">
        <f t="shared" si="49"/>
        <v/>
      </c>
      <c r="S371" s="27" t="str">
        <v/>
      </c>
      <c r="T371" s="18" t="str">
        <f>IFERROR( IF( COUNTIF($R$2:R371,R371)=1, IF(VALUE(R371)=0,"",VALUE(R371)), "" ), "" )</f>
        <v/>
      </c>
      <c r="U371" s="8" t="str">
        <f t="shared" si="50"/>
        <v/>
      </c>
      <c r="W371" s="19"/>
      <c r="X371" s="19"/>
    </row>
    <row r="372" spans="1:24" ht="25.05" customHeight="1" x14ac:dyDescent="0.45">
      <c r="A372" s="2"/>
      <c r="B372" s="2"/>
      <c r="C372" s="2"/>
      <c r="D372" s="3"/>
      <c r="E372" s="2"/>
      <c r="F372" s="2"/>
      <c r="G372" s="2"/>
      <c r="H372" s="2"/>
      <c r="K372" s="15" t="e">
        <f t="shared" si="53"/>
        <v>#VALUE!</v>
      </c>
      <c r="L372" s="15" t="e">
        <f t="shared" si="54"/>
        <v>#VALUE!</v>
      </c>
      <c r="M372" s="16" t="e">
        <f t="shared" si="48"/>
        <v>#VALUE!</v>
      </c>
      <c r="N372" s="16" t="e">
        <f t="shared" si="51"/>
        <v>#VALUE!</v>
      </c>
      <c r="O372" s="16" t="str">
        <f t="shared" si="52"/>
        <v>Other</v>
      </c>
      <c r="P372" s="16" t="str">
        <f t="shared" si="49"/>
        <v/>
      </c>
      <c r="S372" s="27" t="str">
        <v/>
      </c>
      <c r="T372" s="18" t="str">
        <f>IFERROR( IF( COUNTIF($R$2:R372,R372)=1, IF(VALUE(R372)=0,"",VALUE(R372)), "" ), "" )</f>
        <v/>
      </c>
      <c r="U372" s="8" t="str">
        <f t="shared" si="50"/>
        <v/>
      </c>
      <c r="W372" s="19"/>
      <c r="X372" s="19"/>
    </row>
    <row r="373" spans="1:24" ht="25.05" customHeight="1" x14ac:dyDescent="0.45">
      <c r="A373" s="2"/>
      <c r="B373" s="2"/>
      <c r="C373" s="2"/>
      <c r="D373" s="3"/>
      <c r="E373" s="2"/>
      <c r="F373" s="2"/>
      <c r="G373" s="2"/>
      <c r="H373" s="2"/>
      <c r="K373" s="15" t="e">
        <f t="shared" si="53"/>
        <v>#VALUE!</v>
      </c>
      <c r="L373" s="15" t="e">
        <f t="shared" si="54"/>
        <v>#VALUE!</v>
      </c>
      <c r="M373" s="16" t="e">
        <f t="shared" si="48"/>
        <v>#VALUE!</v>
      </c>
      <c r="N373" s="16" t="e">
        <f t="shared" si="51"/>
        <v>#VALUE!</v>
      </c>
      <c r="O373" s="16" t="str">
        <f t="shared" si="52"/>
        <v>Other</v>
      </c>
      <c r="P373" s="16" t="str">
        <f t="shared" si="49"/>
        <v/>
      </c>
      <c r="S373" s="27" t="str">
        <v/>
      </c>
      <c r="T373" s="18" t="str">
        <f>IFERROR( IF( COUNTIF($R$2:R373,R373)=1, IF(VALUE(R373)=0,"",VALUE(R373)), "" ), "" )</f>
        <v/>
      </c>
      <c r="U373" s="8" t="str">
        <f t="shared" si="50"/>
        <v/>
      </c>
      <c r="W373" s="19"/>
      <c r="X373" s="19"/>
    </row>
    <row r="374" spans="1:24" ht="25.05" customHeight="1" x14ac:dyDescent="0.45">
      <c r="A374" s="2"/>
      <c r="B374" s="2"/>
      <c r="C374" s="2"/>
      <c r="D374" s="3"/>
      <c r="E374" s="2"/>
      <c r="F374" s="2"/>
      <c r="G374" s="2"/>
      <c r="H374" s="2"/>
      <c r="K374" s="15" t="e">
        <f t="shared" si="53"/>
        <v>#VALUE!</v>
      </c>
      <c r="L374" s="15" t="e">
        <f t="shared" si="54"/>
        <v>#VALUE!</v>
      </c>
      <c r="M374" s="16" t="e">
        <f t="shared" si="48"/>
        <v>#VALUE!</v>
      </c>
      <c r="N374" s="16" t="e">
        <f t="shared" si="51"/>
        <v>#VALUE!</v>
      </c>
      <c r="O374" s="16" t="str">
        <f t="shared" si="52"/>
        <v>Other</v>
      </c>
      <c r="P374" s="16" t="str">
        <f t="shared" si="49"/>
        <v/>
      </c>
      <c r="S374" s="27" t="str">
        <v/>
      </c>
      <c r="T374" s="18" t="str">
        <f>IFERROR( IF( COUNTIF($R$2:R374,R374)=1, IF(VALUE(R374)=0,"",VALUE(R374)), "" ), "" )</f>
        <v/>
      </c>
      <c r="U374" s="8" t="str">
        <f t="shared" si="50"/>
        <v/>
      </c>
      <c r="W374" s="19"/>
      <c r="X374" s="19"/>
    </row>
    <row r="375" spans="1:24" ht="25.05" customHeight="1" x14ac:dyDescent="0.45">
      <c r="A375" s="2"/>
      <c r="B375" s="2"/>
      <c r="C375" s="2"/>
      <c r="D375" s="3"/>
      <c r="E375" s="2"/>
      <c r="F375" s="2"/>
      <c r="G375" s="2"/>
      <c r="H375" s="2"/>
      <c r="K375" s="15" t="e">
        <f t="shared" si="53"/>
        <v>#VALUE!</v>
      </c>
      <c r="L375" s="15" t="e">
        <f t="shared" si="54"/>
        <v>#VALUE!</v>
      </c>
      <c r="M375" s="16" t="e">
        <f t="shared" si="48"/>
        <v>#VALUE!</v>
      </c>
      <c r="N375" s="16" t="e">
        <f t="shared" si="51"/>
        <v>#VALUE!</v>
      </c>
      <c r="O375" s="16" t="str">
        <f t="shared" si="52"/>
        <v>Other</v>
      </c>
      <c r="P375" s="16" t="str">
        <f t="shared" si="49"/>
        <v/>
      </c>
      <c r="S375" s="27" t="str">
        <v/>
      </c>
      <c r="T375" s="18" t="str">
        <f>IFERROR( IF( COUNTIF($R$2:R375,R375)=1, IF(VALUE(R375)=0,"",VALUE(R375)), "" ), "" )</f>
        <v/>
      </c>
      <c r="U375" s="8" t="str">
        <f t="shared" si="50"/>
        <v/>
      </c>
      <c r="W375" s="19"/>
      <c r="X375" s="19"/>
    </row>
    <row r="376" spans="1:24" ht="25.05" customHeight="1" x14ac:dyDescent="0.45">
      <c r="A376" s="2"/>
      <c r="B376" s="2"/>
      <c r="C376" s="2"/>
      <c r="D376" s="3"/>
      <c r="E376" s="2"/>
      <c r="F376" s="2"/>
      <c r="G376" s="2"/>
      <c r="H376" s="2"/>
      <c r="K376" s="15" t="e">
        <f t="shared" si="53"/>
        <v>#VALUE!</v>
      </c>
      <c r="L376" s="15" t="e">
        <f t="shared" si="54"/>
        <v>#VALUE!</v>
      </c>
      <c r="M376" s="16" t="e">
        <f t="shared" si="48"/>
        <v>#VALUE!</v>
      </c>
      <c r="N376" s="16" t="e">
        <f t="shared" si="51"/>
        <v>#VALUE!</v>
      </c>
      <c r="O376" s="16" t="str">
        <f t="shared" si="52"/>
        <v>Other</v>
      </c>
      <c r="P376" s="16" t="str">
        <f t="shared" si="49"/>
        <v/>
      </c>
      <c r="S376" s="27" t="str">
        <v/>
      </c>
      <c r="T376" s="18" t="str">
        <f>IFERROR( IF( COUNTIF($R$2:R376,R376)=1, IF(VALUE(R376)=0,"",VALUE(R376)), "" ), "" )</f>
        <v/>
      </c>
      <c r="U376" s="8" t="str">
        <f t="shared" si="50"/>
        <v/>
      </c>
      <c r="W376" s="19"/>
      <c r="X376" s="19"/>
    </row>
    <row r="377" spans="1:24" ht="25.05" customHeight="1" x14ac:dyDescent="0.45">
      <c r="A377" s="2"/>
      <c r="B377" s="2"/>
      <c r="C377" s="2"/>
      <c r="D377" s="3"/>
      <c r="E377" s="2"/>
      <c r="F377" s="2"/>
      <c r="G377" s="2"/>
      <c r="H377" s="2"/>
      <c r="K377" s="15" t="e">
        <f t="shared" si="53"/>
        <v>#VALUE!</v>
      </c>
      <c r="L377" s="15" t="e">
        <f t="shared" si="54"/>
        <v>#VALUE!</v>
      </c>
      <c r="M377" s="16" t="e">
        <f t="shared" si="48"/>
        <v>#VALUE!</v>
      </c>
      <c r="N377" s="16" t="e">
        <f t="shared" si="51"/>
        <v>#VALUE!</v>
      </c>
      <c r="O377" s="16" t="str">
        <f t="shared" si="52"/>
        <v>Other</v>
      </c>
      <c r="P377" s="16" t="str">
        <f t="shared" si="49"/>
        <v/>
      </c>
      <c r="S377" s="27" t="str">
        <v/>
      </c>
      <c r="T377" s="18" t="str">
        <f>IFERROR( IF( COUNTIF($R$2:R377,R377)=1, IF(VALUE(R377)=0,"",VALUE(R377)), "" ), "" )</f>
        <v/>
      </c>
      <c r="U377" s="8" t="str">
        <f t="shared" si="50"/>
        <v/>
      </c>
      <c r="W377" s="19"/>
      <c r="X377" s="19"/>
    </row>
    <row r="378" spans="1:24" ht="25.05" customHeight="1" x14ac:dyDescent="0.45">
      <c r="A378" s="2"/>
      <c r="B378" s="2"/>
      <c r="C378" s="2"/>
      <c r="D378" s="3"/>
      <c r="E378" s="2"/>
      <c r="F378" s="2"/>
      <c r="G378" s="2"/>
      <c r="H378" s="2"/>
      <c r="K378" s="15" t="e">
        <f t="shared" si="53"/>
        <v>#VALUE!</v>
      </c>
      <c r="L378" s="15" t="e">
        <f t="shared" si="54"/>
        <v>#VALUE!</v>
      </c>
      <c r="M378" s="16" t="e">
        <f t="shared" si="48"/>
        <v>#VALUE!</v>
      </c>
      <c r="N378" s="16" t="e">
        <f t="shared" si="51"/>
        <v>#VALUE!</v>
      </c>
      <c r="O378" s="16" t="str">
        <f t="shared" si="52"/>
        <v>Other</v>
      </c>
      <c r="P378" s="16" t="str">
        <f t="shared" si="49"/>
        <v/>
      </c>
      <c r="S378" s="27" t="str">
        <v/>
      </c>
      <c r="T378" s="18" t="str">
        <f>IFERROR( IF( COUNTIF($R$2:R378,R378)=1, IF(VALUE(R378)=0,"",VALUE(R378)), "" ), "" )</f>
        <v/>
      </c>
      <c r="U378" s="8" t="str">
        <f t="shared" si="50"/>
        <v/>
      </c>
      <c r="W378" s="19"/>
      <c r="X378" s="19"/>
    </row>
    <row r="379" spans="1:24" ht="25.05" customHeight="1" x14ac:dyDescent="0.45">
      <c r="A379" s="2"/>
      <c r="B379" s="2"/>
      <c r="C379" s="2"/>
      <c r="D379" s="3"/>
      <c r="E379" s="2"/>
      <c r="F379" s="2"/>
      <c r="G379" s="2"/>
      <c r="H379" s="2"/>
      <c r="K379" s="15" t="e">
        <f t="shared" si="53"/>
        <v>#VALUE!</v>
      </c>
      <c r="L379" s="15" t="e">
        <f t="shared" si="54"/>
        <v>#VALUE!</v>
      </c>
      <c r="M379" s="16" t="e">
        <f t="shared" si="48"/>
        <v>#VALUE!</v>
      </c>
      <c r="N379" s="16" t="e">
        <f t="shared" si="51"/>
        <v>#VALUE!</v>
      </c>
      <c r="O379" s="16" t="str">
        <f t="shared" si="52"/>
        <v>Other</v>
      </c>
      <c r="P379" s="16" t="str">
        <f t="shared" si="49"/>
        <v/>
      </c>
      <c r="S379" s="27" t="str">
        <v/>
      </c>
      <c r="T379" s="18" t="str">
        <f>IFERROR( IF( COUNTIF($R$2:R379,R379)=1, IF(VALUE(R379)=0,"",VALUE(R379)), "" ), "" )</f>
        <v/>
      </c>
      <c r="U379" s="8" t="str">
        <f t="shared" si="50"/>
        <v/>
      </c>
      <c r="W379" s="19"/>
      <c r="X379" s="19"/>
    </row>
    <row r="380" spans="1:24" ht="25.05" customHeight="1" x14ac:dyDescent="0.45">
      <c r="A380" s="2"/>
      <c r="B380" s="2"/>
      <c r="C380" s="2"/>
      <c r="D380" s="3"/>
      <c r="E380" s="2"/>
      <c r="F380" s="2"/>
      <c r="G380" s="2"/>
      <c r="H380" s="2"/>
      <c r="K380" s="15" t="e">
        <f t="shared" si="53"/>
        <v>#VALUE!</v>
      </c>
      <c r="L380" s="15" t="e">
        <f t="shared" si="54"/>
        <v>#VALUE!</v>
      </c>
      <c r="M380" s="16" t="e">
        <f t="shared" si="48"/>
        <v>#VALUE!</v>
      </c>
      <c r="N380" s="16" t="e">
        <f t="shared" si="51"/>
        <v>#VALUE!</v>
      </c>
      <c r="O380" s="16" t="str">
        <f t="shared" si="52"/>
        <v>Other</v>
      </c>
      <c r="P380" s="16" t="str">
        <f t="shared" si="49"/>
        <v/>
      </c>
      <c r="S380" s="27" t="str">
        <v/>
      </c>
      <c r="T380" s="18" t="str">
        <f>IFERROR( IF( COUNTIF($R$2:R380,R380)=1, IF(VALUE(R380)=0,"",VALUE(R380)), "" ), "" )</f>
        <v/>
      </c>
      <c r="U380" s="8" t="str">
        <f t="shared" si="50"/>
        <v/>
      </c>
      <c r="W380" s="19"/>
      <c r="X380" s="19"/>
    </row>
    <row r="381" spans="1:24" ht="25.05" customHeight="1" x14ac:dyDescent="0.45">
      <c r="A381" s="2"/>
      <c r="B381" s="2"/>
      <c r="C381" s="2"/>
      <c r="D381" s="3"/>
      <c r="E381" s="2"/>
      <c r="F381" s="2"/>
      <c r="G381" s="2"/>
      <c r="H381" s="2"/>
      <c r="K381" s="15" t="e">
        <f t="shared" si="53"/>
        <v>#VALUE!</v>
      </c>
      <c r="L381" s="15" t="e">
        <f t="shared" si="54"/>
        <v>#VALUE!</v>
      </c>
      <c r="M381" s="16" t="e">
        <f t="shared" si="48"/>
        <v>#VALUE!</v>
      </c>
      <c r="N381" s="16" t="e">
        <f t="shared" si="51"/>
        <v>#VALUE!</v>
      </c>
      <c r="O381" s="16" t="str">
        <f t="shared" si="52"/>
        <v>Other</v>
      </c>
      <c r="P381" s="16" t="str">
        <f t="shared" si="49"/>
        <v/>
      </c>
      <c r="S381" s="27" t="str">
        <v/>
      </c>
      <c r="T381" s="18" t="str">
        <f>IFERROR( IF( COUNTIF($R$2:R381,R381)=1, IF(VALUE(R381)=0,"",VALUE(R381)), "" ), "" )</f>
        <v/>
      </c>
      <c r="U381" s="8" t="str">
        <f t="shared" si="50"/>
        <v/>
      </c>
      <c r="W381" s="19"/>
      <c r="X381" s="19"/>
    </row>
    <row r="382" spans="1:24" ht="25.05" customHeight="1" x14ac:dyDescent="0.45">
      <c r="A382" s="2"/>
      <c r="B382" s="2"/>
      <c r="C382" s="2"/>
      <c r="D382" s="3"/>
      <c r="E382" s="2"/>
      <c r="F382" s="2"/>
      <c r="G382" s="2"/>
      <c r="H382" s="2"/>
      <c r="K382" s="15" t="e">
        <f t="shared" si="53"/>
        <v>#VALUE!</v>
      </c>
      <c r="L382" s="15" t="e">
        <f t="shared" si="54"/>
        <v>#VALUE!</v>
      </c>
      <c r="M382" s="16" t="e">
        <f t="shared" si="48"/>
        <v>#VALUE!</v>
      </c>
      <c r="N382" s="16" t="e">
        <f t="shared" si="51"/>
        <v>#VALUE!</v>
      </c>
      <c r="O382" s="16" t="str">
        <f t="shared" si="52"/>
        <v>Other</v>
      </c>
      <c r="P382" s="16" t="str">
        <f t="shared" si="49"/>
        <v/>
      </c>
      <c r="S382" s="27" t="str">
        <v/>
      </c>
      <c r="T382" s="18" t="str">
        <f>IFERROR( IF( COUNTIF($R$2:R382,R382)=1, IF(VALUE(R382)=0,"",VALUE(R382)), "" ), "" )</f>
        <v/>
      </c>
      <c r="U382" s="8" t="str">
        <f t="shared" si="50"/>
        <v/>
      </c>
      <c r="W382" s="19"/>
      <c r="X382" s="19"/>
    </row>
    <row r="383" spans="1:24" ht="25.05" customHeight="1" x14ac:dyDescent="0.45">
      <c r="A383" s="2"/>
      <c r="B383" s="2"/>
      <c r="C383" s="2"/>
      <c r="D383" s="3"/>
      <c r="E383" s="2"/>
      <c r="F383" s="2"/>
      <c r="G383" s="2"/>
      <c r="H383" s="2"/>
      <c r="K383" s="15" t="e">
        <f t="shared" si="53"/>
        <v>#VALUE!</v>
      </c>
      <c r="L383" s="15" t="e">
        <f t="shared" si="54"/>
        <v>#VALUE!</v>
      </c>
      <c r="M383" s="16" t="e">
        <f t="shared" si="48"/>
        <v>#VALUE!</v>
      </c>
      <c r="N383" s="16" t="e">
        <f t="shared" si="51"/>
        <v>#VALUE!</v>
      </c>
      <c r="O383" s="16" t="str">
        <f t="shared" si="52"/>
        <v>Other</v>
      </c>
      <c r="P383" s="16" t="str">
        <f t="shared" si="49"/>
        <v/>
      </c>
      <c r="S383" s="27" t="str">
        <v/>
      </c>
      <c r="T383" s="18" t="str">
        <f>IFERROR( IF( COUNTIF($R$2:R383,R383)=1, IF(VALUE(R383)=0,"",VALUE(R383)), "" ), "" )</f>
        <v/>
      </c>
      <c r="U383" s="8" t="str">
        <f t="shared" si="50"/>
        <v/>
      </c>
      <c r="W383" s="19"/>
      <c r="X383" s="19"/>
    </row>
    <row r="384" spans="1:24" ht="25.05" customHeight="1" x14ac:dyDescent="0.45">
      <c r="A384" s="2"/>
      <c r="B384" s="2"/>
      <c r="C384" s="2"/>
      <c r="D384" s="3"/>
      <c r="E384" s="2"/>
      <c r="F384" s="2"/>
      <c r="G384" s="2"/>
      <c r="H384" s="2"/>
      <c r="K384" s="15" t="e">
        <f t="shared" si="53"/>
        <v>#VALUE!</v>
      </c>
      <c r="L384" s="15" t="e">
        <f t="shared" si="54"/>
        <v>#VALUE!</v>
      </c>
      <c r="M384" s="16" t="e">
        <f t="shared" si="48"/>
        <v>#VALUE!</v>
      </c>
      <c r="N384" s="16" t="e">
        <f t="shared" si="51"/>
        <v>#VALUE!</v>
      </c>
      <c r="O384" s="16" t="str">
        <f t="shared" si="52"/>
        <v>Other</v>
      </c>
      <c r="P384" s="16" t="str">
        <f t="shared" si="49"/>
        <v/>
      </c>
      <c r="S384" s="27" t="str">
        <v/>
      </c>
      <c r="T384" s="18" t="str">
        <f>IFERROR( IF( COUNTIF($R$2:R384,R384)=1, IF(VALUE(R384)=0,"",VALUE(R384)), "" ), "" )</f>
        <v/>
      </c>
      <c r="U384" s="8" t="str">
        <f t="shared" si="50"/>
        <v/>
      </c>
      <c r="W384" s="19"/>
      <c r="X384" s="19"/>
    </row>
    <row r="385" spans="1:24" ht="25.05" customHeight="1" x14ac:dyDescent="0.45">
      <c r="A385" s="2"/>
      <c r="B385" s="2"/>
      <c r="C385" s="2"/>
      <c r="D385" s="3"/>
      <c r="E385" s="2"/>
      <c r="F385" s="2"/>
      <c r="G385" s="2"/>
      <c r="H385" s="2"/>
      <c r="K385" s="15" t="e">
        <f t="shared" si="53"/>
        <v>#VALUE!</v>
      </c>
      <c r="L385" s="15" t="e">
        <f t="shared" si="54"/>
        <v>#VALUE!</v>
      </c>
      <c r="M385" s="16" t="e">
        <f t="shared" si="48"/>
        <v>#VALUE!</v>
      </c>
      <c r="N385" s="16" t="e">
        <f t="shared" si="51"/>
        <v>#VALUE!</v>
      </c>
      <c r="O385" s="16" t="str">
        <f t="shared" si="52"/>
        <v>Other</v>
      </c>
      <c r="P385" s="16" t="str">
        <f t="shared" si="49"/>
        <v/>
      </c>
      <c r="S385" s="27" t="str">
        <v/>
      </c>
      <c r="T385" s="18" t="str">
        <f>IFERROR( IF( COUNTIF($R$2:R385,R385)=1, IF(VALUE(R385)=0,"",VALUE(R385)), "" ), "" )</f>
        <v/>
      </c>
      <c r="U385" s="8" t="str">
        <f t="shared" si="50"/>
        <v/>
      </c>
      <c r="W385" s="19"/>
      <c r="X385" s="19"/>
    </row>
    <row r="386" spans="1:24" ht="25.05" customHeight="1" x14ac:dyDescent="0.45">
      <c r="A386" s="2"/>
      <c r="B386" s="2"/>
      <c r="C386" s="2"/>
      <c r="D386" s="3"/>
      <c r="E386" s="2"/>
      <c r="F386" s="2"/>
      <c r="G386" s="2"/>
      <c r="H386" s="2"/>
      <c r="K386" s="15" t="e">
        <f t="shared" si="53"/>
        <v>#VALUE!</v>
      </c>
      <c r="L386" s="15" t="e">
        <f t="shared" si="54"/>
        <v>#VALUE!</v>
      </c>
      <c r="M386" s="16" t="e">
        <f t="shared" ref="M386:M449" si="55">MID(G386,FIND("LR-",G386)+3,FIND("-",G386,FIND("LR-",G386)+3)-FIND("LR-",G386)-3)</f>
        <v>#VALUE!</v>
      </c>
      <c r="N386" s="16" t="e">
        <f t="shared" si="51"/>
        <v>#VALUE!</v>
      </c>
      <c r="O386" s="16" t="str">
        <f t="shared" si="52"/>
        <v>Other</v>
      </c>
      <c r="P386" s="16" t="str">
        <f t="shared" ref="P386:P449" si="56">IF(S386&lt;&gt;"",IF(LEFT(S386,FIND(" &lt;&gt; ",S386)-1) &lt; MID(S386,FIND(" &lt;&gt; ",S386)+4,LEN(S386)),LEFT(S386,FIND(" &lt;&gt; ",S386)-1) &amp; " &lt;&gt; " &amp; MID(S386,FIND(" &lt;&gt; ",S386)+4,LEN(S386)),MID(S386,FIND(" &lt;&gt; ",S386)+4,LEN(S386)) &amp; " &lt;&gt; " &amp; LEFT(S386,FIND(" &lt;&gt; ",S386)-1)),"")</f>
        <v/>
      </c>
      <c r="S386" s="27" t="str">
        <v/>
      </c>
      <c r="T386" s="18" t="str">
        <f>IFERROR( IF( COUNTIF($R$2:R386,R386)=1, IF(VALUE(R386)=0,"",VALUE(R386)), "" ), "" )</f>
        <v/>
      </c>
      <c r="U386" s="8" t="str">
        <f t="shared" si="50"/>
        <v/>
      </c>
      <c r="W386" s="19"/>
      <c r="X386" s="19"/>
    </row>
    <row r="387" spans="1:24" ht="25.05" customHeight="1" x14ac:dyDescent="0.45">
      <c r="A387" s="2"/>
      <c r="B387" s="2"/>
      <c r="C387" s="2"/>
      <c r="D387" s="3"/>
      <c r="E387" s="2"/>
      <c r="F387" s="2"/>
      <c r="G387" s="2"/>
      <c r="H387" s="2"/>
      <c r="K387" s="15" t="e">
        <f t="shared" si="53"/>
        <v>#VALUE!</v>
      </c>
      <c r="L387" s="15" t="e">
        <f t="shared" si="54"/>
        <v>#VALUE!</v>
      </c>
      <c r="M387" s="16" t="e">
        <f t="shared" si="55"/>
        <v>#VALUE!</v>
      </c>
      <c r="N387" s="16" t="e">
        <f t="shared" si="51"/>
        <v>#VALUE!</v>
      </c>
      <c r="O387" s="16" t="str">
        <f t="shared" si="52"/>
        <v>Other</v>
      </c>
      <c r="P387" s="16" t="str">
        <f t="shared" si="56"/>
        <v/>
      </c>
      <c r="S387" s="27" t="str">
        <v/>
      </c>
      <c r="T387" s="18" t="str">
        <f>IFERROR( IF( COUNTIF($R$2:R387,R387)=1, IF(VALUE(R387)=0,"",VALUE(R387)), "" ), "" )</f>
        <v/>
      </c>
      <c r="U387" s="8" t="str">
        <f t="shared" ref="U387:U413" si="57">IFERROR( IF( _xlfn.XLOOKUP(R387, M387:M1385, O387:O1385)=0, "", _xlfn.XLOOKUP(R387, M387:M1385, O387:O1385) ), "" )</f>
        <v/>
      </c>
      <c r="W387" s="19"/>
      <c r="X387" s="19"/>
    </row>
    <row r="388" spans="1:24" ht="25.05" customHeight="1" x14ac:dyDescent="0.45">
      <c r="A388" s="2"/>
      <c r="B388" s="2"/>
      <c r="C388" s="2"/>
      <c r="D388" s="3"/>
      <c r="E388" s="2"/>
      <c r="F388" s="2"/>
      <c r="G388" s="2"/>
      <c r="H388" s="2"/>
      <c r="K388" s="15" t="e">
        <f t="shared" si="53"/>
        <v>#VALUE!</v>
      </c>
      <c r="L388" s="15" t="e">
        <f t="shared" si="54"/>
        <v>#VALUE!</v>
      </c>
      <c r="M388" s="16" t="e">
        <f t="shared" si="55"/>
        <v>#VALUE!</v>
      </c>
      <c r="N388" s="16" t="e">
        <f t="shared" si="51"/>
        <v>#VALUE!</v>
      </c>
      <c r="O388" s="16" t="str">
        <f t="shared" si="52"/>
        <v>Other</v>
      </c>
      <c r="P388" s="16" t="str">
        <f t="shared" si="56"/>
        <v/>
      </c>
      <c r="S388" s="27" t="str">
        <v/>
      </c>
      <c r="T388" s="18" t="str">
        <f>IFERROR( IF( COUNTIF($R$2:R388,R388)=1, IF(VALUE(R388)=0,"",VALUE(R388)), "" ), "" )</f>
        <v/>
      </c>
      <c r="U388" s="8" t="str">
        <f t="shared" si="57"/>
        <v/>
      </c>
      <c r="W388" s="19"/>
      <c r="X388" s="19"/>
    </row>
    <row r="389" spans="1:24" ht="25.05" customHeight="1" x14ac:dyDescent="0.45">
      <c r="A389" s="2"/>
      <c r="B389" s="2"/>
      <c r="C389" s="2"/>
      <c r="D389" s="3"/>
      <c r="E389" s="2"/>
      <c r="F389" s="2"/>
      <c r="G389" s="2"/>
      <c r="H389" s="2"/>
      <c r="K389" s="15" t="e">
        <f t="shared" si="53"/>
        <v>#VALUE!</v>
      </c>
      <c r="L389" s="15" t="e">
        <f t="shared" si="54"/>
        <v>#VALUE!</v>
      </c>
      <c r="M389" s="16" t="e">
        <f t="shared" si="55"/>
        <v>#VALUE!</v>
      </c>
      <c r="N389" s="16" t="e">
        <f t="shared" si="51"/>
        <v>#VALUE!</v>
      </c>
      <c r="O389" s="16" t="str">
        <f t="shared" si="52"/>
        <v>Other</v>
      </c>
      <c r="P389" s="16" t="str">
        <f t="shared" si="56"/>
        <v/>
      </c>
      <c r="S389" s="27" t="str">
        <v/>
      </c>
      <c r="T389" s="18" t="str">
        <f>IFERROR( IF( COUNTIF($R$2:R389,R389)=1, IF(VALUE(R389)=0,"",VALUE(R389)), "" ), "" )</f>
        <v/>
      </c>
      <c r="U389" s="8" t="str">
        <f t="shared" si="57"/>
        <v/>
      </c>
      <c r="W389" s="19"/>
      <c r="X389" s="19"/>
    </row>
    <row r="390" spans="1:24" ht="25.05" customHeight="1" x14ac:dyDescent="0.45">
      <c r="A390" s="2"/>
      <c r="B390" s="2"/>
      <c r="C390" s="2"/>
      <c r="D390" s="3"/>
      <c r="E390" s="2"/>
      <c r="F390" s="2"/>
      <c r="G390" s="2"/>
      <c r="H390" s="2"/>
      <c r="K390" s="15" t="e">
        <f t="shared" si="53"/>
        <v>#VALUE!</v>
      </c>
      <c r="L390" s="15" t="e">
        <f t="shared" si="54"/>
        <v>#VALUE!</v>
      </c>
      <c r="M390" s="16" t="e">
        <f t="shared" si="55"/>
        <v>#VALUE!</v>
      </c>
      <c r="N390" s="16" t="e">
        <f t="shared" si="51"/>
        <v>#VALUE!</v>
      </c>
      <c r="O390" s="16" t="str">
        <f t="shared" si="52"/>
        <v>Other</v>
      </c>
      <c r="P390" s="16" t="str">
        <f t="shared" si="56"/>
        <v/>
      </c>
      <c r="S390" s="27" t="str">
        <v/>
      </c>
      <c r="T390" s="18" t="str">
        <f>IFERROR( IF( COUNTIF($R$2:R390,R390)=1, IF(VALUE(R390)=0,"",VALUE(R390)), "" ), "" )</f>
        <v/>
      </c>
      <c r="U390" s="8" t="str">
        <f t="shared" si="57"/>
        <v/>
      </c>
      <c r="W390" s="19"/>
      <c r="X390" s="19"/>
    </row>
    <row r="391" spans="1:24" ht="25.05" customHeight="1" x14ac:dyDescent="0.45">
      <c r="A391" s="2"/>
      <c r="B391" s="2"/>
      <c r="C391" s="2"/>
      <c r="D391" s="3"/>
      <c r="E391" s="2"/>
      <c r="F391" s="2"/>
      <c r="G391" s="2"/>
      <c r="H391" s="2"/>
      <c r="K391" s="15" t="e">
        <f t="shared" si="53"/>
        <v>#VALUE!</v>
      </c>
      <c r="L391" s="15" t="e">
        <f t="shared" si="54"/>
        <v>#VALUE!</v>
      </c>
      <c r="M391" s="16" t="e">
        <f t="shared" si="55"/>
        <v>#VALUE!</v>
      </c>
      <c r="N391" s="16" t="e">
        <f t="shared" si="51"/>
        <v>#VALUE!</v>
      </c>
      <c r="O391" s="16" t="str">
        <f t="shared" si="52"/>
        <v>Other</v>
      </c>
      <c r="P391" s="16" t="str">
        <f t="shared" si="56"/>
        <v/>
      </c>
      <c r="S391" s="27" t="str">
        <v/>
      </c>
      <c r="T391" s="18" t="str">
        <f>IFERROR( IF( COUNTIF($R$2:R391,R391)=1, IF(VALUE(R391)=0,"",VALUE(R391)), "" ), "" )</f>
        <v/>
      </c>
      <c r="U391" s="8" t="str">
        <f t="shared" si="57"/>
        <v/>
      </c>
      <c r="W391" s="19"/>
      <c r="X391" s="19"/>
    </row>
    <row r="392" spans="1:24" ht="25.05" customHeight="1" x14ac:dyDescent="0.45">
      <c r="A392" s="2"/>
      <c r="B392" s="2"/>
      <c r="C392" s="2"/>
      <c r="D392" s="3"/>
      <c r="E392" s="2"/>
      <c r="F392" s="2"/>
      <c r="G392" s="2"/>
      <c r="H392" s="2"/>
      <c r="K392" s="15" t="e">
        <f t="shared" si="53"/>
        <v>#VALUE!</v>
      </c>
      <c r="L392" s="15" t="e">
        <f t="shared" si="54"/>
        <v>#VALUE!</v>
      </c>
      <c r="M392" s="16" t="e">
        <f t="shared" si="55"/>
        <v>#VALUE!</v>
      </c>
      <c r="N392" s="16" t="e">
        <f t="shared" si="51"/>
        <v>#VALUE!</v>
      </c>
      <c r="O392" s="16" t="str">
        <f t="shared" si="52"/>
        <v>Other</v>
      </c>
      <c r="P392" s="16" t="str">
        <f t="shared" si="56"/>
        <v/>
      </c>
      <c r="S392" s="27" t="str">
        <v/>
      </c>
      <c r="T392" s="18" t="str">
        <f>IFERROR( IF( COUNTIF($R$2:R392,R392)=1, IF(VALUE(R392)=0,"",VALUE(R392)), "" ), "" )</f>
        <v/>
      </c>
      <c r="U392" s="8" t="str">
        <f t="shared" si="57"/>
        <v/>
      </c>
      <c r="W392" s="19"/>
      <c r="X392" s="19"/>
    </row>
    <row r="393" spans="1:24" ht="25.05" customHeight="1" x14ac:dyDescent="0.45">
      <c r="A393" s="2"/>
      <c r="B393" s="2"/>
      <c r="C393" s="2"/>
      <c r="D393" s="3"/>
      <c r="E393" s="2"/>
      <c r="F393" s="2"/>
      <c r="G393" s="2"/>
      <c r="H393" s="2"/>
      <c r="K393" s="15" t="e">
        <f t="shared" si="53"/>
        <v>#VALUE!</v>
      </c>
      <c r="L393" s="15" t="e">
        <f t="shared" si="54"/>
        <v>#VALUE!</v>
      </c>
      <c r="M393" s="16" t="e">
        <f t="shared" si="55"/>
        <v>#VALUE!</v>
      </c>
      <c r="N393" s="16" t="e">
        <f t="shared" si="51"/>
        <v>#VALUE!</v>
      </c>
      <c r="O393" s="16" t="str">
        <f t="shared" si="52"/>
        <v>Other</v>
      </c>
      <c r="P393" s="16" t="str">
        <f t="shared" si="56"/>
        <v/>
      </c>
      <c r="S393" s="27" t="str">
        <v/>
      </c>
      <c r="T393" s="18" t="str">
        <f>IFERROR( IF( COUNTIF($R$2:R393,R393)=1, IF(VALUE(R393)=0,"",VALUE(R393)), "" ), "" )</f>
        <v/>
      </c>
      <c r="U393" s="8" t="str">
        <f t="shared" si="57"/>
        <v/>
      </c>
      <c r="W393" s="19"/>
      <c r="X393" s="19"/>
    </row>
    <row r="394" spans="1:24" ht="25.05" customHeight="1" x14ac:dyDescent="0.45">
      <c r="A394" s="2"/>
      <c r="B394" s="2"/>
      <c r="C394" s="2"/>
      <c r="D394" s="3"/>
      <c r="E394" s="2"/>
      <c r="F394" s="2"/>
      <c r="G394" s="2"/>
      <c r="H394" s="2"/>
      <c r="K394" s="15" t="e">
        <f t="shared" si="53"/>
        <v>#VALUE!</v>
      </c>
      <c r="L394" s="15" t="e">
        <f t="shared" si="54"/>
        <v>#VALUE!</v>
      </c>
      <c r="M394" s="16" t="e">
        <f t="shared" si="55"/>
        <v>#VALUE!</v>
      </c>
      <c r="N394" s="16" t="e">
        <f t="shared" si="51"/>
        <v>#VALUE!</v>
      </c>
      <c r="O394" s="16" t="str">
        <f t="shared" si="52"/>
        <v>Other</v>
      </c>
      <c r="P394" s="16" t="str">
        <f t="shared" si="56"/>
        <v/>
      </c>
      <c r="S394" s="27" t="str">
        <v/>
      </c>
      <c r="T394" s="18" t="str">
        <f>IFERROR( IF( COUNTIF($R$2:R394,R394)=1, IF(VALUE(R394)=0,"",VALUE(R394)), "" ), "" )</f>
        <v/>
      </c>
      <c r="U394" s="8" t="str">
        <f t="shared" si="57"/>
        <v/>
      </c>
      <c r="W394" s="19"/>
      <c r="X394" s="19"/>
    </row>
    <row r="395" spans="1:24" ht="25.05" customHeight="1" x14ac:dyDescent="0.45">
      <c r="A395" s="2"/>
      <c r="B395" s="2"/>
      <c r="C395" s="2"/>
      <c r="D395" s="3"/>
      <c r="E395" s="2"/>
      <c r="F395" s="2"/>
      <c r="G395" s="2"/>
      <c r="H395" s="2"/>
      <c r="K395" s="15" t="e">
        <f t="shared" si="53"/>
        <v>#VALUE!</v>
      </c>
      <c r="L395" s="15" t="e">
        <f t="shared" si="54"/>
        <v>#VALUE!</v>
      </c>
      <c r="M395" s="16" t="e">
        <f t="shared" si="55"/>
        <v>#VALUE!</v>
      </c>
      <c r="N395" s="16" t="e">
        <f t="shared" si="51"/>
        <v>#VALUE!</v>
      </c>
      <c r="O395" s="16" t="str">
        <f t="shared" si="52"/>
        <v>Other</v>
      </c>
      <c r="P395" s="16" t="str">
        <f t="shared" si="56"/>
        <v/>
      </c>
      <c r="S395" s="27" t="str">
        <v/>
      </c>
      <c r="T395" s="18" t="str">
        <f>IFERROR( IF( COUNTIF($R$2:R395,R395)=1, IF(VALUE(R395)=0,"",VALUE(R395)), "" ), "" )</f>
        <v/>
      </c>
      <c r="U395" s="8" t="str">
        <f t="shared" si="57"/>
        <v/>
      </c>
      <c r="W395" s="19"/>
      <c r="X395" s="19"/>
    </row>
    <row r="396" spans="1:24" ht="25.05" customHeight="1" x14ac:dyDescent="0.45">
      <c r="A396" s="2"/>
      <c r="B396" s="2"/>
      <c r="C396" s="2"/>
      <c r="D396" s="3"/>
      <c r="E396" s="2"/>
      <c r="F396" s="2"/>
      <c r="G396" s="2"/>
      <c r="H396" s="2"/>
      <c r="K396" s="15" t="e">
        <f t="shared" si="53"/>
        <v>#VALUE!</v>
      </c>
      <c r="L396" s="15" t="e">
        <f t="shared" si="54"/>
        <v>#VALUE!</v>
      </c>
      <c r="M396" s="16" t="e">
        <f t="shared" si="55"/>
        <v>#VALUE!</v>
      </c>
      <c r="N396" s="16" t="e">
        <f t="shared" si="51"/>
        <v>#VALUE!</v>
      </c>
      <c r="O396" s="16" t="str">
        <f t="shared" si="52"/>
        <v>Other</v>
      </c>
      <c r="P396" s="16" t="str">
        <f t="shared" si="56"/>
        <v/>
      </c>
      <c r="S396" s="27" t="str">
        <v/>
      </c>
      <c r="T396" s="18" t="str">
        <f>IFERROR( IF( COUNTIF($R$2:R396,R396)=1, IF(VALUE(R396)=0,"",VALUE(R396)), "" ), "" )</f>
        <v/>
      </c>
      <c r="U396" s="8" t="str">
        <f t="shared" si="57"/>
        <v/>
      </c>
      <c r="W396" s="19"/>
      <c r="X396" s="19"/>
    </row>
    <row r="397" spans="1:24" ht="25.05" customHeight="1" x14ac:dyDescent="0.45">
      <c r="A397" s="2"/>
      <c r="B397" s="2"/>
      <c r="C397" s="2"/>
      <c r="D397" s="3"/>
      <c r="E397" s="2"/>
      <c r="F397" s="2"/>
      <c r="G397" s="2"/>
      <c r="H397" s="2"/>
      <c r="K397" s="15" t="e">
        <f t="shared" si="53"/>
        <v>#VALUE!</v>
      </c>
      <c r="L397" s="15" t="e">
        <f t="shared" si="54"/>
        <v>#VALUE!</v>
      </c>
      <c r="M397" s="16" t="e">
        <f t="shared" si="55"/>
        <v>#VALUE!</v>
      </c>
      <c r="N397" s="16" t="e">
        <f t="shared" si="51"/>
        <v>#VALUE!</v>
      </c>
      <c r="O397" s="16" t="str">
        <f t="shared" si="52"/>
        <v>Other</v>
      </c>
      <c r="P397" s="16" t="str">
        <f t="shared" si="56"/>
        <v/>
      </c>
      <c r="S397" s="27" t="str">
        <v/>
      </c>
      <c r="T397" s="18" t="str">
        <f>IFERROR( IF( COUNTIF($R$2:R397,R397)=1, IF(VALUE(R397)=0,"",VALUE(R397)), "" ), "" )</f>
        <v/>
      </c>
      <c r="U397" s="8" t="str">
        <f t="shared" si="57"/>
        <v/>
      </c>
      <c r="W397" s="19"/>
      <c r="X397" s="19"/>
    </row>
    <row r="398" spans="1:24" ht="25.05" customHeight="1" x14ac:dyDescent="0.45">
      <c r="A398" s="2"/>
      <c r="B398" s="2"/>
      <c r="C398" s="2"/>
      <c r="D398" s="3"/>
      <c r="E398" s="2"/>
      <c r="F398" s="2"/>
      <c r="G398" s="2"/>
      <c r="H398" s="2"/>
      <c r="K398" s="15" t="e">
        <f t="shared" si="53"/>
        <v>#VALUE!</v>
      </c>
      <c r="L398" s="15" t="e">
        <f t="shared" si="54"/>
        <v>#VALUE!</v>
      </c>
      <c r="M398" s="16" t="e">
        <f t="shared" si="55"/>
        <v>#VALUE!</v>
      </c>
      <c r="N398" s="16" t="e">
        <f t="shared" si="51"/>
        <v>#VALUE!</v>
      </c>
      <c r="O398" s="16" t="str">
        <f t="shared" si="52"/>
        <v>Other</v>
      </c>
      <c r="P398" s="16" t="str">
        <f t="shared" si="56"/>
        <v/>
      </c>
      <c r="S398" s="27" t="str">
        <v/>
      </c>
      <c r="T398" s="18" t="str">
        <f>IFERROR( IF( COUNTIF($R$2:R398,R398)=1, IF(VALUE(R398)=0,"",VALUE(R398)), "" ), "" )</f>
        <v/>
      </c>
      <c r="U398" s="8" t="str">
        <f t="shared" si="57"/>
        <v/>
      </c>
      <c r="W398" s="19"/>
      <c r="X398" s="19"/>
    </row>
    <row r="399" spans="1:24" ht="25.05" customHeight="1" x14ac:dyDescent="0.45">
      <c r="A399" s="2"/>
      <c r="B399" s="2"/>
      <c r="C399" s="2"/>
      <c r="D399" s="3"/>
      <c r="E399" s="2"/>
      <c r="F399" s="2"/>
      <c r="G399" s="2"/>
      <c r="H399" s="2"/>
      <c r="K399" s="15" t="e">
        <f t="shared" si="53"/>
        <v>#VALUE!</v>
      </c>
      <c r="L399" s="15" t="e">
        <f t="shared" si="54"/>
        <v>#VALUE!</v>
      </c>
      <c r="M399" s="16" t="e">
        <f t="shared" si="55"/>
        <v>#VALUE!</v>
      </c>
      <c r="N399" s="16" t="e">
        <f t="shared" si="51"/>
        <v>#VALUE!</v>
      </c>
      <c r="O399" s="16" t="str">
        <f t="shared" si="52"/>
        <v>Other</v>
      </c>
      <c r="P399" s="16" t="str">
        <f t="shared" si="56"/>
        <v/>
      </c>
      <c r="S399" s="27" t="str">
        <v/>
      </c>
      <c r="T399" s="18" t="str">
        <f>IFERROR( IF( COUNTIF($R$2:R399,R399)=1, IF(VALUE(R399)=0,"",VALUE(R399)), "" ), "" )</f>
        <v/>
      </c>
      <c r="U399" s="8" t="str">
        <f t="shared" si="57"/>
        <v/>
      </c>
      <c r="W399" s="19"/>
      <c r="X399" s="19"/>
    </row>
    <row r="400" spans="1:24" ht="25.05" customHeight="1" x14ac:dyDescent="0.45">
      <c r="A400" s="2"/>
      <c r="B400" s="2"/>
      <c r="C400" s="2"/>
      <c r="D400" s="3"/>
      <c r="E400" s="2"/>
      <c r="F400" s="2"/>
      <c r="G400" s="2"/>
      <c r="H400" s="2"/>
      <c r="K400" s="15" t="e">
        <f t="shared" si="53"/>
        <v>#VALUE!</v>
      </c>
      <c r="L400" s="15" t="e">
        <f t="shared" si="54"/>
        <v>#VALUE!</v>
      </c>
      <c r="M400" s="16" t="e">
        <f t="shared" si="55"/>
        <v>#VALUE!</v>
      </c>
      <c r="N400" s="16" t="e">
        <f t="shared" si="51"/>
        <v>#VALUE!</v>
      </c>
      <c r="O400" s="16" t="str">
        <f t="shared" si="52"/>
        <v>Other</v>
      </c>
      <c r="P400" s="16" t="str">
        <f t="shared" si="56"/>
        <v/>
      </c>
      <c r="S400" s="27" t="str">
        <v/>
      </c>
      <c r="T400" s="18" t="str">
        <f>IFERROR( IF( COUNTIF($R$2:R400,R400)=1, IF(VALUE(R400)=0,"",VALUE(R400)), "" ), "" )</f>
        <v/>
      </c>
      <c r="U400" s="8" t="str">
        <f t="shared" si="57"/>
        <v/>
      </c>
      <c r="W400" s="19"/>
      <c r="X400" s="19"/>
    </row>
    <row r="401" spans="1:24" ht="25.05" customHeight="1" x14ac:dyDescent="0.45">
      <c r="A401" s="2"/>
      <c r="B401" s="2"/>
      <c r="C401" s="2"/>
      <c r="D401" s="3"/>
      <c r="E401" s="2"/>
      <c r="F401" s="2"/>
      <c r="G401" s="2"/>
      <c r="H401" s="2"/>
      <c r="K401" s="15" t="e">
        <f t="shared" si="53"/>
        <v>#VALUE!</v>
      </c>
      <c r="L401" s="15" t="e">
        <f t="shared" si="54"/>
        <v>#VALUE!</v>
      </c>
      <c r="M401" s="16" t="e">
        <f t="shared" si="55"/>
        <v>#VALUE!</v>
      </c>
      <c r="N401" s="16" t="e">
        <f t="shared" si="51"/>
        <v>#VALUE!</v>
      </c>
      <c r="O401" s="16" t="str">
        <f t="shared" si="52"/>
        <v>Other</v>
      </c>
      <c r="P401" s="16" t="str">
        <f t="shared" si="56"/>
        <v/>
      </c>
      <c r="S401" s="27" t="str">
        <v/>
      </c>
      <c r="T401" s="18" t="str">
        <f>IFERROR( IF( COUNTIF($R$2:R401,R401)=1, IF(VALUE(R401)=0,"",VALUE(R401)), "" ), "" )</f>
        <v/>
      </c>
      <c r="U401" s="8" t="str">
        <f t="shared" si="57"/>
        <v/>
      </c>
      <c r="W401" s="19"/>
      <c r="X401" s="19"/>
    </row>
    <row r="402" spans="1:24" ht="25.05" customHeight="1" x14ac:dyDescent="0.45">
      <c r="A402" s="2"/>
      <c r="B402" s="2"/>
      <c r="C402" s="2"/>
      <c r="D402" s="3"/>
      <c r="E402" s="2"/>
      <c r="F402" s="2"/>
      <c r="G402" s="2"/>
      <c r="H402" s="2"/>
      <c r="K402" s="15" t="e">
        <f t="shared" si="53"/>
        <v>#VALUE!</v>
      </c>
      <c r="L402" s="15" t="e">
        <f t="shared" si="54"/>
        <v>#VALUE!</v>
      </c>
      <c r="M402" s="16" t="e">
        <f t="shared" si="55"/>
        <v>#VALUE!</v>
      </c>
      <c r="N402" s="16" t="e">
        <f t="shared" si="51"/>
        <v>#VALUE!</v>
      </c>
      <c r="O402" s="16" t="str">
        <f t="shared" si="52"/>
        <v>Other</v>
      </c>
      <c r="P402" s="16" t="str">
        <f t="shared" si="56"/>
        <v/>
      </c>
      <c r="S402" s="27" t="str">
        <v/>
      </c>
      <c r="T402" s="18" t="str">
        <f>IFERROR( IF( COUNTIF($R$2:R402,R402)=1, IF(VALUE(R402)=0,"",VALUE(R402)), "" ), "" )</f>
        <v/>
      </c>
      <c r="U402" s="8" t="str">
        <f t="shared" si="57"/>
        <v/>
      </c>
      <c r="W402" s="19"/>
      <c r="X402" s="19"/>
    </row>
    <row r="403" spans="1:24" ht="25.05" customHeight="1" x14ac:dyDescent="0.45">
      <c r="A403" s="2"/>
      <c r="B403" s="2"/>
      <c r="C403" s="2"/>
      <c r="D403" s="3"/>
      <c r="E403" s="2"/>
      <c r="F403" s="2"/>
      <c r="G403" s="2"/>
      <c r="H403" s="2"/>
      <c r="K403" s="15" t="e">
        <f t="shared" si="53"/>
        <v>#VALUE!</v>
      </c>
      <c r="L403" s="15" t="e">
        <f t="shared" si="54"/>
        <v>#VALUE!</v>
      </c>
      <c r="M403" s="16" t="e">
        <f t="shared" si="55"/>
        <v>#VALUE!</v>
      </c>
      <c r="N403" s="16" t="e">
        <f t="shared" si="51"/>
        <v>#VALUE!</v>
      </c>
      <c r="O403" s="16" t="str">
        <f t="shared" si="52"/>
        <v>Other</v>
      </c>
      <c r="P403" s="16" t="str">
        <f t="shared" si="56"/>
        <v/>
      </c>
      <c r="S403" s="27" t="str">
        <v/>
      </c>
      <c r="T403" s="18" t="str">
        <f>IFERROR( IF( COUNTIF($R$2:R403,R403)=1, IF(VALUE(R403)=0,"",VALUE(R403)), "" ), "" )</f>
        <v/>
      </c>
      <c r="U403" s="8" t="str">
        <f t="shared" si="57"/>
        <v/>
      </c>
      <c r="W403" s="19"/>
      <c r="X403" s="19"/>
    </row>
    <row r="404" spans="1:24" ht="25.05" customHeight="1" x14ac:dyDescent="0.45">
      <c r="A404" s="2"/>
      <c r="B404" s="2"/>
      <c r="C404" s="2"/>
      <c r="D404" s="3"/>
      <c r="E404" s="2"/>
      <c r="F404" s="2"/>
      <c r="G404" s="2"/>
      <c r="H404" s="2"/>
      <c r="K404" s="15" t="e">
        <f t="shared" si="53"/>
        <v>#VALUE!</v>
      </c>
      <c r="L404" s="15" t="e">
        <f t="shared" si="54"/>
        <v>#VALUE!</v>
      </c>
      <c r="M404" s="16" t="e">
        <f t="shared" si="55"/>
        <v>#VALUE!</v>
      </c>
      <c r="N404" s="16" t="e">
        <f t="shared" si="51"/>
        <v>#VALUE!</v>
      </c>
      <c r="O404" s="16" t="str">
        <f t="shared" si="52"/>
        <v>Other</v>
      </c>
      <c r="P404" s="16" t="str">
        <f t="shared" si="56"/>
        <v/>
      </c>
      <c r="S404" s="27" t="str">
        <v/>
      </c>
      <c r="T404" s="18" t="str">
        <f>IFERROR( IF( COUNTIF($R$2:R404,R404)=1, IF(VALUE(R404)=0,"",VALUE(R404)), "" ), "" )</f>
        <v/>
      </c>
      <c r="U404" s="8" t="str">
        <f t="shared" si="57"/>
        <v/>
      </c>
      <c r="W404" s="19"/>
      <c r="X404" s="19"/>
    </row>
    <row r="405" spans="1:24" ht="25.05" customHeight="1" x14ac:dyDescent="0.45">
      <c r="A405" s="2"/>
      <c r="B405" s="2"/>
      <c r="C405" s="2"/>
      <c r="D405" s="3"/>
      <c r="E405" s="2"/>
      <c r="F405" s="2"/>
      <c r="G405" s="2"/>
      <c r="H405" s="2"/>
      <c r="K405" s="15" t="e">
        <f t="shared" si="53"/>
        <v>#VALUE!</v>
      </c>
      <c r="L405" s="15" t="e">
        <f t="shared" si="54"/>
        <v>#VALUE!</v>
      </c>
      <c r="M405" s="16" t="e">
        <f t="shared" si="55"/>
        <v>#VALUE!</v>
      </c>
      <c r="N405" s="16" t="e">
        <f t="shared" si="51"/>
        <v>#VALUE!</v>
      </c>
      <c r="O405" s="16" t="str">
        <f t="shared" si="52"/>
        <v>Other</v>
      </c>
      <c r="P405" s="16" t="str">
        <f t="shared" si="56"/>
        <v/>
      </c>
      <c r="S405" s="27" t="str">
        <v/>
      </c>
      <c r="T405" s="18" t="str">
        <f>IFERROR( IF( COUNTIF($R$2:R405,R405)=1, IF(VALUE(R405)=0,"",VALUE(R405)), "" ), "" )</f>
        <v/>
      </c>
      <c r="U405" s="8" t="str">
        <f t="shared" si="57"/>
        <v/>
      </c>
      <c r="W405" s="19"/>
      <c r="X405" s="19"/>
    </row>
    <row r="406" spans="1:24" ht="25.05" customHeight="1" x14ac:dyDescent="0.45">
      <c r="A406" s="2"/>
      <c r="B406" s="2"/>
      <c r="C406" s="2"/>
      <c r="D406" s="3"/>
      <c r="E406" s="2"/>
      <c r="F406" s="2"/>
      <c r="G406" s="2"/>
      <c r="H406" s="2"/>
      <c r="K406" s="15" t="e">
        <f t="shared" si="53"/>
        <v>#VALUE!</v>
      </c>
      <c r="L406" s="15" t="e">
        <f t="shared" si="54"/>
        <v>#VALUE!</v>
      </c>
      <c r="M406" s="16" t="e">
        <f t="shared" si="55"/>
        <v>#VALUE!</v>
      </c>
      <c r="N406" s="16" t="e">
        <f t="shared" si="51"/>
        <v>#VALUE!</v>
      </c>
      <c r="O406" s="16" t="str">
        <f t="shared" si="52"/>
        <v>Other</v>
      </c>
      <c r="P406" s="16" t="str">
        <f t="shared" si="56"/>
        <v/>
      </c>
      <c r="S406" s="27" t="str">
        <v/>
      </c>
      <c r="T406" s="18" t="str">
        <f>IFERROR( IF( COUNTIF($R$2:R406,R406)=1, IF(VALUE(R406)=0,"",VALUE(R406)), "" ), "" )</f>
        <v/>
      </c>
      <c r="U406" s="8" t="str">
        <f t="shared" si="57"/>
        <v/>
      </c>
      <c r="W406" s="19"/>
      <c r="X406" s="19"/>
    </row>
    <row r="407" spans="1:24" ht="25.05" customHeight="1" x14ac:dyDescent="0.45">
      <c r="A407" s="2"/>
      <c r="B407" s="2"/>
      <c r="C407" s="2"/>
      <c r="D407" s="3"/>
      <c r="E407" s="2"/>
      <c r="F407" s="2"/>
      <c r="G407" s="2"/>
      <c r="H407" s="2"/>
      <c r="K407" s="15" t="e">
        <f t="shared" si="53"/>
        <v>#VALUE!</v>
      </c>
      <c r="L407" s="15" t="e">
        <f t="shared" si="54"/>
        <v>#VALUE!</v>
      </c>
      <c r="M407" s="16" t="e">
        <f t="shared" si="55"/>
        <v>#VALUE!</v>
      </c>
      <c r="N407" s="16" t="e">
        <f t="shared" si="51"/>
        <v>#VALUE!</v>
      </c>
      <c r="O407" s="16" t="str">
        <f t="shared" si="52"/>
        <v>Other</v>
      </c>
      <c r="P407" s="16" t="str">
        <f t="shared" si="56"/>
        <v/>
      </c>
      <c r="S407" s="27" t="str">
        <v/>
      </c>
      <c r="T407" s="18" t="str">
        <f>IFERROR( IF( COUNTIF($R$2:R407,R407)=1, IF(VALUE(R407)=0,"",VALUE(R407)), "" ), "" )</f>
        <v/>
      </c>
      <c r="U407" s="8" t="str">
        <f t="shared" si="57"/>
        <v/>
      </c>
      <c r="W407" s="19"/>
      <c r="X407" s="19"/>
    </row>
    <row r="408" spans="1:24" ht="25.05" customHeight="1" x14ac:dyDescent="0.45">
      <c r="A408" s="2"/>
      <c r="B408" s="2"/>
      <c r="C408" s="2"/>
      <c r="D408" s="3"/>
      <c r="E408" s="2"/>
      <c r="F408" s="2"/>
      <c r="G408" s="2"/>
      <c r="H408" s="2"/>
      <c r="K408" s="15" t="e">
        <f t="shared" si="53"/>
        <v>#VALUE!</v>
      </c>
      <c r="L408" s="15" t="e">
        <f t="shared" si="54"/>
        <v>#VALUE!</v>
      </c>
      <c r="M408" s="16" t="e">
        <f t="shared" si="55"/>
        <v>#VALUE!</v>
      </c>
      <c r="N408" s="16" t="e">
        <f t="shared" si="51"/>
        <v>#VALUE!</v>
      </c>
      <c r="O408" s="16" t="str">
        <f t="shared" si="52"/>
        <v>Other</v>
      </c>
      <c r="P408" s="16" t="str">
        <f t="shared" si="56"/>
        <v/>
      </c>
      <c r="S408" s="27" t="str">
        <v/>
      </c>
      <c r="T408" s="18" t="str">
        <f>IFERROR( IF( COUNTIF($R$2:R408,R408)=1, IF(VALUE(R408)=0,"",VALUE(R408)), "" ), "" )</f>
        <v/>
      </c>
      <c r="U408" s="8" t="str">
        <f t="shared" si="57"/>
        <v/>
      </c>
      <c r="W408" s="19"/>
      <c r="X408" s="19"/>
    </row>
    <row r="409" spans="1:24" ht="25.05" customHeight="1" x14ac:dyDescent="0.45">
      <c r="A409" s="2"/>
      <c r="B409" s="2"/>
      <c r="C409" s="2"/>
      <c r="D409" s="3"/>
      <c r="E409" s="2"/>
      <c r="F409" s="2"/>
      <c r="G409" s="2"/>
      <c r="H409" s="2"/>
      <c r="K409" s="15" t="e">
        <f t="shared" si="53"/>
        <v>#VALUE!</v>
      </c>
      <c r="L409" s="15" t="e">
        <f t="shared" si="54"/>
        <v>#VALUE!</v>
      </c>
      <c r="M409" s="16" t="e">
        <f t="shared" si="55"/>
        <v>#VALUE!</v>
      </c>
      <c r="N409" s="16" t="e">
        <f t="shared" si="51"/>
        <v>#VALUE!</v>
      </c>
      <c r="O409" s="16" t="str">
        <f t="shared" si="52"/>
        <v>Other</v>
      </c>
      <c r="P409" s="16" t="str">
        <f t="shared" si="56"/>
        <v/>
      </c>
      <c r="S409" s="27" t="str">
        <v/>
      </c>
      <c r="T409" s="18" t="str">
        <f>IFERROR( IF( COUNTIF($R$2:R409,R409)=1, IF(VALUE(R409)=0,"",VALUE(R409)), "" ), "" )</f>
        <v/>
      </c>
      <c r="U409" s="8" t="str">
        <f t="shared" si="57"/>
        <v/>
      </c>
      <c r="W409" s="19"/>
      <c r="X409" s="19"/>
    </row>
    <row r="410" spans="1:24" ht="25.05" customHeight="1" x14ac:dyDescent="0.45">
      <c r="A410" s="2"/>
      <c r="B410" s="2"/>
      <c r="C410" s="2"/>
      <c r="D410" s="3"/>
      <c r="E410" s="2"/>
      <c r="F410" s="2"/>
      <c r="G410" s="2"/>
      <c r="H410" s="2"/>
      <c r="K410" s="15" t="e">
        <f t="shared" si="53"/>
        <v>#VALUE!</v>
      </c>
      <c r="L410" s="15" t="e">
        <f t="shared" si="54"/>
        <v>#VALUE!</v>
      </c>
      <c r="M410" s="16" t="e">
        <f t="shared" si="55"/>
        <v>#VALUE!</v>
      </c>
      <c r="N410" s="16" t="e">
        <f t="shared" si="51"/>
        <v>#VALUE!</v>
      </c>
      <c r="O410" s="16" t="str">
        <f t="shared" si="52"/>
        <v>Other</v>
      </c>
      <c r="P410" s="16" t="str">
        <f t="shared" si="56"/>
        <v/>
      </c>
      <c r="S410" s="27" t="str">
        <v/>
      </c>
      <c r="T410" s="18" t="str">
        <f>IFERROR( IF( COUNTIF($R$2:R410,R410)=1, IF(VALUE(R410)=0,"",VALUE(R410)), "" ), "" )</f>
        <v/>
      </c>
      <c r="U410" s="8" t="str">
        <f t="shared" si="57"/>
        <v/>
      </c>
      <c r="W410" s="19"/>
      <c r="X410" s="19"/>
    </row>
    <row r="411" spans="1:24" ht="25.05" customHeight="1" x14ac:dyDescent="0.45">
      <c r="A411" s="2"/>
      <c r="B411" s="2"/>
      <c r="C411" s="2"/>
      <c r="D411" s="3"/>
      <c r="E411" s="2"/>
      <c r="F411" s="2"/>
      <c r="G411" s="2"/>
      <c r="H411" s="2"/>
      <c r="K411" s="15" t="e">
        <f t="shared" si="53"/>
        <v>#VALUE!</v>
      </c>
      <c r="L411" s="15" t="e">
        <f t="shared" si="54"/>
        <v>#VALUE!</v>
      </c>
      <c r="M411" s="16" t="e">
        <f t="shared" si="55"/>
        <v>#VALUE!</v>
      </c>
      <c r="N411" s="16" t="e">
        <f t="shared" si="51"/>
        <v>#VALUE!</v>
      </c>
      <c r="O411" s="16" t="str">
        <f t="shared" si="52"/>
        <v>Other</v>
      </c>
      <c r="P411" s="16" t="str">
        <f t="shared" si="56"/>
        <v/>
      </c>
      <c r="S411" s="27" t="str">
        <v/>
      </c>
      <c r="T411" s="18" t="str">
        <f>IFERROR( IF( COUNTIF($R$2:R411,R411)=1, IF(VALUE(R411)=0,"",VALUE(R411)), "" ), "" )</f>
        <v/>
      </c>
      <c r="U411" s="8" t="str">
        <f t="shared" si="57"/>
        <v/>
      </c>
      <c r="W411" s="19"/>
      <c r="X411" s="19"/>
    </row>
    <row r="412" spans="1:24" ht="25.05" customHeight="1" x14ac:dyDescent="0.45">
      <c r="A412" s="2"/>
      <c r="B412" s="2"/>
      <c r="C412" s="2"/>
      <c r="D412" s="3"/>
      <c r="E412" s="2"/>
      <c r="F412" s="2"/>
      <c r="G412" s="2"/>
      <c r="H412" s="2"/>
      <c r="K412" s="15" t="e">
        <f t="shared" si="53"/>
        <v>#VALUE!</v>
      </c>
      <c r="L412" s="15" t="e">
        <f t="shared" si="54"/>
        <v>#VALUE!</v>
      </c>
      <c r="M412" s="16" t="e">
        <f t="shared" si="55"/>
        <v>#VALUE!</v>
      </c>
      <c r="N412" s="16" t="e">
        <f t="shared" si="51"/>
        <v>#VALUE!</v>
      </c>
      <c r="O412" s="16" t="str">
        <f t="shared" si="52"/>
        <v>Other</v>
      </c>
      <c r="P412" s="16" t="str">
        <f t="shared" si="56"/>
        <v/>
      </c>
      <c r="S412" s="27" t="str">
        <v/>
      </c>
      <c r="T412" s="18" t="str">
        <f>IFERROR( IF( COUNTIF($R$2:R412,R412)=1, IF(VALUE(R412)=0,"",VALUE(R412)), "" ), "" )</f>
        <v/>
      </c>
      <c r="U412" s="8" t="str">
        <f t="shared" si="57"/>
        <v/>
      </c>
      <c r="W412" s="19"/>
      <c r="X412" s="19"/>
    </row>
    <row r="413" spans="1:24" ht="25.05" customHeight="1" x14ac:dyDescent="0.45">
      <c r="A413" s="2"/>
      <c r="B413" s="2"/>
      <c r="C413" s="2"/>
      <c r="D413" s="3"/>
      <c r="E413" s="2"/>
      <c r="F413" s="2"/>
      <c r="G413" s="2"/>
      <c r="H413" s="2"/>
      <c r="K413" s="15" t="e">
        <f t="shared" si="53"/>
        <v>#VALUE!</v>
      </c>
      <c r="L413" s="15" t="e">
        <f t="shared" si="54"/>
        <v>#VALUE!</v>
      </c>
      <c r="M413" s="16" t="e">
        <f t="shared" si="55"/>
        <v>#VALUE!</v>
      </c>
      <c r="N413" s="16" t="e">
        <f t="shared" si="51"/>
        <v>#VALUE!</v>
      </c>
      <c r="O413" s="16" t="str">
        <f t="shared" si="52"/>
        <v>Other</v>
      </c>
      <c r="P413" s="16" t="str">
        <f t="shared" si="56"/>
        <v/>
      </c>
      <c r="S413" s="27" t="str">
        <v/>
      </c>
      <c r="T413" s="18" t="str">
        <f>IFERROR( IF( COUNTIF($R$2:R413,R413)=1, IF(VALUE(R413)=0,"",VALUE(R413)), "" ), "" )</f>
        <v/>
      </c>
      <c r="U413" s="8" t="str">
        <f t="shared" si="57"/>
        <v/>
      </c>
      <c r="W413" s="19"/>
      <c r="X413" s="19"/>
    </row>
    <row r="414" spans="1:24" ht="25.05" customHeight="1" x14ac:dyDescent="0.45">
      <c r="A414" s="2"/>
      <c r="B414" s="2"/>
      <c r="C414" s="2"/>
      <c r="D414" s="3"/>
      <c r="E414" s="2"/>
      <c r="F414" s="2"/>
      <c r="G414" s="2"/>
      <c r="H414" s="2"/>
      <c r="K414" s="15" t="e">
        <f t="shared" si="53"/>
        <v>#VALUE!</v>
      </c>
      <c r="L414" s="15" t="e">
        <f t="shared" si="54"/>
        <v>#VALUE!</v>
      </c>
      <c r="M414" s="16" t="e">
        <f t="shared" si="55"/>
        <v>#VALUE!</v>
      </c>
      <c r="N414" s="16" t="e">
        <f t="shared" si="51"/>
        <v>#VALUE!</v>
      </c>
      <c r="O414" s="16" t="str">
        <f t="shared" si="52"/>
        <v>Other</v>
      </c>
      <c r="P414" s="16" t="str">
        <f t="shared" si="56"/>
        <v/>
      </c>
      <c r="S414" s="27" t="str">
        <v/>
      </c>
      <c r="T414" s="18" t="str">
        <f>IFERROR( IF( COUNTIF($R$2:R414,R414)=1, IF(VALUE(R414)=0,"",VALUE(R414)), "" ), "" )</f>
        <v/>
      </c>
      <c r="U414" s="8" t="str">
        <f t="shared" ref="U414:U422" si="58">IFERROR( IF( _xlfn.XLOOKUP(R414, M414:M887, O414:O887)=0, "", _xlfn.XLOOKUP(R414, M414:M887, O414:O887) ), "" )</f>
        <v/>
      </c>
      <c r="W414" s="19"/>
      <c r="X414" s="19"/>
    </row>
    <row r="415" spans="1:24" ht="25.05" customHeight="1" x14ac:dyDescent="0.45">
      <c r="A415" s="2"/>
      <c r="B415" s="2"/>
      <c r="C415" s="2"/>
      <c r="D415" s="3"/>
      <c r="E415" s="2"/>
      <c r="F415" s="2"/>
      <c r="G415" s="2"/>
      <c r="H415" s="2"/>
      <c r="K415" s="15" t="e">
        <f t="shared" si="53"/>
        <v>#VALUE!</v>
      </c>
      <c r="L415" s="15" t="e">
        <f t="shared" si="54"/>
        <v>#VALUE!</v>
      </c>
      <c r="M415" s="16" t="e">
        <f t="shared" si="55"/>
        <v>#VALUE!</v>
      </c>
      <c r="N415" s="16" t="e">
        <f t="shared" si="51"/>
        <v>#VALUE!</v>
      </c>
      <c r="O415" s="16" t="str">
        <f t="shared" si="52"/>
        <v>Other</v>
      </c>
      <c r="P415" s="16" t="str">
        <f t="shared" si="56"/>
        <v/>
      </c>
      <c r="S415" s="27" t="str">
        <v/>
      </c>
      <c r="T415" s="18" t="str">
        <f>IFERROR( IF( COUNTIF($R$2:R415,R415)=1, IF(VALUE(R415)=0,"",VALUE(R415)), "" ), "" )</f>
        <v/>
      </c>
      <c r="U415" s="8" t="str">
        <f t="shared" si="58"/>
        <v/>
      </c>
      <c r="W415" s="19"/>
      <c r="X415" s="19"/>
    </row>
    <row r="416" spans="1:24" ht="25.05" customHeight="1" x14ac:dyDescent="0.45">
      <c r="A416" s="2"/>
      <c r="B416" s="2"/>
      <c r="C416" s="2"/>
      <c r="D416" s="3"/>
      <c r="E416" s="2"/>
      <c r="F416" s="2"/>
      <c r="G416" s="2"/>
      <c r="H416" s="2"/>
      <c r="K416" s="15" t="e">
        <f t="shared" si="53"/>
        <v>#VALUE!</v>
      </c>
      <c r="L416" s="15" t="e">
        <f t="shared" si="54"/>
        <v>#VALUE!</v>
      </c>
      <c r="M416" s="16" t="e">
        <f t="shared" si="55"/>
        <v>#VALUE!</v>
      </c>
      <c r="N416" s="16" t="e">
        <f t="shared" si="51"/>
        <v>#VALUE!</v>
      </c>
      <c r="O416" s="16" t="str">
        <f t="shared" si="52"/>
        <v>Other</v>
      </c>
      <c r="P416" s="16" t="str">
        <f t="shared" si="56"/>
        <v/>
      </c>
      <c r="S416" s="27" t="str">
        <v/>
      </c>
      <c r="T416" s="18" t="str">
        <f>IFERROR( IF( COUNTIF($R$2:R416,R416)=1, IF(VALUE(R416)=0,"",VALUE(R416)), "" ), "" )</f>
        <v/>
      </c>
      <c r="U416" s="8" t="str">
        <f t="shared" si="58"/>
        <v/>
      </c>
      <c r="W416" s="19"/>
      <c r="X416" s="19"/>
    </row>
    <row r="417" spans="1:24" ht="25.05" customHeight="1" x14ac:dyDescent="0.45">
      <c r="A417" s="2"/>
      <c r="B417" s="2"/>
      <c r="C417" s="2"/>
      <c r="D417" s="3"/>
      <c r="E417" s="2"/>
      <c r="F417" s="2"/>
      <c r="G417" s="2"/>
      <c r="H417" s="2"/>
      <c r="K417" s="15" t="e">
        <f t="shared" si="53"/>
        <v>#VALUE!</v>
      </c>
      <c r="L417" s="15" t="e">
        <f t="shared" si="54"/>
        <v>#VALUE!</v>
      </c>
      <c r="M417" s="16" t="e">
        <f t="shared" si="55"/>
        <v>#VALUE!</v>
      </c>
      <c r="N417" s="16" t="e">
        <f t="shared" si="51"/>
        <v>#VALUE!</v>
      </c>
      <c r="O417" s="16" t="str">
        <f t="shared" si="52"/>
        <v>Other</v>
      </c>
      <c r="P417" s="16" t="str">
        <f t="shared" si="56"/>
        <v/>
      </c>
      <c r="S417" s="27" t="str">
        <v/>
      </c>
      <c r="T417" s="18" t="str">
        <f>IFERROR( IF( COUNTIF($R$2:R417,R417)=1, IF(VALUE(R417)=0,"",VALUE(R417)), "" ), "" )</f>
        <v/>
      </c>
      <c r="U417" s="8" t="str">
        <f t="shared" si="58"/>
        <v/>
      </c>
      <c r="W417" s="19"/>
      <c r="X417" s="19"/>
    </row>
    <row r="418" spans="1:24" ht="25.05" customHeight="1" x14ac:dyDescent="0.45">
      <c r="A418" s="2"/>
      <c r="B418" s="2"/>
      <c r="C418" s="2"/>
      <c r="D418" s="3"/>
      <c r="E418" s="2"/>
      <c r="F418" s="2"/>
      <c r="G418" s="2"/>
      <c r="H418" s="2"/>
      <c r="K418" s="15" t="e">
        <f t="shared" si="53"/>
        <v>#VALUE!</v>
      </c>
      <c r="L418" s="15" t="e">
        <f t="shared" si="54"/>
        <v>#VALUE!</v>
      </c>
      <c r="M418" s="16" t="e">
        <f t="shared" si="55"/>
        <v>#VALUE!</v>
      </c>
      <c r="N418" s="16" t="e">
        <f t="shared" ref="N418:N481" si="59">K418 &amp; " &lt;&gt; " &amp; L418</f>
        <v>#VALUE!</v>
      </c>
      <c r="O418" s="16" t="str">
        <f t="shared" si="52"/>
        <v>Other</v>
      </c>
      <c r="P418" s="16" t="str">
        <f t="shared" si="56"/>
        <v/>
      </c>
      <c r="S418" s="27" t="str">
        <v/>
      </c>
      <c r="T418" s="18" t="str">
        <f>IFERROR( IF( COUNTIF($R$2:R418,R418)=1, IF(VALUE(R418)=0,"",VALUE(R418)), "" ), "" )</f>
        <v/>
      </c>
      <c r="U418" s="8" t="str">
        <f t="shared" si="58"/>
        <v/>
      </c>
      <c r="W418" s="19"/>
      <c r="X418" s="19"/>
    </row>
    <row r="419" spans="1:24" ht="25.05" customHeight="1" x14ac:dyDescent="0.45">
      <c r="A419" s="2"/>
      <c r="B419" s="2"/>
      <c r="C419" s="2"/>
      <c r="D419" s="3"/>
      <c r="E419" s="2"/>
      <c r="F419" s="2"/>
      <c r="G419" s="2"/>
      <c r="H419" s="2"/>
      <c r="K419" s="15" t="e">
        <f t="shared" si="53"/>
        <v>#VALUE!</v>
      </c>
      <c r="L419" s="15" t="e">
        <f t="shared" si="54"/>
        <v>#VALUE!</v>
      </c>
      <c r="M419" s="16" t="e">
        <f t="shared" si="55"/>
        <v>#VALUE!</v>
      </c>
      <c r="N419" s="16" t="e">
        <f t="shared" si="59"/>
        <v>#VALUE!</v>
      </c>
      <c r="O419" s="16" t="str">
        <f t="shared" si="52"/>
        <v>Other</v>
      </c>
      <c r="P419" s="16" t="str">
        <f t="shared" si="56"/>
        <v/>
      </c>
      <c r="S419" s="27" t="str">
        <v/>
      </c>
      <c r="T419" s="18" t="str">
        <f>IFERROR( IF( COUNTIF($R$2:R419,R419)=1, IF(VALUE(R419)=0,"",VALUE(R419)), "" ), "" )</f>
        <v/>
      </c>
      <c r="U419" s="8" t="str">
        <f t="shared" si="58"/>
        <v/>
      </c>
      <c r="W419" s="19"/>
      <c r="X419" s="19"/>
    </row>
    <row r="420" spans="1:24" ht="25.05" customHeight="1" x14ac:dyDescent="0.45">
      <c r="A420" s="2"/>
      <c r="B420" s="2"/>
      <c r="C420" s="2"/>
      <c r="D420" s="3"/>
      <c r="E420" s="2"/>
      <c r="F420" s="2"/>
      <c r="G420" s="2"/>
      <c r="H420" s="2"/>
      <c r="K420" s="15" t="e">
        <f t="shared" si="53"/>
        <v>#VALUE!</v>
      </c>
      <c r="L420" s="15" t="e">
        <f t="shared" si="54"/>
        <v>#VALUE!</v>
      </c>
      <c r="M420" s="16" t="e">
        <f t="shared" si="55"/>
        <v>#VALUE!</v>
      </c>
      <c r="N420" s="16" t="e">
        <f t="shared" si="59"/>
        <v>#VALUE!</v>
      </c>
      <c r="O420" s="16" t="str">
        <f t="shared" si="52"/>
        <v>Other</v>
      </c>
      <c r="P420" s="16" t="str">
        <f t="shared" si="56"/>
        <v/>
      </c>
      <c r="S420" s="27" t="str">
        <v/>
      </c>
      <c r="T420" s="18" t="str">
        <f>IFERROR( IF( COUNTIF($R$2:R420,R420)=1, IF(VALUE(R420)=0,"",VALUE(R420)), "" ), "" )</f>
        <v/>
      </c>
      <c r="U420" s="8" t="str">
        <f t="shared" si="58"/>
        <v/>
      </c>
      <c r="W420" s="19"/>
      <c r="X420" s="19"/>
    </row>
    <row r="421" spans="1:24" ht="25.05" customHeight="1" x14ac:dyDescent="0.45">
      <c r="A421" s="2"/>
      <c r="B421" s="2"/>
      <c r="C421" s="2"/>
      <c r="D421" s="3"/>
      <c r="E421" s="2"/>
      <c r="F421" s="2"/>
      <c r="G421" s="2"/>
      <c r="H421" s="2"/>
      <c r="K421" s="15" t="e">
        <f t="shared" si="53"/>
        <v>#VALUE!</v>
      </c>
      <c r="L421" s="15" t="e">
        <f t="shared" si="54"/>
        <v>#VALUE!</v>
      </c>
      <c r="M421" s="16" t="e">
        <f t="shared" si="55"/>
        <v>#VALUE!</v>
      </c>
      <c r="N421" s="16" t="e">
        <f t="shared" si="59"/>
        <v>#VALUE!</v>
      </c>
      <c r="O421" s="16" t="str">
        <f t="shared" si="52"/>
        <v>Other</v>
      </c>
      <c r="P421" s="16" t="str">
        <f t="shared" si="56"/>
        <v/>
      </c>
      <c r="S421" s="27" t="str">
        <v/>
      </c>
      <c r="T421" s="18" t="str">
        <f>IFERROR( IF( COUNTIF($R$2:R421,R421)=1, IF(VALUE(R421)=0,"",VALUE(R421)), "" ), "" )</f>
        <v/>
      </c>
      <c r="U421" s="8" t="str">
        <f t="shared" si="58"/>
        <v/>
      </c>
      <c r="W421" s="19"/>
      <c r="X421" s="19"/>
    </row>
    <row r="422" spans="1:24" ht="25.05" customHeight="1" x14ac:dyDescent="0.45">
      <c r="A422" s="2"/>
      <c r="B422" s="2"/>
      <c r="C422" s="2"/>
      <c r="D422" s="3"/>
      <c r="E422" s="2"/>
      <c r="F422" s="2"/>
      <c r="G422" s="2"/>
      <c r="H422" s="2"/>
      <c r="K422" s="15" t="e">
        <f t="shared" si="53"/>
        <v>#VALUE!</v>
      </c>
      <c r="L422" s="15" t="e">
        <f t="shared" si="54"/>
        <v>#VALUE!</v>
      </c>
      <c r="M422" s="16" t="e">
        <f t="shared" si="55"/>
        <v>#VALUE!</v>
      </c>
      <c r="N422" s="16" t="e">
        <f t="shared" si="59"/>
        <v>#VALUE!</v>
      </c>
      <c r="O422" s="16" t="str">
        <f t="shared" ref="O422:O485" si="60">IF(LEFT(E422, 6)="TenGig", "10G (Ten Gig)", IF(LEFT(E422, 10)="HundredGig", "100G (Hundred Gig)", "Other"))</f>
        <v>Other</v>
      </c>
      <c r="P422" s="16" t="str">
        <f t="shared" si="56"/>
        <v/>
      </c>
      <c r="S422" s="27" t="str">
        <v/>
      </c>
      <c r="T422" s="18" t="str">
        <f>IFERROR( IF( COUNTIF($R$2:R422,R422)=1, IF(VALUE(R422)=0,"",VALUE(R422)), "" ), "" )</f>
        <v/>
      </c>
      <c r="U422" s="8" t="str">
        <f t="shared" si="58"/>
        <v/>
      </c>
      <c r="W422" s="19"/>
      <c r="X422" s="19"/>
    </row>
    <row r="423" spans="1:24" ht="25.05" customHeight="1" x14ac:dyDescent="0.45">
      <c r="A423" s="2"/>
      <c r="B423" s="2"/>
      <c r="C423" s="2"/>
      <c r="D423" s="3"/>
      <c r="E423" s="2"/>
      <c r="F423" s="2"/>
      <c r="G423" s="2"/>
      <c r="H423" s="2"/>
      <c r="K423" s="15" t="e">
        <f t="shared" ref="K423:K486" si="61">LEFT(A423, FIND("-", A423)-1)</f>
        <v>#VALUE!</v>
      </c>
      <c r="L423" s="15" t="e">
        <f t="shared" si="54"/>
        <v>#VALUE!</v>
      </c>
      <c r="M423" s="16" t="e">
        <f t="shared" si="55"/>
        <v>#VALUE!</v>
      </c>
      <c r="N423" s="16" t="e">
        <f t="shared" si="59"/>
        <v>#VALUE!</v>
      </c>
      <c r="O423" s="16" t="str">
        <f t="shared" si="60"/>
        <v>Other</v>
      </c>
      <c r="P423" s="16" t="str">
        <f t="shared" si="56"/>
        <v/>
      </c>
      <c r="S423" s="27" t="str">
        <v/>
      </c>
      <c r="T423" s="18" t="str">
        <f>IFERROR( IF( COUNTIF($R$2:R423,R423)=1, IF(VALUE(R423)=0,"",VALUE(R423)), "" ), "" )</f>
        <v/>
      </c>
      <c r="U423" s="8" t="str">
        <f t="shared" ref="U423:U426" si="62">IFERROR( IF( _xlfn.XLOOKUP(R423, M423:M594, O423:O594)=0, "", _xlfn.XLOOKUP(R423, M423:M594, O423:O594) ), "" )</f>
        <v/>
      </c>
      <c r="W423" s="19"/>
      <c r="X423" s="19"/>
    </row>
    <row r="424" spans="1:24" ht="25.05" customHeight="1" x14ac:dyDescent="0.45">
      <c r="A424" s="2"/>
      <c r="B424" s="2"/>
      <c r="C424" s="2"/>
      <c r="D424" s="3"/>
      <c r="E424" s="2"/>
      <c r="F424" s="2"/>
      <c r="G424" s="2"/>
      <c r="H424" s="2"/>
      <c r="K424" s="15" t="e">
        <f t="shared" si="61"/>
        <v>#VALUE!</v>
      </c>
      <c r="L424" s="15" t="e">
        <f t="shared" si="54"/>
        <v>#VALUE!</v>
      </c>
      <c r="M424" s="16" t="e">
        <f t="shared" si="55"/>
        <v>#VALUE!</v>
      </c>
      <c r="N424" s="16" t="e">
        <f t="shared" si="59"/>
        <v>#VALUE!</v>
      </c>
      <c r="O424" s="16" t="str">
        <f t="shared" si="60"/>
        <v>Other</v>
      </c>
      <c r="P424" s="16" t="str">
        <f t="shared" si="56"/>
        <v/>
      </c>
      <c r="S424" s="27" t="str">
        <v/>
      </c>
      <c r="T424" s="18" t="str">
        <f>IFERROR( IF( COUNTIF($R$2:R424,R424)=1, IF(VALUE(R424)=0,"",VALUE(R424)), "" ), "" )</f>
        <v/>
      </c>
      <c r="U424" s="8" t="str">
        <f t="shared" si="62"/>
        <v/>
      </c>
      <c r="W424" s="19"/>
      <c r="X424" s="19"/>
    </row>
    <row r="425" spans="1:24" ht="25.05" customHeight="1" x14ac:dyDescent="0.45">
      <c r="A425" s="2"/>
      <c r="B425" s="2"/>
      <c r="C425" s="2"/>
      <c r="D425" s="3"/>
      <c r="E425" s="2"/>
      <c r="F425" s="2"/>
      <c r="G425" s="2"/>
      <c r="H425" s="2"/>
      <c r="K425" s="15" t="e">
        <f t="shared" si="61"/>
        <v>#VALUE!</v>
      </c>
      <c r="L425" s="15" t="e">
        <f t="shared" ref="L425:L488" si="63">LEFT(C425, FIND("-", C425)-1)</f>
        <v>#VALUE!</v>
      </c>
      <c r="M425" s="16" t="e">
        <f t="shared" si="55"/>
        <v>#VALUE!</v>
      </c>
      <c r="N425" s="16" t="e">
        <f t="shared" si="59"/>
        <v>#VALUE!</v>
      </c>
      <c r="O425" s="16" t="str">
        <f t="shared" si="60"/>
        <v>Other</v>
      </c>
      <c r="P425" s="16" t="str">
        <f t="shared" si="56"/>
        <v/>
      </c>
      <c r="S425" s="27" t="str">
        <v/>
      </c>
      <c r="T425" s="18" t="str">
        <f>IFERROR( IF( COUNTIF($R$2:R425,R425)=1, IF(VALUE(R425)=0,"",VALUE(R425)), "" ), "" )</f>
        <v/>
      </c>
      <c r="U425" s="8" t="str">
        <f t="shared" si="62"/>
        <v/>
      </c>
      <c r="W425" s="19"/>
      <c r="X425" s="19"/>
    </row>
    <row r="426" spans="1:24" ht="25.05" customHeight="1" x14ac:dyDescent="0.45">
      <c r="A426" s="2"/>
      <c r="B426" s="2"/>
      <c r="C426" s="2"/>
      <c r="D426" s="3"/>
      <c r="E426" s="2"/>
      <c r="F426" s="2"/>
      <c r="G426" s="2"/>
      <c r="H426" s="2"/>
      <c r="K426" s="15" t="e">
        <f t="shared" si="61"/>
        <v>#VALUE!</v>
      </c>
      <c r="L426" s="15" t="e">
        <f t="shared" si="63"/>
        <v>#VALUE!</v>
      </c>
      <c r="M426" s="16" t="e">
        <f t="shared" si="55"/>
        <v>#VALUE!</v>
      </c>
      <c r="N426" s="16" t="e">
        <f t="shared" si="59"/>
        <v>#VALUE!</v>
      </c>
      <c r="O426" s="16" t="str">
        <f t="shared" si="60"/>
        <v>Other</v>
      </c>
      <c r="P426" s="16" t="str">
        <f t="shared" si="56"/>
        <v/>
      </c>
      <c r="S426" s="27" t="str">
        <v/>
      </c>
      <c r="T426" s="18" t="str">
        <f>IFERROR( IF( COUNTIF($R$2:R426,R426)=1, IF(VALUE(R426)=0,"",VALUE(R426)), "" ), "" )</f>
        <v/>
      </c>
      <c r="U426" s="8" t="str">
        <f t="shared" si="62"/>
        <v/>
      </c>
      <c r="W426" s="19"/>
      <c r="X426" s="19"/>
    </row>
    <row r="427" spans="1:24" ht="25.05" customHeight="1" x14ac:dyDescent="0.45">
      <c r="A427" s="2"/>
      <c r="B427" s="2"/>
      <c r="C427" s="2"/>
      <c r="D427" s="3"/>
      <c r="E427" s="2"/>
      <c r="F427" s="2"/>
      <c r="G427" s="2"/>
      <c r="H427" s="2"/>
      <c r="K427" s="15" t="e">
        <f t="shared" si="61"/>
        <v>#VALUE!</v>
      </c>
      <c r="L427" s="15" t="e">
        <f t="shared" si="63"/>
        <v>#VALUE!</v>
      </c>
      <c r="M427" s="16" t="e">
        <f t="shared" si="55"/>
        <v>#VALUE!</v>
      </c>
      <c r="N427" s="16" t="e">
        <f t="shared" si="59"/>
        <v>#VALUE!</v>
      </c>
      <c r="O427" s="16" t="str">
        <f t="shared" si="60"/>
        <v>Other</v>
      </c>
      <c r="P427" s="16" t="str">
        <f t="shared" si="56"/>
        <v/>
      </c>
      <c r="S427" s="27" t="str">
        <v/>
      </c>
      <c r="T427" s="18" t="str">
        <f>IFERROR( IF( COUNTIF($R$2:R427,R427)=1, IF(VALUE(R427)=0,"",VALUE(R427)), "" ), "" )</f>
        <v/>
      </c>
      <c r="W427" s="19"/>
      <c r="X427" s="19"/>
    </row>
    <row r="428" spans="1:24" ht="25.05" customHeight="1" x14ac:dyDescent="0.45">
      <c r="A428" s="2"/>
      <c r="B428" s="2"/>
      <c r="C428" s="2"/>
      <c r="D428" s="3"/>
      <c r="E428" s="2"/>
      <c r="F428" s="2"/>
      <c r="G428" s="2"/>
      <c r="H428" s="2"/>
      <c r="K428" s="15" t="e">
        <f t="shared" si="61"/>
        <v>#VALUE!</v>
      </c>
      <c r="L428" s="15" t="e">
        <f t="shared" si="63"/>
        <v>#VALUE!</v>
      </c>
      <c r="M428" s="16" t="e">
        <f t="shared" si="55"/>
        <v>#VALUE!</v>
      </c>
      <c r="N428" s="16" t="e">
        <f t="shared" si="59"/>
        <v>#VALUE!</v>
      </c>
      <c r="O428" s="16" t="str">
        <f t="shared" si="60"/>
        <v>Other</v>
      </c>
      <c r="P428" s="16" t="str">
        <f t="shared" si="56"/>
        <v/>
      </c>
      <c r="S428" s="27" t="str">
        <v/>
      </c>
      <c r="T428" s="18" t="str">
        <f>IFERROR( IF( COUNTIF($R$2:R428,R428)=1, IF(VALUE(R428)=0,"",VALUE(R428)), "" ), "" )</f>
        <v/>
      </c>
      <c r="W428" s="19"/>
      <c r="X428" s="19"/>
    </row>
    <row r="429" spans="1:24" ht="25.05" customHeight="1" x14ac:dyDescent="0.45">
      <c r="A429" s="2"/>
      <c r="B429" s="2"/>
      <c r="C429" s="2"/>
      <c r="D429" s="3"/>
      <c r="E429" s="2"/>
      <c r="F429" s="2"/>
      <c r="G429" s="2"/>
      <c r="H429" s="2"/>
      <c r="K429" s="15" t="e">
        <f t="shared" si="61"/>
        <v>#VALUE!</v>
      </c>
      <c r="L429" s="15" t="e">
        <f t="shared" si="63"/>
        <v>#VALUE!</v>
      </c>
      <c r="M429" s="16" t="e">
        <f t="shared" si="55"/>
        <v>#VALUE!</v>
      </c>
      <c r="N429" s="16" t="e">
        <f t="shared" si="59"/>
        <v>#VALUE!</v>
      </c>
      <c r="O429" s="16" t="str">
        <f t="shared" si="60"/>
        <v>Other</v>
      </c>
      <c r="P429" s="16" t="str">
        <f t="shared" si="56"/>
        <v/>
      </c>
      <c r="S429" s="27" t="str">
        <v/>
      </c>
      <c r="T429" s="18" t="str">
        <f>IFERROR( IF( COUNTIF($R$2:R429,R429)=1, IF(VALUE(R429)=0,"",VALUE(R429)), "" ), "" )</f>
        <v/>
      </c>
      <c r="W429" s="19"/>
      <c r="X429" s="19"/>
    </row>
    <row r="430" spans="1:24" ht="25.05" customHeight="1" x14ac:dyDescent="0.45">
      <c r="A430" s="2"/>
      <c r="B430" s="2"/>
      <c r="C430" s="2"/>
      <c r="D430" s="3"/>
      <c r="E430" s="2"/>
      <c r="F430" s="2"/>
      <c r="G430" s="2"/>
      <c r="H430" s="2"/>
      <c r="K430" s="15" t="e">
        <f t="shared" si="61"/>
        <v>#VALUE!</v>
      </c>
      <c r="L430" s="15" t="e">
        <f t="shared" si="63"/>
        <v>#VALUE!</v>
      </c>
      <c r="M430" s="16" t="e">
        <f t="shared" si="55"/>
        <v>#VALUE!</v>
      </c>
      <c r="N430" s="16" t="e">
        <f t="shared" si="59"/>
        <v>#VALUE!</v>
      </c>
      <c r="O430" s="16" t="str">
        <f t="shared" si="60"/>
        <v>Other</v>
      </c>
      <c r="P430" s="16" t="str">
        <f t="shared" si="56"/>
        <v/>
      </c>
      <c r="S430" s="27" t="str">
        <v/>
      </c>
      <c r="T430" s="18" t="str">
        <f>IFERROR( IF( COUNTIF($R$2:R430,R430)=1, IF(VALUE(R430)=0,"",VALUE(R430)), "" ), "" )</f>
        <v/>
      </c>
      <c r="W430" s="19"/>
      <c r="X430" s="19"/>
    </row>
    <row r="431" spans="1:24" ht="25.05" customHeight="1" x14ac:dyDescent="0.45">
      <c r="A431" s="2"/>
      <c r="B431" s="2"/>
      <c r="C431" s="2"/>
      <c r="D431" s="3"/>
      <c r="E431" s="2"/>
      <c r="F431" s="2"/>
      <c r="G431" s="2"/>
      <c r="H431" s="2"/>
      <c r="K431" s="15" t="e">
        <f t="shared" si="61"/>
        <v>#VALUE!</v>
      </c>
      <c r="L431" s="15" t="e">
        <f t="shared" si="63"/>
        <v>#VALUE!</v>
      </c>
      <c r="M431" s="16" t="e">
        <f t="shared" si="55"/>
        <v>#VALUE!</v>
      </c>
      <c r="N431" s="16" t="e">
        <f t="shared" si="59"/>
        <v>#VALUE!</v>
      </c>
      <c r="O431" s="16" t="str">
        <f t="shared" si="60"/>
        <v>Other</v>
      </c>
      <c r="P431" s="16" t="str">
        <f t="shared" si="56"/>
        <v/>
      </c>
      <c r="S431" s="27" t="str">
        <v/>
      </c>
      <c r="W431" s="19"/>
      <c r="X431" s="19"/>
    </row>
    <row r="432" spans="1:24" ht="25.05" customHeight="1" x14ac:dyDescent="0.45">
      <c r="A432" s="2"/>
      <c r="B432" s="2"/>
      <c r="C432" s="2"/>
      <c r="D432" s="3"/>
      <c r="E432" s="2"/>
      <c r="F432" s="2"/>
      <c r="G432" s="2"/>
      <c r="H432" s="2"/>
      <c r="K432" s="15" t="e">
        <f t="shared" si="61"/>
        <v>#VALUE!</v>
      </c>
      <c r="L432" s="15" t="e">
        <f t="shared" si="63"/>
        <v>#VALUE!</v>
      </c>
      <c r="M432" s="16" t="e">
        <f t="shared" si="55"/>
        <v>#VALUE!</v>
      </c>
      <c r="N432" s="16" t="e">
        <f t="shared" si="59"/>
        <v>#VALUE!</v>
      </c>
      <c r="O432" s="16" t="str">
        <f t="shared" si="60"/>
        <v>Other</v>
      </c>
      <c r="P432" s="16" t="str">
        <f t="shared" si="56"/>
        <v/>
      </c>
      <c r="S432" s="27" t="str">
        <v/>
      </c>
      <c r="W432" s="19"/>
      <c r="X432" s="19"/>
    </row>
    <row r="433" spans="1:24" ht="25.05" customHeight="1" x14ac:dyDescent="0.45">
      <c r="A433" s="2"/>
      <c r="B433" s="2"/>
      <c r="C433" s="2"/>
      <c r="D433" s="3"/>
      <c r="E433" s="2"/>
      <c r="F433" s="2"/>
      <c r="G433" s="2"/>
      <c r="H433" s="2"/>
      <c r="K433" s="15" t="e">
        <f t="shared" si="61"/>
        <v>#VALUE!</v>
      </c>
      <c r="L433" s="15" t="e">
        <f t="shared" si="63"/>
        <v>#VALUE!</v>
      </c>
      <c r="M433" s="16" t="e">
        <f t="shared" si="55"/>
        <v>#VALUE!</v>
      </c>
      <c r="N433" s="16" t="e">
        <f t="shared" si="59"/>
        <v>#VALUE!</v>
      </c>
      <c r="O433" s="16" t="str">
        <f t="shared" si="60"/>
        <v>Other</v>
      </c>
      <c r="P433" s="16" t="str">
        <f t="shared" si="56"/>
        <v/>
      </c>
      <c r="S433" s="27" t="str">
        <v/>
      </c>
      <c r="W433" s="19"/>
      <c r="X433" s="19"/>
    </row>
    <row r="434" spans="1:24" ht="25.05" customHeight="1" x14ac:dyDescent="0.45">
      <c r="A434" s="2"/>
      <c r="B434" s="2"/>
      <c r="C434" s="2"/>
      <c r="D434" s="3"/>
      <c r="E434" s="2"/>
      <c r="F434" s="2"/>
      <c r="G434" s="2"/>
      <c r="H434" s="2"/>
      <c r="K434" s="15" t="e">
        <f t="shared" si="61"/>
        <v>#VALUE!</v>
      </c>
      <c r="L434" s="15" t="e">
        <f t="shared" si="63"/>
        <v>#VALUE!</v>
      </c>
      <c r="M434" s="16" t="e">
        <f t="shared" si="55"/>
        <v>#VALUE!</v>
      </c>
      <c r="N434" s="16" t="e">
        <f t="shared" si="59"/>
        <v>#VALUE!</v>
      </c>
      <c r="O434" s="16" t="str">
        <f t="shared" si="60"/>
        <v>Other</v>
      </c>
      <c r="P434" s="16" t="str">
        <f t="shared" si="56"/>
        <v/>
      </c>
      <c r="S434" s="27" t="str">
        <v/>
      </c>
      <c r="W434" s="19"/>
      <c r="X434" s="19"/>
    </row>
    <row r="435" spans="1:24" ht="25.05" customHeight="1" x14ac:dyDescent="0.45">
      <c r="A435" s="2"/>
      <c r="B435" s="2"/>
      <c r="C435" s="2"/>
      <c r="D435" s="3"/>
      <c r="E435" s="2"/>
      <c r="F435" s="2"/>
      <c r="G435" s="2"/>
      <c r="H435" s="2"/>
      <c r="K435" s="15" t="e">
        <f t="shared" si="61"/>
        <v>#VALUE!</v>
      </c>
      <c r="L435" s="15" t="e">
        <f t="shared" si="63"/>
        <v>#VALUE!</v>
      </c>
      <c r="M435" s="16" t="e">
        <f t="shared" si="55"/>
        <v>#VALUE!</v>
      </c>
      <c r="N435" s="16" t="e">
        <f t="shared" si="59"/>
        <v>#VALUE!</v>
      </c>
      <c r="O435" s="16" t="str">
        <f t="shared" si="60"/>
        <v>Other</v>
      </c>
      <c r="P435" s="16" t="str">
        <f t="shared" si="56"/>
        <v/>
      </c>
      <c r="S435" s="27" t="str">
        <v/>
      </c>
      <c r="W435" s="19"/>
      <c r="X435" s="19"/>
    </row>
    <row r="436" spans="1:24" ht="25.05" customHeight="1" x14ac:dyDescent="0.45">
      <c r="A436" s="2"/>
      <c r="B436" s="2"/>
      <c r="C436" s="2"/>
      <c r="D436" s="3"/>
      <c r="E436" s="2"/>
      <c r="F436" s="2"/>
      <c r="G436" s="2"/>
      <c r="H436" s="2"/>
      <c r="K436" s="15" t="e">
        <f t="shared" si="61"/>
        <v>#VALUE!</v>
      </c>
      <c r="L436" s="15" t="e">
        <f t="shared" si="63"/>
        <v>#VALUE!</v>
      </c>
      <c r="M436" s="16" t="e">
        <f t="shared" si="55"/>
        <v>#VALUE!</v>
      </c>
      <c r="N436" s="16" t="e">
        <f t="shared" si="59"/>
        <v>#VALUE!</v>
      </c>
      <c r="O436" s="16" t="str">
        <f t="shared" si="60"/>
        <v>Other</v>
      </c>
      <c r="P436" s="16" t="str">
        <f t="shared" si="56"/>
        <v/>
      </c>
      <c r="S436" s="27" t="str">
        <v/>
      </c>
      <c r="W436" s="19"/>
      <c r="X436" s="19"/>
    </row>
    <row r="437" spans="1:24" ht="25.05" customHeight="1" x14ac:dyDescent="0.45">
      <c r="A437" s="2"/>
      <c r="B437" s="2"/>
      <c r="C437" s="2"/>
      <c r="D437" s="3"/>
      <c r="E437" s="2"/>
      <c r="F437" s="2"/>
      <c r="G437" s="2"/>
      <c r="H437" s="2"/>
      <c r="K437" s="15" t="e">
        <f t="shared" si="61"/>
        <v>#VALUE!</v>
      </c>
      <c r="L437" s="15" t="e">
        <f t="shared" si="63"/>
        <v>#VALUE!</v>
      </c>
      <c r="M437" s="16" t="e">
        <f t="shared" si="55"/>
        <v>#VALUE!</v>
      </c>
      <c r="N437" s="16" t="e">
        <f t="shared" si="59"/>
        <v>#VALUE!</v>
      </c>
      <c r="O437" s="16" t="str">
        <f t="shared" si="60"/>
        <v>Other</v>
      </c>
      <c r="P437" s="16" t="str">
        <f t="shared" si="56"/>
        <v/>
      </c>
      <c r="S437" s="27" t="str">
        <v/>
      </c>
      <c r="W437" s="19"/>
      <c r="X437" s="19"/>
    </row>
    <row r="438" spans="1:24" ht="25.05" customHeight="1" x14ac:dyDescent="0.45">
      <c r="A438" s="2"/>
      <c r="B438" s="2"/>
      <c r="C438" s="2"/>
      <c r="D438" s="3"/>
      <c r="E438" s="2"/>
      <c r="F438" s="2"/>
      <c r="G438" s="2"/>
      <c r="H438" s="2"/>
      <c r="K438" s="15" t="e">
        <f t="shared" si="61"/>
        <v>#VALUE!</v>
      </c>
      <c r="L438" s="15" t="e">
        <f t="shared" si="63"/>
        <v>#VALUE!</v>
      </c>
      <c r="M438" s="16" t="e">
        <f t="shared" si="55"/>
        <v>#VALUE!</v>
      </c>
      <c r="N438" s="16" t="e">
        <f t="shared" si="59"/>
        <v>#VALUE!</v>
      </c>
      <c r="O438" s="16" t="str">
        <f t="shared" si="60"/>
        <v>Other</v>
      </c>
      <c r="P438" s="16" t="str">
        <f t="shared" si="56"/>
        <v/>
      </c>
      <c r="S438" s="27" t="str">
        <v/>
      </c>
      <c r="W438" s="19"/>
      <c r="X438" s="19"/>
    </row>
    <row r="439" spans="1:24" ht="25.05" customHeight="1" x14ac:dyDescent="0.45">
      <c r="A439" s="2"/>
      <c r="B439" s="2"/>
      <c r="C439" s="2"/>
      <c r="D439" s="3"/>
      <c r="E439" s="2"/>
      <c r="F439" s="2"/>
      <c r="G439" s="2"/>
      <c r="H439" s="2"/>
      <c r="K439" s="15" t="e">
        <f t="shared" si="61"/>
        <v>#VALUE!</v>
      </c>
      <c r="L439" s="15" t="e">
        <f t="shared" si="63"/>
        <v>#VALUE!</v>
      </c>
      <c r="M439" s="16" t="e">
        <f t="shared" si="55"/>
        <v>#VALUE!</v>
      </c>
      <c r="N439" s="16" t="e">
        <f t="shared" si="59"/>
        <v>#VALUE!</v>
      </c>
      <c r="O439" s="16" t="str">
        <f t="shared" si="60"/>
        <v>Other</v>
      </c>
      <c r="P439" s="16" t="str">
        <f t="shared" si="56"/>
        <v/>
      </c>
      <c r="S439" s="27" t="str">
        <v/>
      </c>
      <c r="W439" s="19"/>
      <c r="X439" s="19"/>
    </row>
    <row r="440" spans="1:24" ht="25.05" customHeight="1" x14ac:dyDescent="0.45">
      <c r="A440" s="2"/>
      <c r="B440" s="2"/>
      <c r="C440" s="2"/>
      <c r="D440" s="3"/>
      <c r="E440" s="2"/>
      <c r="F440" s="2"/>
      <c r="G440" s="2"/>
      <c r="H440" s="2"/>
      <c r="K440" s="15" t="e">
        <f t="shared" si="61"/>
        <v>#VALUE!</v>
      </c>
      <c r="L440" s="15" t="e">
        <f t="shared" si="63"/>
        <v>#VALUE!</v>
      </c>
      <c r="M440" s="16" t="e">
        <f t="shared" si="55"/>
        <v>#VALUE!</v>
      </c>
      <c r="N440" s="16" t="e">
        <f t="shared" si="59"/>
        <v>#VALUE!</v>
      </c>
      <c r="O440" s="16" t="str">
        <f t="shared" si="60"/>
        <v>Other</v>
      </c>
      <c r="P440" s="16" t="str">
        <f t="shared" si="56"/>
        <v/>
      </c>
      <c r="S440" s="27" t="str">
        <v/>
      </c>
      <c r="W440" s="19"/>
      <c r="X440" s="19"/>
    </row>
    <row r="441" spans="1:24" ht="25.05" customHeight="1" x14ac:dyDescent="0.45">
      <c r="A441" s="2"/>
      <c r="B441" s="2"/>
      <c r="C441" s="2"/>
      <c r="D441" s="3"/>
      <c r="E441" s="2"/>
      <c r="F441" s="2"/>
      <c r="G441" s="2"/>
      <c r="H441" s="2"/>
      <c r="K441" s="15" t="e">
        <f t="shared" si="61"/>
        <v>#VALUE!</v>
      </c>
      <c r="L441" s="15" t="e">
        <f t="shared" si="63"/>
        <v>#VALUE!</v>
      </c>
      <c r="M441" s="16" t="e">
        <f t="shared" si="55"/>
        <v>#VALUE!</v>
      </c>
      <c r="N441" s="16" t="e">
        <f t="shared" si="59"/>
        <v>#VALUE!</v>
      </c>
      <c r="O441" s="16" t="str">
        <f t="shared" si="60"/>
        <v>Other</v>
      </c>
      <c r="P441" s="16" t="str">
        <f t="shared" si="56"/>
        <v/>
      </c>
      <c r="S441" s="27" t="str">
        <v/>
      </c>
      <c r="W441" s="19"/>
      <c r="X441" s="19"/>
    </row>
    <row r="442" spans="1:24" ht="25.05" customHeight="1" x14ac:dyDescent="0.45">
      <c r="A442" s="2"/>
      <c r="B442" s="2"/>
      <c r="C442" s="2"/>
      <c r="D442" s="3"/>
      <c r="E442" s="2"/>
      <c r="F442" s="2"/>
      <c r="G442" s="2"/>
      <c r="H442" s="2"/>
      <c r="K442" s="15" t="e">
        <f t="shared" si="61"/>
        <v>#VALUE!</v>
      </c>
      <c r="L442" s="15" t="e">
        <f t="shared" si="63"/>
        <v>#VALUE!</v>
      </c>
      <c r="M442" s="16" t="e">
        <f t="shared" si="55"/>
        <v>#VALUE!</v>
      </c>
      <c r="N442" s="16" t="e">
        <f t="shared" si="59"/>
        <v>#VALUE!</v>
      </c>
      <c r="O442" s="16" t="str">
        <f t="shared" si="60"/>
        <v>Other</v>
      </c>
      <c r="P442" s="16" t="str">
        <f t="shared" si="56"/>
        <v/>
      </c>
      <c r="S442" s="27" t="str">
        <v/>
      </c>
      <c r="W442" s="19"/>
      <c r="X442" s="19"/>
    </row>
    <row r="443" spans="1:24" ht="25.05" customHeight="1" x14ac:dyDescent="0.45">
      <c r="A443" s="2"/>
      <c r="B443" s="2"/>
      <c r="C443" s="2"/>
      <c r="D443" s="3"/>
      <c r="E443" s="2"/>
      <c r="F443" s="2"/>
      <c r="G443" s="2"/>
      <c r="H443" s="2"/>
      <c r="K443" s="15" t="e">
        <f t="shared" si="61"/>
        <v>#VALUE!</v>
      </c>
      <c r="L443" s="15" t="e">
        <f t="shared" si="63"/>
        <v>#VALUE!</v>
      </c>
      <c r="M443" s="16" t="e">
        <f t="shared" si="55"/>
        <v>#VALUE!</v>
      </c>
      <c r="N443" s="16" t="e">
        <f t="shared" si="59"/>
        <v>#VALUE!</v>
      </c>
      <c r="O443" s="16" t="str">
        <f t="shared" si="60"/>
        <v>Other</v>
      </c>
      <c r="P443" s="16" t="str">
        <f t="shared" si="56"/>
        <v/>
      </c>
      <c r="S443" s="27" t="str">
        <v/>
      </c>
      <c r="W443" s="19"/>
      <c r="X443" s="19"/>
    </row>
    <row r="444" spans="1:24" ht="25.05" customHeight="1" x14ac:dyDescent="0.45">
      <c r="A444" s="2"/>
      <c r="B444" s="2"/>
      <c r="C444" s="2"/>
      <c r="D444" s="3"/>
      <c r="E444" s="2"/>
      <c r="F444" s="2"/>
      <c r="G444" s="2"/>
      <c r="H444" s="2"/>
      <c r="K444" s="15" t="e">
        <f t="shared" si="61"/>
        <v>#VALUE!</v>
      </c>
      <c r="L444" s="15" t="e">
        <f t="shared" si="63"/>
        <v>#VALUE!</v>
      </c>
      <c r="M444" s="16" t="e">
        <f t="shared" si="55"/>
        <v>#VALUE!</v>
      </c>
      <c r="N444" s="16" t="e">
        <f t="shared" si="59"/>
        <v>#VALUE!</v>
      </c>
      <c r="O444" s="16" t="str">
        <f t="shared" si="60"/>
        <v>Other</v>
      </c>
      <c r="P444" s="16" t="str">
        <f t="shared" si="56"/>
        <v/>
      </c>
      <c r="S444" s="27" t="str">
        <v/>
      </c>
      <c r="W444" s="19"/>
      <c r="X444" s="19"/>
    </row>
    <row r="445" spans="1:24" ht="25.05" customHeight="1" x14ac:dyDescent="0.45">
      <c r="A445" s="2"/>
      <c r="B445" s="2"/>
      <c r="C445" s="2"/>
      <c r="D445" s="3"/>
      <c r="E445" s="2"/>
      <c r="F445" s="2"/>
      <c r="G445" s="2"/>
      <c r="H445" s="2"/>
      <c r="K445" s="15" t="e">
        <f t="shared" si="61"/>
        <v>#VALUE!</v>
      </c>
      <c r="L445" s="15" t="e">
        <f t="shared" si="63"/>
        <v>#VALUE!</v>
      </c>
      <c r="M445" s="16" t="e">
        <f t="shared" si="55"/>
        <v>#VALUE!</v>
      </c>
      <c r="N445" s="16" t="e">
        <f t="shared" si="59"/>
        <v>#VALUE!</v>
      </c>
      <c r="O445" s="16" t="str">
        <f t="shared" si="60"/>
        <v>Other</v>
      </c>
      <c r="P445" s="16" t="str">
        <f t="shared" si="56"/>
        <v/>
      </c>
      <c r="S445" s="27" t="str">
        <v/>
      </c>
      <c r="W445" s="19"/>
      <c r="X445" s="19"/>
    </row>
    <row r="446" spans="1:24" ht="25.05" customHeight="1" x14ac:dyDescent="0.45">
      <c r="A446" s="2"/>
      <c r="B446" s="2"/>
      <c r="C446" s="2"/>
      <c r="D446" s="3"/>
      <c r="E446" s="2"/>
      <c r="F446" s="2"/>
      <c r="G446" s="2"/>
      <c r="H446" s="2"/>
      <c r="K446" s="15" t="e">
        <f t="shared" si="61"/>
        <v>#VALUE!</v>
      </c>
      <c r="L446" s="15" t="e">
        <f t="shared" si="63"/>
        <v>#VALUE!</v>
      </c>
      <c r="M446" s="16" t="e">
        <f t="shared" si="55"/>
        <v>#VALUE!</v>
      </c>
      <c r="N446" s="16" t="e">
        <f t="shared" si="59"/>
        <v>#VALUE!</v>
      </c>
      <c r="O446" s="16" t="str">
        <f t="shared" si="60"/>
        <v>Other</v>
      </c>
      <c r="P446" s="16" t="str">
        <f t="shared" si="56"/>
        <v/>
      </c>
      <c r="S446" s="27" t="str">
        <v/>
      </c>
      <c r="W446" s="19"/>
      <c r="X446" s="19"/>
    </row>
    <row r="447" spans="1:24" ht="25.05" customHeight="1" x14ac:dyDescent="0.45">
      <c r="K447" s="15" t="e">
        <f t="shared" si="61"/>
        <v>#VALUE!</v>
      </c>
      <c r="L447" s="15" t="e">
        <f t="shared" si="63"/>
        <v>#VALUE!</v>
      </c>
      <c r="M447" s="16" t="e">
        <f t="shared" si="55"/>
        <v>#VALUE!</v>
      </c>
      <c r="N447" s="16" t="e">
        <f t="shared" si="59"/>
        <v>#VALUE!</v>
      </c>
      <c r="O447" s="16" t="str">
        <f t="shared" si="60"/>
        <v>Other</v>
      </c>
      <c r="P447" s="16" t="str">
        <f t="shared" si="56"/>
        <v/>
      </c>
      <c r="S447" s="27" t="str">
        <v/>
      </c>
      <c r="W447" s="19"/>
      <c r="X447" s="19"/>
    </row>
    <row r="448" spans="1:24" ht="25.05" customHeight="1" x14ac:dyDescent="0.45">
      <c r="K448" s="15" t="e">
        <f t="shared" si="61"/>
        <v>#VALUE!</v>
      </c>
      <c r="L448" s="15" t="e">
        <f t="shared" si="63"/>
        <v>#VALUE!</v>
      </c>
      <c r="M448" s="16" t="e">
        <f t="shared" si="55"/>
        <v>#VALUE!</v>
      </c>
      <c r="N448" s="16" t="e">
        <f t="shared" si="59"/>
        <v>#VALUE!</v>
      </c>
      <c r="O448" s="16" t="str">
        <f t="shared" si="60"/>
        <v>Other</v>
      </c>
      <c r="P448" s="16" t="str">
        <f t="shared" si="56"/>
        <v/>
      </c>
      <c r="S448" s="27" t="str">
        <v/>
      </c>
      <c r="W448" s="19"/>
      <c r="X448" s="19"/>
    </row>
    <row r="449" spans="11:24" ht="25.05" customHeight="1" x14ac:dyDescent="0.45">
      <c r="K449" s="15" t="e">
        <f t="shared" si="61"/>
        <v>#VALUE!</v>
      </c>
      <c r="L449" s="15" t="e">
        <f t="shared" si="63"/>
        <v>#VALUE!</v>
      </c>
      <c r="M449" s="16" t="e">
        <f t="shared" si="55"/>
        <v>#VALUE!</v>
      </c>
      <c r="N449" s="16" t="e">
        <f t="shared" si="59"/>
        <v>#VALUE!</v>
      </c>
      <c r="O449" s="16" t="str">
        <f t="shared" si="60"/>
        <v>Other</v>
      </c>
      <c r="P449" s="16" t="str">
        <f t="shared" si="56"/>
        <v/>
      </c>
      <c r="S449" s="27" t="str">
        <v/>
      </c>
      <c r="W449" s="19"/>
      <c r="X449" s="19"/>
    </row>
    <row r="450" spans="11:24" ht="25.05" customHeight="1" x14ac:dyDescent="0.45">
      <c r="K450" s="15" t="e">
        <f t="shared" si="61"/>
        <v>#VALUE!</v>
      </c>
      <c r="L450" s="15" t="e">
        <f t="shared" si="63"/>
        <v>#VALUE!</v>
      </c>
      <c r="M450" s="16" t="e">
        <f t="shared" ref="M450:M513" si="64">MID(G450,FIND("LR-",G450)+3,FIND("-",G450,FIND("LR-",G450)+3)-FIND("LR-",G450)-3)</f>
        <v>#VALUE!</v>
      </c>
      <c r="N450" s="16" t="e">
        <f t="shared" si="59"/>
        <v>#VALUE!</v>
      </c>
      <c r="O450" s="16" t="str">
        <f t="shared" si="60"/>
        <v>Other</v>
      </c>
      <c r="P450" s="16" t="str">
        <f t="shared" ref="P450:P513" si="65">IF(S450&lt;&gt;"",IF(LEFT(S450,FIND(" &lt;&gt; ",S450)-1) &lt; MID(S450,FIND(" &lt;&gt; ",S450)+4,LEN(S450)),LEFT(S450,FIND(" &lt;&gt; ",S450)-1) &amp; " &lt;&gt; " &amp; MID(S450,FIND(" &lt;&gt; ",S450)+4,LEN(S450)),MID(S450,FIND(" &lt;&gt; ",S450)+4,LEN(S450)) &amp; " &lt;&gt; " &amp; LEFT(S450,FIND(" &lt;&gt; ",S450)-1)),"")</f>
        <v/>
      </c>
      <c r="S450" s="27" t="str">
        <v/>
      </c>
      <c r="W450" s="19"/>
      <c r="X450" s="19"/>
    </row>
    <row r="451" spans="11:24" ht="25.05" customHeight="1" x14ac:dyDescent="0.45">
      <c r="K451" s="15" t="e">
        <f t="shared" si="61"/>
        <v>#VALUE!</v>
      </c>
      <c r="L451" s="15" t="e">
        <f t="shared" si="63"/>
        <v>#VALUE!</v>
      </c>
      <c r="M451" s="16" t="e">
        <f t="shared" si="64"/>
        <v>#VALUE!</v>
      </c>
      <c r="N451" s="16" t="e">
        <f t="shared" si="59"/>
        <v>#VALUE!</v>
      </c>
      <c r="O451" s="16" t="str">
        <f t="shared" si="60"/>
        <v>Other</v>
      </c>
      <c r="P451" s="16" t="str">
        <f t="shared" si="65"/>
        <v/>
      </c>
      <c r="S451" s="27" t="str">
        <v/>
      </c>
      <c r="W451" s="19"/>
      <c r="X451" s="19"/>
    </row>
    <row r="452" spans="11:24" ht="25.05" customHeight="1" x14ac:dyDescent="0.45">
      <c r="K452" s="15" t="e">
        <f t="shared" si="61"/>
        <v>#VALUE!</v>
      </c>
      <c r="L452" s="15" t="e">
        <f t="shared" si="63"/>
        <v>#VALUE!</v>
      </c>
      <c r="M452" s="16" t="e">
        <f t="shared" si="64"/>
        <v>#VALUE!</v>
      </c>
      <c r="N452" s="16" t="e">
        <f t="shared" si="59"/>
        <v>#VALUE!</v>
      </c>
      <c r="O452" s="16" t="str">
        <f t="shared" si="60"/>
        <v>Other</v>
      </c>
      <c r="P452" s="16" t="str">
        <f t="shared" si="65"/>
        <v/>
      </c>
      <c r="S452" s="27" t="str">
        <v/>
      </c>
      <c r="W452" s="19"/>
      <c r="X452" s="19"/>
    </row>
    <row r="453" spans="11:24" ht="25.05" customHeight="1" x14ac:dyDescent="0.45">
      <c r="K453" s="15" t="e">
        <f t="shared" si="61"/>
        <v>#VALUE!</v>
      </c>
      <c r="L453" s="15" t="e">
        <f t="shared" si="63"/>
        <v>#VALUE!</v>
      </c>
      <c r="M453" s="16" t="e">
        <f t="shared" si="64"/>
        <v>#VALUE!</v>
      </c>
      <c r="N453" s="16" t="e">
        <f t="shared" si="59"/>
        <v>#VALUE!</v>
      </c>
      <c r="O453" s="16" t="str">
        <f t="shared" si="60"/>
        <v>Other</v>
      </c>
      <c r="P453" s="16" t="str">
        <f t="shared" si="65"/>
        <v/>
      </c>
      <c r="S453" s="27" t="str">
        <v/>
      </c>
      <c r="W453" s="19"/>
      <c r="X453" s="19"/>
    </row>
    <row r="454" spans="11:24" ht="25.05" customHeight="1" x14ac:dyDescent="0.45">
      <c r="K454" s="15" t="e">
        <f t="shared" si="61"/>
        <v>#VALUE!</v>
      </c>
      <c r="L454" s="15" t="e">
        <f t="shared" si="63"/>
        <v>#VALUE!</v>
      </c>
      <c r="M454" s="16" t="e">
        <f t="shared" si="64"/>
        <v>#VALUE!</v>
      </c>
      <c r="N454" s="16" t="e">
        <f t="shared" si="59"/>
        <v>#VALUE!</v>
      </c>
      <c r="O454" s="16" t="str">
        <f t="shared" si="60"/>
        <v>Other</v>
      </c>
      <c r="P454" s="16" t="str">
        <f t="shared" si="65"/>
        <v/>
      </c>
      <c r="S454" s="27" t="str">
        <v/>
      </c>
      <c r="W454" s="19"/>
      <c r="X454" s="19"/>
    </row>
    <row r="455" spans="11:24" ht="25.05" customHeight="1" x14ac:dyDescent="0.45">
      <c r="K455" s="15" t="e">
        <f t="shared" si="61"/>
        <v>#VALUE!</v>
      </c>
      <c r="L455" s="15" t="e">
        <f t="shared" si="63"/>
        <v>#VALUE!</v>
      </c>
      <c r="M455" s="16" t="e">
        <f t="shared" si="64"/>
        <v>#VALUE!</v>
      </c>
      <c r="N455" s="16" t="e">
        <f t="shared" si="59"/>
        <v>#VALUE!</v>
      </c>
      <c r="O455" s="16" t="str">
        <f t="shared" si="60"/>
        <v>Other</v>
      </c>
      <c r="P455" s="16" t="str">
        <f t="shared" si="65"/>
        <v/>
      </c>
      <c r="S455" s="27" t="str">
        <v/>
      </c>
      <c r="W455" s="19"/>
      <c r="X455" s="19"/>
    </row>
    <row r="456" spans="11:24" ht="25.05" customHeight="1" x14ac:dyDescent="0.45">
      <c r="K456" s="15" t="e">
        <f t="shared" si="61"/>
        <v>#VALUE!</v>
      </c>
      <c r="L456" s="15" t="e">
        <f t="shared" si="63"/>
        <v>#VALUE!</v>
      </c>
      <c r="M456" s="16" t="e">
        <f t="shared" si="64"/>
        <v>#VALUE!</v>
      </c>
      <c r="N456" s="16" t="e">
        <f t="shared" si="59"/>
        <v>#VALUE!</v>
      </c>
      <c r="O456" s="16" t="str">
        <f t="shared" si="60"/>
        <v>Other</v>
      </c>
      <c r="P456" s="16" t="str">
        <f t="shared" si="65"/>
        <v/>
      </c>
      <c r="S456" s="27" t="str">
        <v/>
      </c>
      <c r="W456" s="19"/>
      <c r="X456" s="19"/>
    </row>
    <row r="457" spans="11:24" ht="25.05" customHeight="1" x14ac:dyDescent="0.45">
      <c r="K457" s="15" t="e">
        <f t="shared" si="61"/>
        <v>#VALUE!</v>
      </c>
      <c r="L457" s="15" t="e">
        <f t="shared" si="63"/>
        <v>#VALUE!</v>
      </c>
      <c r="M457" s="16" t="e">
        <f t="shared" si="64"/>
        <v>#VALUE!</v>
      </c>
      <c r="N457" s="16" t="e">
        <f t="shared" si="59"/>
        <v>#VALUE!</v>
      </c>
      <c r="O457" s="16" t="str">
        <f t="shared" si="60"/>
        <v>Other</v>
      </c>
      <c r="P457" s="16" t="str">
        <f t="shared" si="65"/>
        <v/>
      </c>
      <c r="S457" s="27" t="str">
        <v/>
      </c>
      <c r="W457" s="19"/>
      <c r="X457" s="19"/>
    </row>
    <row r="458" spans="11:24" ht="25.05" customHeight="1" x14ac:dyDescent="0.45">
      <c r="K458" s="15" t="e">
        <f t="shared" si="61"/>
        <v>#VALUE!</v>
      </c>
      <c r="L458" s="15" t="e">
        <f t="shared" si="63"/>
        <v>#VALUE!</v>
      </c>
      <c r="M458" s="16" t="e">
        <f t="shared" si="64"/>
        <v>#VALUE!</v>
      </c>
      <c r="N458" s="16" t="e">
        <f t="shared" si="59"/>
        <v>#VALUE!</v>
      </c>
      <c r="O458" s="16" t="str">
        <f t="shared" si="60"/>
        <v>Other</v>
      </c>
      <c r="P458" s="16" t="str">
        <f t="shared" si="65"/>
        <v/>
      </c>
      <c r="S458" s="27" t="str">
        <v/>
      </c>
      <c r="W458" s="19"/>
      <c r="X458" s="19"/>
    </row>
    <row r="459" spans="11:24" ht="25.05" customHeight="1" x14ac:dyDescent="0.45">
      <c r="K459" s="15" t="e">
        <f t="shared" si="61"/>
        <v>#VALUE!</v>
      </c>
      <c r="L459" s="15" t="e">
        <f t="shared" si="63"/>
        <v>#VALUE!</v>
      </c>
      <c r="M459" s="16" t="e">
        <f t="shared" si="64"/>
        <v>#VALUE!</v>
      </c>
      <c r="N459" s="16" t="e">
        <f t="shared" si="59"/>
        <v>#VALUE!</v>
      </c>
      <c r="O459" s="16" t="str">
        <f t="shared" si="60"/>
        <v>Other</v>
      </c>
      <c r="P459" s="16" t="str">
        <f t="shared" si="65"/>
        <v/>
      </c>
      <c r="S459" s="27" t="str">
        <v/>
      </c>
      <c r="W459" s="19"/>
      <c r="X459" s="19"/>
    </row>
    <row r="460" spans="11:24" ht="25.05" customHeight="1" x14ac:dyDescent="0.45">
      <c r="K460" s="15" t="e">
        <f t="shared" si="61"/>
        <v>#VALUE!</v>
      </c>
      <c r="L460" s="15" t="e">
        <f t="shared" si="63"/>
        <v>#VALUE!</v>
      </c>
      <c r="M460" s="16" t="e">
        <f t="shared" si="64"/>
        <v>#VALUE!</v>
      </c>
      <c r="N460" s="16" t="e">
        <f t="shared" si="59"/>
        <v>#VALUE!</v>
      </c>
      <c r="O460" s="16" t="str">
        <f t="shared" si="60"/>
        <v>Other</v>
      </c>
      <c r="P460" s="16" t="str">
        <f t="shared" si="65"/>
        <v/>
      </c>
      <c r="S460" s="27" t="str">
        <v/>
      </c>
      <c r="W460" s="19"/>
      <c r="X460" s="19"/>
    </row>
    <row r="461" spans="11:24" ht="25.05" customHeight="1" x14ac:dyDescent="0.45">
      <c r="K461" s="15" t="e">
        <f t="shared" si="61"/>
        <v>#VALUE!</v>
      </c>
      <c r="L461" s="15" t="e">
        <f t="shared" si="63"/>
        <v>#VALUE!</v>
      </c>
      <c r="M461" s="16" t="e">
        <f t="shared" si="64"/>
        <v>#VALUE!</v>
      </c>
      <c r="N461" s="16" t="e">
        <f t="shared" si="59"/>
        <v>#VALUE!</v>
      </c>
      <c r="O461" s="16" t="str">
        <f t="shared" si="60"/>
        <v>Other</v>
      </c>
      <c r="P461" s="16" t="str">
        <f t="shared" si="65"/>
        <v/>
      </c>
      <c r="S461" s="27" t="str">
        <v/>
      </c>
      <c r="W461" s="19"/>
      <c r="X461" s="19"/>
    </row>
    <row r="462" spans="11:24" ht="25.05" customHeight="1" x14ac:dyDescent="0.45">
      <c r="K462" s="15" t="e">
        <f t="shared" si="61"/>
        <v>#VALUE!</v>
      </c>
      <c r="L462" s="15" t="e">
        <f t="shared" si="63"/>
        <v>#VALUE!</v>
      </c>
      <c r="M462" s="16" t="e">
        <f t="shared" si="64"/>
        <v>#VALUE!</v>
      </c>
      <c r="N462" s="16" t="e">
        <f t="shared" si="59"/>
        <v>#VALUE!</v>
      </c>
      <c r="O462" s="16" t="str">
        <f t="shared" si="60"/>
        <v>Other</v>
      </c>
      <c r="P462" s="16" t="str">
        <f t="shared" si="65"/>
        <v/>
      </c>
      <c r="S462" s="27" t="str">
        <v/>
      </c>
      <c r="W462" s="19"/>
      <c r="X462" s="19"/>
    </row>
    <row r="463" spans="11:24" ht="25.05" customHeight="1" x14ac:dyDescent="0.45">
      <c r="K463" s="15" t="e">
        <f t="shared" si="61"/>
        <v>#VALUE!</v>
      </c>
      <c r="L463" s="15" t="e">
        <f t="shared" si="63"/>
        <v>#VALUE!</v>
      </c>
      <c r="M463" s="16" t="e">
        <f t="shared" si="64"/>
        <v>#VALUE!</v>
      </c>
      <c r="N463" s="16" t="e">
        <f t="shared" si="59"/>
        <v>#VALUE!</v>
      </c>
      <c r="O463" s="16" t="str">
        <f t="shared" si="60"/>
        <v>Other</v>
      </c>
      <c r="P463" s="16" t="str">
        <f t="shared" si="65"/>
        <v/>
      </c>
      <c r="S463" s="27" t="str">
        <v/>
      </c>
      <c r="W463" s="19"/>
      <c r="X463" s="19"/>
    </row>
    <row r="464" spans="11:24" ht="25.05" customHeight="1" x14ac:dyDescent="0.45">
      <c r="K464" s="15" t="e">
        <f t="shared" si="61"/>
        <v>#VALUE!</v>
      </c>
      <c r="L464" s="15" t="e">
        <f t="shared" si="63"/>
        <v>#VALUE!</v>
      </c>
      <c r="M464" s="16" t="e">
        <f t="shared" si="64"/>
        <v>#VALUE!</v>
      </c>
      <c r="N464" s="16" t="e">
        <f t="shared" si="59"/>
        <v>#VALUE!</v>
      </c>
      <c r="O464" s="16" t="str">
        <f t="shared" si="60"/>
        <v>Other</v>
      </c>
      <c r="P464" s="16" t="str">
        <f t="shared" si="65"/>
        <v/>
      </c>
      <c r="S464" s="27" t="str">
        <v/>
      </c>
      <c r="W464" s="19"/>
      <c r="X464" s="19"/>
    </row>
    <row r="465" spans="11:24" ht="25.05" customHeight="1" x14ac:dyDescent="0.45">
      <c r="K465" s="15" t="e">
        <f t="shared" si="61"/>
        <v>#VALUE!</v>
      </c>
      <c r="L465" s="15" t="e">
        <f t="shared" si="63"/>
        <v>#VALUE!</v>
      </c>
      <c r="M465" s="16" t="e">
        <f t="shared" si="64"/>
        <v>#VALUE!</v>
      </c>
      <c r="N465" s="16" t="e">
        <f t="shared" si="59"/>
        <v>#VALUE!</v>
      </c>
      <c r="O465" s="16" t="str">
        <f t="shared" si="60"/>
        <v>Other</v>
      </c>
      <c r="P465" s="16" t="str">
        <f t="shared" si="65"/>
        <v/>
      </c>
      <c r="S465" s="27" t="str">
        <v/>
      </c>
      <c r="W465" s="19"/>
      <c r="X465" s="19"/>
    </row>
    <row r="466" spans="11:24" ht="25.05" customHeight="1" x14ac:dyDescent="0.45">
      <c r="K466" s="15" t="e">
        <f t="shared" si="61"/>
        <v>#VALUE!</v>
      </c>
      <c r="L466" s="15" t="e">
        <f t="shared" si="63"/>
        <v>#VALUE!</v>
      </c>
      <c r="M466" s="16" t="e">
        <f t="shared" si="64"/>
        <v>#VALUE!</v>
      </c>
      <c r="N466" s="16" t="e">
        <f t="shared" si="59"/>
        <v>#VALUE!</v>
      </c>
      <c r="O466" s="16" t="str">
        <f t="shared" si="60"/>
        <v>Other</v>
      </c>
      <c r="P466" s="16" t="str">
        <f t="shared" si="65"/>
        <v/>
      </c>
      <c r="S466" s="27" t="str">
        <v/>
      </c>
      <c r="W466" s="19"/>
      <c r="X466" s="19"/>
    </row>
    <row r="467" spans="11:24" ht="25.05" customHeight="1" x14ac:dyDescent="0.45">
      <c r="K467" s="15" t="e">
        <f t="shared" si="61"/>
        <v>#VALUE!</v>
      </c>
      <c r="L467" s="15" t="e">
        <f t="shared" si="63"/>
        <v>#VALUE!</v>
      </c>
      <c r="M467" s="16" t="e">
        <f t="shared" si="64"/>
        <v>#VALUE!</v>
      </c>
      <c r="N467" s="16" t="e">
        <f t="shared" si="59"/>
        <v>#VALUE!</v>
      </c>
      <c r="O467" s="16" t="str">
        <f t="shared" si="60"/>
        <v>Other</v>
      </c>
      <c r="P467" s="16" t="str">
        <f t="shared" si="65"/>
        <v/>
      </c>
      <c r="S467" s="27" t="str">
        <v/>
      </c>
      <c r="W467" s="19"/>
      <c r="X467" s="19"/>
    </row>
    <row r="468" spans="11:24" ht="25.05" customHeight="1" x14ac:dyDescent="0.45">
      <c r="K468" s="15" t="e">
        <f t="shared" si="61"/>
        <v>#VALUE!</v>
      </c>
      <c r="L468" s="15" t="e">
        <f t="shared" si="63"/>
        <v>#VALUE!</v>
      </c>
      <c r="M468" s="16" t="e">
        <f t="shared" si="64"/>
        <v>#VALUE!</v>
      </c>
      <c r="N468" s="16" t="e">
        <f t="shared" si="59"/>
        <v>#VALUE!</v>
      </c>
      <c r="O468" s="16" t="str">
        <f t="shared" si="60"/>
        <v>Other</v>
      </c>
      <c r="P468" s="16" t="str">
        <f t="shared" si="65"/>
        <v/>
      </c>
      <c r="S468" s="27" t="str">
        <v/>
      </c>
      <c r="W468" s="19"/>
      <c r="X468" s="19"/>
    </row>
    <row r="469" spans="11:24" ht="25.05" customHeight="1" x14ac:dyDescent="0.45">
      <c r="K469" s="15" t="e">
        <f t="shared" si="61"/>
        <v>#VALUE!</v>
      </c>
      <c r="L469" s="15" t="e">
        <f t="shared" si="63"/>
        <v>#VALUE!</v>
      </c>
      <c r="M469" s="16" t="e">
        <f t="shared" si="64"/>
        <v>#VALUE!</v>
      </c>
      <c r="N469" s="16" t="e">
        <f t="shared" si="59"/>
        <v>#VALUE!</v>
      </c>
      <c r="O469" s="16" t="str">
        <f t="shared" si="60"/>
        <v>Other</v>
      </c>
      <c r="P469" s="16" t="str">
        <f t="shared" si="65"/>
        <v/>
      </c>
      <c r="S469" s="27" t="str">
        <v/>
      </c>
      <c r="W469" s="19"/>
      <c r="X469" s="19"/>
    </row>
    <row r="470" spans="11:24" ht="25.05" customHeight="1" x14ac:dyDescent="0.45">
      <c r="K470" s="15" t="e">
        <f t="shared" si="61"/>
        <v>#VALUE!</v>
      </c>
      <c r="L470" s="15" t="e">
        <f t="shared" si="63"/>
        <v>#VALUE!</v>
      </c>
      <c r="M470" s="16" t="e">
        <f t="shared" si="64"/>
        <v>#VALUE!</v>
      </c>
      <c r="N470" s="16" t="e">
        <f t="shared" si="59"/>
        <v>#VALUE!</v>
      </c>
      <c r="O470" s="16" t="str">
        <f t="shared" si="60"/>
        <v>Other</v>
      </c>
      <c r="P470" s="16" t="str">
        <f t="shared" si="65"/>
        <v/>
      </c>
      <c r="S470" s="27" t="str">
        <v/>
      </c>
      <c r="W470" s="19"/>
      <c r="X470" s="19"/>
    </row>
    <row r="471" spans="11:24" ht="25.05" customHeight="1" x14ac:dyDescent="0.45">
      <c r="K471" s="15" t="e">
        <f t="shared" si="61"/>
        <v>#VALUE!</v>
      </c>
      <c r="L471" s="15" t="e">
        <f t="shared" si="63"/>
        <v>#VALUE!</v>
      </c>
      <c r="M471" s="16" t="e">
        <f t="shared" si="64"/>
        <v>#VALUE!</v>
      </c>
      <c r="N471" s="16" t="e">
        <f t="shared" si="59"/>
        <v>#VALUE!</v>
      </c>
      <c r="O471" s="16" t="str">
        <f t="shared" si="60"/>
        <v>Other</v>
      </c>
      <c r="P471" s="16" t="str">
        <f t="shared" si="65"/>
        <v/>
      </c>
      <c r="S471" s="27" t="str">
        <v/>
      </c>
      <c r="W471" s="19"/>
      <c r="X471" s="19"/>
    </row>
    <row r="472" spans="11:24" ht="25.05" customHeight="1" x14ac:dyDescent="0.45">
      <c r="K472" s="15" t="e">
        <f t="shared" si="61"/>
        <v>#VALUE!</v>
      </c>
      <c r="L472" s="15" t="e">
        <f t="shared" si="63"/>
        <v>#VALUE!</v>
      </c>
      <c r="M472" s="16" t="e">
        <f t="shared" si="64"/>
        <v>#VALUE!</v>
      </c>
      <c r="N472" s="16" t="e">
        <f t="shared" si="59"/>
        <v>#VALUE!</v>
      </c>
      <c r="O472" s="16" t="str">
        <f t="shared" si="60"/>
        <v>Other</v>
      </c>
      <c r="P472" s="16" t="str">
        <f t="shared" si="65"/>
        <v/>
      </c>
      <c r="S472" s="27" t="str">
        <v/>
      </c>
      <c r="W472" s="19"/>
      <c r="X472" s="19"/>
    </row>
    <row r="473" spans="11:24" ht="25.05" customHeight="1" x14ac:dyDescent="0.45">
      <c r="K473" s="15" t="e">
        <f t="shared" si="61"/>
        <v>#VALUE!</v>
      </c>
      <c r="L473" s="15" t="e">
        <f t="shared" si="63"/>
        <v>#VALUE!</v>
      </c>
      <c r="M473" s="16" t="e">
        <f t="shared" si="64"/>
        <v>#VALUE!</v>
      </c>
      <c r="N473" s="16" t="e">
        <f t="shared" si="59"/>
        <v>#VALUE!</v>
      </c>
      <c r="O473" s="16" t="str">
        <f t="shared" si="60"/>
        <v>Other</v>
      </c>
      <c r="P473" s="16" t="str">
        <f t="shared" si="65"/>
        <v/>
      </c>
      <c r="S473" s="27" t="str">
        <v/>
      </c>
      <c r="W473" s="19"/>
      <c r="X473" s="19"/>
    </row>
    <row r="474" spans="11:24" ht="25.05" customHeight="1" x14ac:dyDescent="0.45">
      <c r="K474" s="15" t="e">
        <f t="shared" si="61"/>
        <v>#VALUE!</v>
      </c>
      <c r="L474" s="15" t="e">
        <f t="shared" si="63"/>
        <v>#VALUE!</v>
      </c>
      <c r="M474" s="16" t="e">
        <f t="shared" si="64"/>
        <v>#VALUE!</v>
      </c>
      <c r="N474" s="16" t="e">
        <f t="shared" si="59"/>
        <v>#VALUE!</v>
      </c>
      <c r="O474" s="16" t="str">
        <f t="shared" si="60"/>
        <v>Other</v>
      </c>
      <c r="P474" s="16" t="str">
        <f t="shared" si="65"/>
        <v/>
      </c>
      <c r="S474" s="27" t="str">
        <v/>
      </c>
      <c r="W474" s="19"/>
      <c r="X474" s="19"/>
    </row>
    <row r="475" spans="11:24" ht="25.05" customHeight="1" x14ac:dyDescent="0.45">
      <c r="K475" s="15" t="e">
        <f t="shared" si="61"/>
        <v>#VALUE!</v>
      </c>
      <c r="L475" s="15" t="e">
        <f t="shared" si="63"/>
        <v>#VALUE!</v>
      </c>
      <c r="M475" s="16" t="e">
        <f t="shared" si="64"/>
        <v>#VALUE!</v>
      </c>
      <c r="N475" s="16" t="e">
        <f t="shared" si="59"/>
        <v>#VALUE!</v>
      </c>
      <c r="O475" s="16" t="str">
        <f t="shared" si="60"/>
        <v>Other</v>
      </c>
      <c r="P475" s="16" t="str">
        <f t="shared" si="65"/>
        <v/>
      </c>
      <c r="S475" s="27" t="str">
        <v/>
      </c>
      <c r="W475" s="19"/>
      <c r="X475" s="19"/>
    </row>
    <row r="476" spans="11:24" ht="25.05" customHeight="1" x14ac:dyDescent="0.45">
      <c r="K476" s="15" t="e">
        <f t="shared" si="61"/>
        <v>#VALUE!</v>
      </c>
      <c r="L476" s="15" t="e">
        <f t="shared" si="63"/>
        <v>#VALUE!</v>
      </c>
      <c r="M476" s="16" t="e">
        <f t="shared" si="64"/>
        <v>#VALUE!</v>
      </c>
      <c r="N476" s="16" t="e">
        <f t="shared" si="59"/>
        <v>#VALUE!</v>
      </c>
      <c r="O476" s="16" t="str">
        <f t="shared" si="60"/>
        <v>Other</v>
      </c>
      <c r="P476" s="16" t="str">
        <f t="shared" si="65"/>
        <v/>
      </c>
      <c r="S476" s="27" t="str">
        <v/>
      </c>
      <c r="W476" s="19"/>
      <c r="X476" s="19"/>
    </row>
    <row r="477" spans="11:24" ht="25.05" customHeight="1" x14ac:dyDescent="0.45">
      <c r="K477" s="15" t="e">
        <f t="shared" si="61"/>
        <v>#VALUE!</v>
      </c>
      <c r="L477" s="15" t="e">
        <f t="shared" si="63"/>
        <v>#VALUE!</v>
      </c>
      <c r="M477" s="16" t="e">
        <f t="shared" si="64"/>
        <v>#VALUE!</v>
      </c>
      <c r="N477" s="16" t="e">
        <f t="shared" si="59"/>
        <v>#VALUE!</v>
      </c>
      <c r="O477" s="16" t="str">
        <f t="shared" si="60"/>
        <v>Other</v>
      </c>
      <c r="P477" s="16" t="str">
        <f t="shared" si="65"/>
        <v/>
      </c>
      <c r="S477" s="27" t="str">
        <v/>
      </c>
      <c r="W477" s="19"/>
      <c r="X477" s="19"/>
    </row>
    <row r="478" spans="11:24" ht="25.05" customHeight="1" x14ac:dyDescent="0.45">
      <c r="K478" s="15" t="e">
        <f t="shared" si="61"/>
        <v>#VALUE!</v>
      </c>
      <c r="L478" s="15" t="e">
        <f t="shared" si="63"/>
        <v>#VALUE!</v>
      </c>
      <c r="M478" s="16" t="e">
        <f t="shared" si="64"/>
        <v>#VALUE!</v>
      </c>
      <c r="N478" s="16" t="e">
        <f t="shared" si="59"/>
        <v>#VALUE!</v>
      </c>
      <c r="O478" s="16" t="str">
        <f t="shared" si="60"/>
        <v>Other</v>
      </c>
      <c r="P478" s="16" t="str">
        <f t="shared" si="65"/>
        <v/>
      </c>
      <c r="S478" s="27" t="str">
        <v/>
      </c>
      <c r="W478" s="19"/>
      <c r="X478" s="19"/>
    </row>
    <row r="479" spans="11:24" ht="25.05" customHeight="1" x14ac:dyDescent="0.45">
      <c r="K479" s="15" t="e">
        <f t="shared" si="61"/>
        <v>#VALUE!</v>
      </c>
      <c r="L479" s="15" t="e">
        <f t="shared" si="63"/>
        <v>#VALUE!</v>
      </c>
      <c r="M479" s="16" t="e">
        <f t="shared" si="64"/>
        <v>#VALUE!</v>
      </c>
      <c r="N479" s="16" t="e">
        <f t="shared" si="59"/>
        <v>#VALUE!</v>
      </c>
      <c r="O479" s="16" t="str">
        <f t="shared" si="60"/>
        <v>Other</v>
      </c>
      <c r="P479" s="16" t="str">
        <f t="shared" si="65"/>
        <v/>
      </c>
      <c r="S479" s="27" t="str">
        <v/>
      </c>
      <c r="W479" s="19"/>
      <c r="X479" s="19"/>
    </row>
    <row r="480" spans="11:24" ht="25.05" customHeight="1" x14ac:dyDescent="0.45">
      <c r="K480" s="15" t="e">
        <f t="shared" si="61"/>
        <v>#VALUE!</v>
      </c>
      <c r="L480" s="15" t="e">
        <f t="shared" si="63"/>
        <v>#VALUE!</v>
      </c>
      <c r="M480" s="16" t="e">
        <f t="shared" si="64"/>
        <v>#VALUE!</v>
      </c>
      <c r="N480" s="16" t="e">
        <f t="shared" si="59"/>
        <v>#VALUE!</v>
      </c>
      <c r="O480" s="16" t="str">
        <f t="shared" si="60"/>
        <v>Other</v>
      </c>
      <c r="P480" s="16" t="str">
        <f t="shared" si="65"/>
        <v/>
      </c>
      <c r="S480" s="27" t="str">
        <v/>
      </c>
      <c r="W480" s="19"/>
      <c r="X480" s="19"/>
    </row>
    <row r="481" spans="11:24" ht="25.05" customHeight="1" x14ac:dyDescent="0.45">
      <c r="K481" s="15" t="e">
        <f t="shared" si="61"/>
        <v>#VALUE!</v>
      </c>
      <c r="L481" s="15" t="e">
        <f t="shared" si="63"/>
        <v>#VALUE!</v>
      </c>
      <c r="M481" s="16" t="e">
        <f t="shared" si="64"/>
        <v>#VALUE!</v>
      </c>
      <c r="N481" s="16" t="e">
        <f t="shared" si="59"/>
        <v>#VALUE!</v>
      </c>
      <c r="O481" s="16" t="str">
        <f t="shared" si="60"/>
        <v>Other</v>
      </c>
      <c r="P481" s="16" t="str">
        <f t="shared" si="65"/>
        <v/>
      </c>
      <c r="S481" s="27" t="str">
        <v/>
      </c>
      <c r="W481" s="19"/>
      <c r="X481" s="19"/>
    </row>
    <row r="482" spans="11:24" ht="25.05" customHeight="1" x14ac:dyDescent="0.45">
      <c r="K482" s="15" t="e">
        <f t="shared" si="61"/>
        <v>#VALUE!</v>
      </c>
      <c r="L482" s="15" t="e">
        <f t="shared" si="63"/>
        <v>#VALUE!</v>
      </c>
      <c r="M482" s="16" t="e">
        <f t="shared" si="64"/>
        <v>#VALUE!</v>
      </c>
      <c r="N482" s="16" t="e">
        <f t="shared" ref="N482:N545" si="66">K482 &amp; " &lt;&gt; " &amp; L482</f>
        <v>#VALUE!</v>
      </c>
      <c r="O482" s="16" t="str">
        <f t="shared" si="60"/>
        <v>Other</v>
      </c>
      <c r="P482" s="16" t="str">
        <f t="shared" si="65"/>
        <v/>
      </c>
      <c r="S482" s="27" t="str">
        <v/>
      </c>
      <c r="W482" s="19"/>
      <c r="X482" s="19"/>
    </row>
    <row r="483" spans="11:24" ht="25.05" customHeight="1" x14ac:dyDescent="0.45">
      <c r="K483" s="15" t="e">
        <f t="shared" si="61"/>
        <v>#VALUE!</v>
      </c>
      <c r="L483" s="15" t="e">
        <f t="shared" si="63"/>
        <v>#VALUE!</v>
      </c>
      <c r="M483" s="16" t="e">
        <f t="shared" si="64"/>
        <v>#VALUE!</v>
      </c>
      <c r="N483" s="16" t="e">
        <f t="shared" si="66"/>
        <v>#VALUE!</v>
      </c>
      <c r="O483" s="16" t="str">
        <f t="shared" si="60"/>
        <v>Other</v>
      </c>
      <c r="P483" s="16" t="str">
        <f t="shared" si="65"/>
        <v/>
      </c>
      <c r="S483" s="27" t="str">
        <v/>
      </c>
      <c r="W483" s="19"/>
      <c r="X483" s="19"/>
    </row>
    <row r="484" spans="11:24" ht="25.05" customHeight="1" x14ac:dyDescent="0.45">
      <c r="K484" s="15" t="e">
        <f t="shared" si="61"/>
        <v>#VALUE!</v>
      </c>
      <c r="L484" s="15" t="e">
        <f t="shared" si="63"/>
        <v>#VALUE!</v>
      </c>
      <c r="M484" s="16" t="e">
        <f t="shared" si="64"/>
        <v>#VALUE!</v>
      </c>
      <c r="N484" s="16" t="e">
        <f t="shared" si="66"/>
        <v>#VALUE!</v>
      </c>
      <c r="O484" s="16" t="str">
        <f t="shared" si="60"/>
        <v>Other</v>
      </c>
      <c r="P484" s="16" t="str">
        <f t="shared" si="65"/>
        <v/>
      </c>
      <c r="S484" s="27" t="str">
        <v/>
      </c>
      <c r="W484" s="19"/>
      <c r="X484" s="19"/>
    </row>
    <row r="485" spans="11:24" ht="25.05" customHeight="1" x14ac:dyDescent="0.45">
      <c r="K485" s="15" t="e">
        <f t="shared" si="61"/>
        <v>#VALUE!</v>
      </c>
      <c r="L485" s="15" t="e">
        <f t="shared" si="63"/>
        <v>#VALUE!</v>
      </c>
      <c r="M485" s="16" t="e">
        <f t="shared" si="64"/>
        <v>#VALUE!</v>
      </c>
      <c r="N485" s="16" t="e">
        <f t="shared" si="66"/>
        <v>#VALUE!</v>
      </c>
      <c r="O485" s="16" t="str">
        <f t="shared" si="60"/>
        <v>Other</v>
      </c>
      <c r="P485" s="16" t="str">
        <f t="shared" si="65"/>
        <v/>
      </c>
      <c r="S485" s="27" t="str">
        <v/>
      </c>
      <c r="W485" s="19"/>
      <c r="X485" s="19"/>
    </row>
    <row r="486" spans="11:24" ht="25.05" customHeight="1" x14ac:dyDescent="0.45">
      <c r="K486" s="15" t="e">
        <f t="shared" si="61"/>
        <v>#VALUE!</v>
      </c>
      <c r="L486" s="15" t="e">
        <f t="shared" si="63"/>
        <v>#VALUE!</v>
      </c>
      <c r="M486" s="16" t="e">
        <f t="shared" si="64"/>
        <v>#VALUE!</v>
      </c>
      <c r="N486" s="16" t="e">
        <f t="shared" si="66"/>
        <v>#VALUE!</v>
      </c>
      <c r="O486" s="16" t="str">
        <f t="shared" ref="O486:O549" si="67">IF(LEFT(E486, 6)="TenGig", "10G (Ten Gig)", IF(LEFT(E486, 10)="HundredGig", "100G (Hundred Gig)", "Other"))</f>
        <v>Other</v>
      </c>
      <c r="P486" s="16" t="str">
        <f t="shared" si="65"/>
        <v/>
      </c>
      <c r="S486" s="27" t="str">
        <v/>
      </c>
      <c r="W486" s="19"/>
      <c r="X486" s="19"/>
    </row>
    <row r="487" spans="11:24" ht="25.05" customHeight="1" x14ac:dyDescent="0.45">
      <c r="K487" s="15" t="e">
        <f t="shared" ref="K487:K550" si="68">LEFT(A487, FIND("-", A487)-1)</f>
        <v>#VALUE!</v>
      </c>
      <c r="L487" s="15" t="e">
        <f t="shared" si="63"/>
        <v>#VALUE!</v>
      </c>
      <c r="M487" s="16" t="e">
        <f t="shared" si="64"/>
        <v>#VALUE!</v>
      </c>
      <c r="N487" s="16" t="e">
        <f t="shared" si="66"/>
        <v>#VALUE!</v>
      </c>
      <c r="O487" s="16" t="str">
        <f t="shared" si="67"/>
        <v>Other</v>
      </c>
      <c r="P487" s="16" t="str">
        <f t="shared" si="65"/>
        <v/>
      </c>
      <c r="S487" s="27" t="str">
        <v/>
      </c>
      <c r="W487" s="19"/>
      <c r="X487" s="19"/>
    </row>
    <row r="488" spans="11:24" ht="25.05" customHeight="1" x14ac:dyDescent="0.45">
      <c r="K488" s="15" t="e">
        <f t="shared" si="68"/>
        <v>#VALUE!</v>
      </c>
      <c r="L488" s="15" t="e">
        <f t="shared" si="63"/>
        <v>#VALUE!</v>
      </c>
      <c r="M488" s="16" t="e">
        <f t="shared" si="64"/>
        <v>#VALUE!</v>
      </c>
      <c r="N488" s="16" t="e">
        <f t="shared" si="66"/>
        <v>#VALUE!</v>
      </c>
      <c r="O488" s="16" t="str">
        <f t="shared" si="67"/>
        <v>Other</v>
      </c>
      <c r="P488" s="16" t="str">
        <f t="shared" si="65"/>
        <v/>
      </c>
      <c r="S488" s="27" t="str">
        <v/>
      </c>
      <c r="W488" s="19"/>
      <c r="X488" s="19"/>
    </row>
    <row r="489" spans="11:24" ht="25.05" customHeight="1" x14ac:dyDescent="0.45">
      <c r="K489" s="15" t="e">
        <f t="shared" si="68"/>
        <v>#VALUE!</v>
      </c>
      <c r="L489" s="15" t="e">
        <f t="shared" ref="L489:L552" si="69">LEFT(C489, FIND("-", C489)-1)</f>
        <v>#VALUE!</v>
      </c>
      <c r="M489" s="16" t="e">
        <f t="shared" si="64"/>
        <v>#VALUE!</v>
      </c>
      <c r="N489" s="16" t="e">
        <f t="shared" si="66"/>
        <v>#VALUE!</v>
      </c>
      <c r="O489" s="16" t="str">
        <f t="shared" si="67"/>
        <v>Other</v>
      </c>
      <c r="P489" s="16" t="str">
        <f t="shared" si="65"/>
        <v/>
      </c>
      <c r="S489" s="27" t="str">
        <v/>
      </c>
      <c r="W489" s="19"/>
      <c r="X489" s="19"/>
    </row>
    <row r="490" spans="11:24" ht="25.05" customHeight="1" x14ac:dyDescent="0.45">
      <c r="K490" s="15" t="e">
        <f t="shared" si="68"/>
        <v>#VALUE!</v>
      </c>
      <c r="L490" s="15" t="e">
        <f t="shared" si="69"/>
        <v>#VALUE!</v>
      </c>
      <c r="M490" s="16" t="e">
        <f t="shared" si="64"/>
        <v>#VALUE!</v>
      </c>
      <c r="N490" s="16" t="e">
        <f t="shared" si="66"/>
        <v>#VALUE!</v>
      </c>
      <c r="O490" s="16" t="str">
        <f t="shared" si="67"/>
        <v>Other</v>
      </c>
      <c r="P490" s="16" t="str">
        <f t="shared" si="65"/>
        <v/>
      </c>
      <c r="S490" s="27" t="str">
        <v/>
      </c>
      <c r="W490" s="19"/>
      <c r="X490" s="19"/>
    </row>
    <row r="491" spans="11:24" ht="25.05" customHeight="1" x14ac:dyDescent="0.45">
      <c r="K491" s="15" t="e">
        <f t="shared" si="68"/>
        <v>#VALUE!</v>
      </c>
      <c r="L491" s="15" t="e">
        <f t="shared" si="69"/>
        <v>#VALUE!</v>
      </c>
      <c r="M491" s="16" t="e">
        <f t="shared" si="64"/>
        <v>#VALUE!</v>
      </c>
      <c r="N491" s="16" t="e">
        <f t="shared" si="66"/>
        <v>#VALUE!</v>
      </c>
      <c r="O491" s="16" t="str">
        <f t="shared" si="67"/>
        <v>Other</v>
      </c>
      <c r="P491" s="16" t="str">
        <f t="shared" si="65"/>
        <v/>
      </c>
      <c r="S491" s="27" t="str">
        <v/>
      </c>
      <c r="W491" s="19"/>
      <c r="X491" s="19"/>
    </row>
    <row r="492" spans="11:24" ht="25.05" customHeight="1" x14ac:dyDescent="0.45">
      <c r="K492" s="15" t="e">
        <f t="shared" si="68"/>
        <v>#VALUE!</v>
      </c>
      <c r="L492" s="15" t="e">
        <f t="shared" si="69"/>
        <v>#VALUE!</v>
      </c>
      <c r="M492" s="16" t="e">
        <f t="shared" si="64"/>
        <v>#VALUE!</v>
      </c>
      <c r="N492" s="16" t="e">
        <f t="shared" si="66"/>
        <v>#VALUE!</v>
      </c>
      <c r="O492" s="16" t="str">
        <f t="shared" si="67"/>
        <v>Other</v>
      </c>
      <c r="P492" s="16" t="str">
        <f t="shared" si="65"/>
        <v/>
      </c>
      <c r="S492" s="27" t="str">
        <v/>
      </c>
      <c r="W492" s="19"/>
      <c r="X492" s="19"/>
    </row>
    <row r="493" spans="11:24" ht="25.05" customHeight="1" x14ac:dyDescent="0.45">
      <c r="K493" s="15" t="e">
        <f t="shared" si="68"/>
        <v>#VALUE!</v>
      </c>
      <c r="L493" s="15" t="e">
        <f t="shared" si="69"/>
        <v>#VALUE!</v>
      </c>
      <c r="M493" s="16" t="e">
        <f t="shared" si="64"/>
        <v>#VALUE!</v>
      </c>
      <c r="N493" s="16" t="e">
        <f t="shared" si="66"/>
        <v>#VALUE!</v>
      </c>
      <c r="O493" s="16" t="str">
        <f t="shared" si="67"/>
        <v>Other</v>
      </c>
      <c r="P493" s="16" t="str">
        <f t="shared" si="65"/>
        <v/>
      </c>
      <c r="S493" s="27" t="str">
        <v/>
      </c>
      <c r="W493" s="19"/>
      <c r="X493" s="19"/>
    </row>
    <row r="494" spans="11:24" ht="25.05" customHeight="1" x14ac:dyDescent="0.45">
      <c r="K494" s="15" t="e">
        <f t="shared" si="68"/>
        <v>#VALUE!</v>
      </c>
      <c r="L494" s="15" t="e">
        <f t="shared" si="69"/>
        <v>#VALUE!</v>
      </c>
      <c r="M494" s="16" t="e">
        <f t="shared" si="64"/>
        <v>#VALUE!</v>
      </c>
      <c r="N494" s="16" t="e">
        <f t="shared" si="66"/>
        <v>#VALUE!</v>
      </c>
      <c r="O494" s="16" t="str">
        <f t="shared" si="67"/>
        <v>Other</v>
      </c>
      <c r="P494" s="16" t="str">
        <f t="shared" si="65"/>
        <v/>
      </c>
      <c r="S494" s="27" t="str">
        <v/>
      </c>
      <c r="W494" s="19"/>
      <c r="X494" s="19"/>
    </row>
    <row r="495" spans="11:24" ht="25.05" customHeight="1" x14ac:dyDescent="0.45">
      <c r="K495" s="15" t="e">
        <f t="shared" si="68"/>
        <v>#VALUE!</v>
      </c>
      <c r="L495" s="15" t="e">
        <f t="shared" si="69"/>
        <v>#VALUE!</v>
      </c>
      <c r="M495" s="16" t="e">
        <f t="shared" si="64"/>
        <v>#VALUE!</v>
      </c>
      <c r="N495" s="16" t="e">
        <f t="shared" si="66"/>
        <v>#VALUE!</v>
      </c>
      <c r="O495" s="16" t="str">
        <f t="shared" si="67"/>
        <v>Other</v>
      </c>
      <c r="P495" s="16" t="str">
        <f t="shared" si="65"/>
        <v/>
      </c>
      <c r="S495" s="27" t="str">
        <v/>
      </c>
      <c r="W495" s="19"/>
      <c r="X495" s="19"/>
    </row>
    <row r="496" spans="11:24" ht="25.05" customHeight="1" x14ac:dyDescent="0.45">
      <c r="K496" s="15" t="e">
        <f t="shared" si="68"/>
        <v>#VALUE!</v>
      </c>
      <c r="L496" s="15" t="e">
        <f t="shared" si="69"/>
        <v>#VALUE!</v>
      </c>
      <c r="M496" s="16" t="e">
        <f t="shared" si="64"/>
        <v>#VALUE!</v>
      </c>
      <c r="N496" s="16" t="e">
        <f t="shared" si="66"/>
        <v>#VALUE!</v>
      </c>
      <c r="O496" s="16" t="str">
        <f t="shared" si="67"/>
        <v>Other</v>
      </c>
      <c r="P496" s="16" t="str">
        <f t="shared" si="65"/>
        <v/>
      </c>
      <c r="S496" s="27" t="str">
        <v/>
      </c>
      <c r="W496" s="19"/>
      <c r="X496" s="19"/>
    </row>
    <row r="497" spans="11:24" ht="25.05" customHeight="1" x14ac:dyDescent="0.45">
      <c r="K497" s="15" t="e">
        <f t="shared" si="68"/>
        <v>#VALUE!</v>
      </c>
      <c r="L497" s="15" t="e">
        <f t="shared" si="69"/>
        <v>#VALUE!</v>
      </c>
      <c r="M497" s="16" t="e">
        <f t="shared" si="64"/>
        <v>#VALUE!</v>
      </c>
      <c r="N497" s="16" t="e">
        <f t="shared" si="66"/>
        <v>#VALUE!</v>
      </c>
      <c r="O497" s="16" t="str">
        <f t="shared" si="67"/>
        <v>Other</v>
      </c>
      <c r="P497" s="16" t="str">
        <f t="shared" si="65"/>
        <v/>
      </c>
      <c r="S497" s="27" t="str">
        <v/>
      </c>
      <c r="W497" s="19"/>
      <c r="X497" s="19"/>
    </row>
    <row r="498" spans="11:24" ht="25.05" customHeight="1" x14ac:dyDescent="0.45">
      <c r="K498" s="15" t="e">
        <f t="shared" si="68"/>
        <v>#VALUE!</v>
      </c>
      <c r="L498" s="15" t="e">
        <f t="shared" si="69"/>
        <v>#VALUE!</v>
      </c>
      <c r="M498" s="16" t="e">
        <f t="shared" si="64"/>
        <v>#VALUE!</v>
      </c>
      <c r="N498" s="16" t="e">
        <f t="shared" si="66"/>
        <v>#VALUE!</v>
      </c>
      <c r="O498" s="16" t="str">
        <f t="shared" si="67"/>
        <v>Other</v>
      </c>
      <c r="P498" s="16" t="str">
        <f t="shared" si="65"/>
        <v/>
      </c>
      <c r="S498" s="27" t="str">
        <v/>
      </c>
      <c r="W498" s="19"/>
      <c r="X498" s="19"/>
    </row>
    <row r="499" spans="11:24" ht="25.05" customHeight="1" x14ac:dyDescent="0.45">
      <c r="K499" s="15" t="e">
        <f t="shared" si="68"/>
        <v>#VALUE!</v>
      </c>
      <c r="L499" s="15" t="e">
        <f t="shared" si="69"/>
        <v>#VALUE!</v>
      </c>
      <c r="M499" s="16" t="e">
        <f t="shared" si="64"/>
        <v>#VALUE!</v>
      </c>
      <c r="N499" s="16" t="e">
        <f t="shared" si="66"/>
        <v>#VALUE!</v>
      </c>
      <c r="O499" s="16" t="str">
        <f t="shared" si="67"/>
        <v>Other</v>
      </c>
      <c r="P499" s="16" t="str">
        <f t="shared" si="65"/>
        <v/>
      </c>
      <c r="S499" s="27" t="str">
        <v/>
      </c>
      <c r="W499" s="19"/>
      <c r="X499" s="19"/>
    </row>
    <row r="500" spans="11:24" ht="25.05" customHeight="1" x14ac:dyDescent="0.45">
      <c r="K500" s="15" t="e">
        <f t="shared" si="68"/>
        <v>#VALUE!</v>
      </c>
      <c r="L500" s="15" t="e">
        <f t="shared" si="69"/>
        <v>#VALUE!</v>
      </c>
      <c r="M500" s="16" t="e">
        <f t="shared" si="64"/>
        <v>#VALUE!</v>
      </c>
      <c r="N500" s="16" t="e">
        <f t="shared" si="66"/>
        <v>#VALUE!</v>
      </c>
      <c r="O500" s="16" t="str">
        <f t="shared" si="67"/>
        <v>Other</v>
      </c>
      <c r="P500" s="16" t="str">
        <f t="shared" si="65"/>
        <v/>
      </c>
      <c r="S500" s="27" t="str">
        <v/>
      </c>
      <c r="W500" s="19"/>
      <c r="X500" s="19"/>
    </row>
    <row r="501" spans="11:24" ht="25.05" customHeight="1" x14ac:dyDescent="0.45">
      <c r="K501" s="15" t="e">
        <f t="shared" si="68"/>
        <v>#VALUE!</v>
      </c>
      <c r="L501" s="15" t="e">
        <f t="shared" si="69"/>
        <v>#VALUE!</v>
      </c>
      <c r="M501" s="16" t="e">
        <f t="shared" si="64"/>
        <v>#VALUE!</v>
      </c>
      <c r="N501" s="16" t="e">
        <f t="shared" si="66"/>
        <v>#VALUE!</v>
      </c>
      <c r="O501" s="16" t="str">
        <f t="shared" si="67"/>
        <v>Other</v>
      </c>
      <c r="P501" s="16" t="str">
        <f t="shared" si="65"/>
        <v/>
      </c>
      <c r="S501" s="27" t="str">
        <v/>
      </c>
      <c r="W501" s="19"/>
      <c r="X501" s="19"/>
    </row>
    <row r="502" spans="11:24" ht="25.05" customHeight="1" x14ac:dyDescent="0.45">
      <c r="K502" s="15" t="e">
        <f t="shared" si="68"/>
        <v>#VALUE!</v>
      </c>
      <c r="L502" s="15" t="e">
        <f t="shared" si="69"/>
        <v>#VALUE!</v>
      </c>
      <c r="M502" s="16" t="e">
        <f t="shared" si="64"/>
        <v>#VALUE!</v>
      </c>
      <c r="N502" s="16" t="e">
        <f t="shared" si="66"/>
        <v>#VALUE!</v>
      </c>
      <c r="O502" s="16" t="str">
        <f t="shared" si="67"/>
        <v>Other</v>
      </c>
      <c r="P502" s="16" t="str">
        <f t="shared" si="65"/>
        <v/>
      </c>
      <c r="S502" s="27" t="str">
        <v/>
      </c>
      <c r="W502" s="19"/>
      <c r="X502" s="19"/>
    </row>
    <row r="503" spans="11:24" ht="25.05" customHeight="1" x14ac:dyDescent="0.45">
      <c r="K503" s="15" t="e">
        <f t="shared" si="68"/>
        <v>#VALUE!</v>
      </c>
      <c r="L503" s="15" t="e">
        <f t="shared" si="69"/>
        <v>#VALUE!</v>
      </c>
      <c r="M503" s="16" t="e">
        <f t="shared" si="64"/>
        <v>#VALUE!</v>
      </c>
      <c r="N503" s="16" t="e">
        <f t="shared" si="66"/>
        <v>#VALUE!</v>
      </c>
      <c r="O503" s="16" t="str">
        <f t="shared" si="67"/>
        <v>Other</v>
      </c>
      <c r="P503" s="16" t="str">
        <f t="shared" si="65"/>
        <v/>
      </c>
      <c r="S503" s="27" t="str">
        <v/>
      </c>
      <c r="W503" s="19"/>
      <c r="X503" s="19"/>
    </row>
    <row r="504" spans="11:24" ht="25.05" customHeight="1" x14ac:dyDescent="0.45">
      <c r="K504" s="15" t="e">
        <f t="shared" si="68"/>
        <v>#VALUE!</v>
      </c>
      <c r="L504" s="15" t="e">
        <f t="shared" si="69"/>
        <v>#VALUE!</v>
      </c>
      <c r="M504" s="16" t="e">
        <f t="shared" si="64"/>
        <v>#VALUE!</v>
      </c>
      <c r="N504" s="16" t="e">
        <f t="shared" si="66"/>
        <v>#VALUE!</v>
      </c>
      <c r="O504" s="16" t="str">
        <f t="shared" si="67"/>
        <v>Other</v>
      </c>
      <c r="P504" s="16" t="str">
        <f t="shared" si="65"/>
        <v/>
      </c>
      <c r="S504" s="27" t="str">
        <v/>
      </c>
      <c r="W504" s="19"/>
      <c r="X504" s="19"/>
    </row>
    <row r="505" spans="11:24" ht="25.05" customHeight="1" x14ac:dyDescent="0.45">
      <c r="K505" s="15" t="e">
        <f t="shared" si="68"/>
        <v>#VALUE!</v>
      </c>
      <c r="L505" s="15" t="e">
        <f t="shared" si="69"/>
        <v>#VALUE!</v>
      </c>
      <c r="M505" s="16" t="e">
        <f t="shared" si="64"/>
        <v>#VALUE!</v>
      </c>
      <c r="N505" s="16" t="e">
        <f t="shared" si="66"/>
        <v>#VALUE!</v>
      </c>
      <c r="O505" s="16" t="str">
        <f t="shared" si="67"/>
        <v>Other</v>
      </c>
      <c r="P505" s="16" t="str">
        <f t="shared" si="65"/>
        <v/>
      </c>
      <c r="S505" s="27" t="str">
        <v/>
      </c>
      <c r="W505" s="19"/>
      <c r="X505" s="19"/>
    </row>
    <row r="506" spans="11:24" ht="25.05" customHeight="1" x14ac:dyDescent="0.45">
      <c r="K506" s="15" t="e">
        <f t="shared" si="68"/>
        <v>#VALUE!</v>
      </c>
      <c r="L506" s="15" t="e">
        <f t="shared" si="69"/>
        <v>#VALUE!</v>
      </c>
      <c r="M506" s="16" t="e">
        <f t="shared" si="64"/>
        <v>#VALUE!</v>
      </c>
      <c r="N506" s="16" t="e">
        <f t="shared" si="66"/>
        <v>#VALUE!</v>
      </c>
      <c r="O506" s="16" t="str">
        <f t="shared" si="67"/>
        <v>Other</v>
      </c>
      <c r="P506" s="16" t="str">
        <f t="shared" si="65"/>
        <v/>
      </c>
      <c r="S506" s="27" t="str">
        <v/>
      </c>
      <c r="W506" s="19"/>
      <c r="X506" s="19"/>
    </row>
    <row r="507" spans="11:24" ht="25.05" customHeight="1" x14ac:dyDescent="0.45">
      <c r="K507" s="15" t="e">
        <f t="shared" si="68"/>
        <v>#VALUE!</v>
      </c>
      <c r="L507" s="15" t="e">
        <f t="shared" si="69"/>
        <v>#VALUE!</v>
      </c>
      <c r="M507" s="16" t="e">
        <f t="shared" si="64"/>
        <v>#VALUE!</v>
      </c>
      <c r="N507" s="16" t="e">
        <f t="shared" si="66"/>
        <v>#VALUE!</v>
      </c>
      <c r="O507" s="16" t="str">
        <f t="shared" si="67"/>
        <v>Other</v>
      </c>
      <c r="P507" s="16" t="str">
        <f t="shared" si="65"/>
        <v/>
      </c>
      <c r="S507" s="27" t="str">
        <v/>
      </c>
      <c r="W507" s="19"/>
      <c r="X507" s="19"/>
    </row>
    <row r="508" spans="11:24" ht="25.05" customHeight="1" x14ac:dyDescent="0.45">
      <c r="K508" s="15" t="e">
        <f t="shared" si="68"/>
        <v>#VALUE!</v>
      </c>
      <c r="L508" s="15" t="e">
        <f t="shared" si="69"/>
        <v>#VALUE!</v>
      </c>
      <c r="M508" s="16" t="e">
        <f t="shared" si="64"/>
        <v>#VALUE!</v>
      </c>
      <c r="N508" s="16" t="e">
        <f t="shared" si="66"/>
        <v>#VALUE!</v>
      </c>
      <c r="O508" s="16" t="str">
        <f t="shared" si="67"/>
        <v>Other</v>
      </c>
      <c r="P508" s="16" t="str">
        <f t="shared" si="65"/>
        <v/>
      </c>
      <c r="S508" s="27" t="str">
        <v/>
      </c>
      <c r="W508" s="19"/>
      <c r="X508" s="19"/>
    </row>
    <row r="509" spans="11:24" ht="25.05" customHeight="1" x14ac:dyDescent="0.45">
      <c r="K509" s="15" t="e">
        <f t="shared" si="68"/>
        <v>#VALUE!</v>
      </c>
      <c r="L509" s="15" t="e">
        <f t="shared" si="69"/>
        <v>#VALUE!</v>
      </c>
      <c r="M509" s="16" t="e">
        <f t="shared" si="64"/>
        <v>#VALUE!</v>
      </c>
      <c r="N509" s="16" t="e">
        <f t="shared" si="66"/>
        <v>#VALUE!</v>
      </c>
      <c r="O509" s="16" t="str">
        <f t="shared" si="67"/>
        <v>Other</v>
      </c>
      <c r="P509" s="16" t="str">
        <f t="shared" si="65"/>
        <v/>
      </c>
      <c r="S509" s="27" t="str">
        <v/>
      </c>
      <c r="W509" s="19"/>
      <c r="X509" s="19"/>
    </row>
    <row r="510" spans="11:24" ht="25.05" customHeight="1" x14ac:dyDescent="0.45">
      <c r="K510" s="15" t="e">
        <f t="shared" si="68"/>
        <v>#VALUE!</v>
      </c>
      <c r="L510" s="15" t="e">
        <f t="shared" si="69"/>
        <v>#VALUE!</v>
      </c>
      <c r="M510" s="16" t="e">
        <f t="shared" si="64"/>
        <v>#VALUE!</v>
      </c>
      <c r="N510" s="16" t="e">
        <f t="shared" si="66"/>
        <v>#VALUE!</v>
      </c>
      <c r="O510" s="16" t="str">
        <f t="shared" si="67"/>
        <v>Other</v>
      </c>
      <c r="P510" s="16" t="str">
        <f t="shared" si="65"/>
        <v/>
      </c>
      <c r="S510" s="27" t="str">
        <v/>
      </c>
      <c r="W510" s="19"/>
      <c r="X510" s="19"/>
    </row>
    <row r="511" spans="11:24" ht="25.05" customHeight="1" x14ac:dyDescent="0.45">
      <c r="K511" s="15" t="e">
        <f t="shared" si="68"/>
        <v>#VALUE!</v>
      </c>
      <c r="L511" s="15" t="e">
        <f t="shared" si="69"/>
        <v>#VALUE!</v>
      </c>
      <c r="M511" s="16" t="e">
        <f t="shared" si="64"/>
        <v>#VALUE!</v>
      </c>
      <c r="N511" s="16" t="e">
        <f t="shared" si="66"/>
        <v>#VALUE!</v>
      </c>
      <c r="O511" s="16" t="str">
        <f t="shared" si="67"/>
        <v>Other</v>
      </c>
      <c r="P511" s="16" t="str">
        <f t="shared" si="65"/>
        <v/>
      </c>
      <c r="S511" s="27" t="str">
        <v/>
      </c>
      <c r="W511" s="19"/>
      <c r="X511" s="19"/>
    </row>
    <row r="512" spans="11:24" ht="25.05" customHeight="1" x14ac:dyDescent="0.45">
      <c r="K512" s="15" t="e">
        <f t="shared" si="68"/>
        <v>#VALUE!</v>
      </c>
      <c r="L512" s="15" t="e">
        <f t="shared" si="69"/>
        <v>#VALUE!</v>
      </c>
      <c r="M512" s="16" t="e">
        <f t="shared" si="64"/>
        <v>#VALUE!</v>
      </c>
      <c r="N512" s="16" t="e">
        <f t="shared" si="66"/>
        <v>#VALUE!</v>
      </c>
      <c r="O512" s="16" t="str">
        <f t="shared" si="67"/>
        <v>Other</v>
      </c>
      <c r="P512" s="16" t="str">
        <f t="shared" si="65"/>
        <v/>
      </c>
      <c r="S512" s="27" t="str">
        <v/>
      </c>
      <c r="W512" s="19"/>
      <c r="X512" s="19"/>
    </row>
    <row r="513" spans="11:24" ht="25.05" customHeight="1" x14ac:dyDescent="0.45">
      <c r="K513" s="15" t="e">
        <f t="shared" si="68"/>
        <v>#VALUE!</v>
      </c>
      <c r="L513" s="15" t="e">
        <f t="shared" si="69"/>
        <v>#VALUE!</v>
      </c>
      <c r="M513" s="16" t="e">
        <f t="shared" si="64"/>
        <v>#VALUE!</v>
      </c>
      <c r="N513" s="16" t="e">
        <f t="shared" si="66"/>
        <v>#VALUE!</v>
      </c>
      <c r="O513" s="16" t="str">
        <f t="shared" si="67"/>
        <v>Other</v>
      </c>
      <c r="P513" s="16" t="str">
        <f t="shared" si="65"/>
        <v/>
      </c>
      <c r="S513" s="27" t="str">
        <v/>
      </c>
      <c r="W513" s="19"/>
      <c r="X513" s="19"/>
    </row>
    <row r="514" spans="11:24" ht="25.05" customHeight="1" x14ac:dyDescent="0.45">
      <c r="K514" s="15" t="e">
        <f t="shared" si="68"/>
        <v>#VALUE!</v>
      </c>
      <c r="L514" s="15" t="e">
        <f t="shared" si="69"/>
        <v>#VALUE!</v>
      </c>
      <c r="M514" s="16" t="e">
        <f t="shared" ref="M514:M577" si="70">MID(G514,FIND("LR-",G514)+3,FIND("-",G514,FIND("LR-",G514)+3)-FIND("LR-",G514)-3)</f>
        <v>#VALUE!</v>
      </c>
      <c r="N514" s="16" t="e">
        <f t="shared" si="66"/>
        <v>#VALUE!</v>
      </c>
      <c r="O514" s="16" t="str">
        <f t="shared" si="67"/>
        <v>Other</v>
      </c>
      <c r="P514" s="16" t="str">
        <f t="shared" ref="P514:P577" si="71">IF(S514&lt;&gt;"",IF(LEFT(S514,FIND(" &lt;&gt; ",S514)-1) &lt; MID(S514,FIND(" &lt;&gt; ",S514)+4,LEN(S514)),LEFT(S514,FIND(" &lt;&gt; ",S514)-1) &amp; " &lt;&gt; " &amp; MID(S514,FIND(" &lt;&gt; ",S514)+4,LEN(S514)),MID(S514,FIND(" &lt;&gt; ",S514)+4,LEN(S514)) &amp; " &lt;&gt; " &amp; LEFT(S514,FIND(" &lt;&gt; ",S514)-1)),"")</f>
        <v/>
      </c>
      <c r="S514" s="27" t="str">
        <v/>
      </c>
      <c r="W514" s="19"/>
      <c r="X514" s="19"/>
    </row>
    <row r="515" spans="11:24" ht="25.05" customHeight="1" x14ac:dyDescent="0.45">
      <c r="K515" s="15" t="e">
        <f t="shared" si="68"/>
        <v>#VALUE!</v>
      </c>
      <c r="L515" s="15" t="e">
        <f t="shared" si="69"/>
        <v>#VALUE!</v>
      </c>
      <c r="M515" s="16" t="e">
        <f t="shared" si="70"/>
        <v>#VALUE!</v>
      </c>
      <c r="N515" s="16" t="e">
        <f t="shared" si="66"/>
        <v>#VALUE!</v>
      </c>
      <c r="O515" s="16" t="str">
        <f t="shared" si="67"/>
        <v>Other</v>
      </c>
      <c r="P515" s="16" t="str">
        <f t="shared" si="71"/>
        <v/>
      </c>
      <c r="S515" s="27" t="str">
        <v/>
      </c>
      <c r="W515" s="19"/>
      <c r="X515" s="19"/>
    </row>
    <row r="516" spans="11:24" ht="25.05" customHeight="1" x14ac:dyDescent="0.45">
      <c r="K516" s="15" t="e">
        <f t="shared" si="68"/>
        <v>#VALUE!</v>
      </c>
      <c r="L516" s="15" t="e">
        <f t="shared" si="69"/>
        <v>#VALUE!</v>
      </c>
      <c r="M516" s="16" t="e">
        <f t="shared" si="70"/>
        <v>#VALUE!</v>
      </c>
      <c r="N516" s="16" t="e">
        <f t="shared" si="66"/>
        <v>#VALUE!</v>
      </c>
      <c r="O516" s="16" t="str">
        <f t="shared" si="67"/>
        <v>Other</v>
      </c>
      <c r="P516" s="16" t="str">
        <f t="shared" si="71"/>
        <v/>
      </c>
      <c r="S516" s="27" t="str">
        <v/>
      </c>
      <c r="W516" s="19"/>
      <c r="X516" s="19"/>
    </row>
    <row r="517" spans="11:24" ht="25.05" customHeight="1" x14ac:dyDescent="0.45">
      <c r="K517" s="15" t="e">
        <f t="shared" si="68"/>
        <v>#VALUE!</v>
      </c>
      <c r="L517" s="15" t="e">
        <f t="shared" si="69"/>
        <v>#VALUE!</v>
      </c>
      <c r="M517" s="16" t="e">
        <f t="shared" si="70"/>
        <v>#VALUE!</v>
      </c>
      <c r="N517" s="16" t="e">
        <f t="shared" si="66"/>
        <v>#VALUE!</v>
      </c>
      <c r="O517" s="16" t="str">
        <f t="shared" si="67"/>
        <v>Other</v>
      </c>
      <c r="P517" s="16" t="str">
        <f t="shared" si="71"/>
        <v/>
      </c>
      <c r="S517" s="27" t="str">
        <v/>
      </c>
      <c r="W517" s="19"/>
      <c r="X517" s="19"/>
    </row>
    <row r="518" spans="11:24" ht="25.05" customHeight="1" x14ac:dyDescent="0.45">
      <c r="K518" s="15" t="e">
        <f t="shared" si="68"/>
        <v>#VALUE!</v>
      </c>
      <c r="L518" s="15" t="e">
        <f t="shared" si="69"/>
        <v>#VALUE!</v>
      </c>
      <c r="M518" s="16" t="e">
        <f t="shared" si="70"/>
        <v>#VALUE!</v>
      </c>
      <c r="N518" s="16" t="e">
        <f t="shared" si="66"/>
        <v>#VALUE!</v>
      </c>
      <c r="O518" s="16" t="str">
        <f t="shared" si="67"/>
        <v>Other</v>
      </c>
      <c r="P518" s="16" t="str">
        <f t="shared" si="71"/>
        <v/>
      </c>
      <c r="S518" s="27" t="str">
        <v/>
      </c>
      <c r="W518" s="19"/>
      <c r="X518" s="19"/>
    </row>
    <row r="519" spans="11:24" ht="25.05" customHeight="1" x14ac:dyDescent="0.45">
      <c r="K519" s="15" t="e">
        <f t="shared" si="68"/>
        <v>#VALUE!</v>
      </c>
      <c r="L519" s="15" t="e">
        <f t="shared" si="69"/>
        <v>#VALUE!</v>
      </c>
      <c r="M519" s="16" t="e">
        <f t="shared" si="70"/>
        <v>#VALUE!</v>
      </c>
      <c r="N519" s="16" t="e">
        <f t="shared" si="66"/>
        <v>#VALUE!</v>
      </c>
      <c r="O519" s="16" t="str">
        <f t="shared" si="67"/>
        <v>Other</v>
      </c>
      <c r="P519" s="16" t="str">
        <f t="shared" si="71"/>
        <v/>
      </c>
      <c r="S519" s="27" t="str">
        <v/>
      </c>
      <c r="W519" s="19"/>
      <c r="X519" s="19"/>
    </row>
    <row r="520" spans="11:24" ht="25.05" customHeight="1" x14ac:dyDescent="0.45">
      <c r="K520" s="15" t="e">
        <f t="shared" si="68"/>
        <v>#VALUE!</v>
      </c>
      <c r="L520" s="15" t="e">
        <f t="shared" si="69"/>
        <v>#VALUE!</v>
      </c>
      <c r="M520" s="16" t="e">
        <f t="shared" si="70"/>
        <v>#VALUE!</v>
      </c>
      <c r="N520" s="16" t="e">
        <f t="shared" si="66"/>
        <v>#VALUE!</v>
      </c>
      <c r="O520" s="16" t="str">
        <f t="shared" si="67"/>
        <v>Other</v>
      </c>
      <c r="P520" s="16" t="str">
        <f t="shared" si="71"/>
        <v/>
      </c>
      <c r="S520" s="27" t="str">
        <v/>
      </c>
      <c r="W520" s="19"/>
      <c r="X520" s="19"/>
    </row>
    <row r="521" spans="11:24" ht="25.05" customHeight="1" x14ac:dyDescent="0.45">
      <c r="K521" s="15" t="e">
        <f t="shared" si="68"/>
        <v>#VALUE!</v>
      </c>
      <c r="L521" s="15" t="e">
        <f t="shared" si="69"/>
        <v>#VALUE!</v>
      </c>
      <c r="M521" s="16" t="e">
        <f t="shared" si="70"/>
        <v>#VALUE!</v>
      </c>
      <c r="N521" s="16" t="e">
        <f t="shared" si="66"/>
        <v>#VALUE!</v>
      </c>
      <c r="O521" s="16" t="str">
        <f t="shared" si="67"/>
        <v>Other</v>
      </c>
      <c r="P521" s="16" t="str">
        <f t="shared" si="71"/>
        <v/>
      </c>
      <c r="S521" s="27" t="str">
        <v/>
      </c>
      <c r="W521" s="19"/>
      <c r="X521" s="19"/>
    </row>
    <row r="522" spans="11:24" ht="25.05" customHeight="1" x14ac:dyDescent="0.45">
      <c r="K522" s="15" t="e">
        <f t="shared" si="68"/>
        <v>#VALUE!</v>
      </c>
      <c r="L522" s="15" t="e">
        <f t="shared" si="69"/>
        <v>#VALUE!</v>
      </c>
      <c r="M522" s="16" t="e">
        <f t="shared" si="70"/>
        <v>#VALUE!</v>
      </c>
      <c r="N522" s="16" t="e">
        <f t="shared" si="66"/>
        <v>#VALUE!</v>
      </c>
      <c r="O522" s="16" t="str">
        <f t="shared" si="67"/>
        <v>Other</v>
      </c>
      <c r="P522" s="16" t="str">
        <f t="shared" si="71"/>
        <v/>
      </c>
      <c r="S522" s="27" t="str">
        <v/>
      </c>
      <c r="W522" s="19"/>
      <c r="X522" s="19"/>
    </row>
    <row r="523" spans="11:24" ht="25.05" customHeight="1" x14ac:dyDescent="0.45">
      <c r="K523" s="15" t="e">
        <f t="shared" si="68"/>
        <v>#VALUE!</v>
      </c>
      <c r="L523" s="15" t="e">
        <f t="shared" si="69"/>
        <v>#VALUE!</v>
      </c>
      <c r="M523" s="16" t="e">
        <f t="shared" si="70"/>
        <v>#VALUE!</v>
      </c>
      <c r="N523" s="16" t="e">
        <f t="shared" si="66"/>
        <v>#VALUE!</v>
      </c>
      <c r="O523" s="16" t="str">
        <f t="shared" si="67"/>
        <v>Other</v>
      </c>
      <c r="P523" s="16" t="str">
        <f t="shared" si="71"/>
        <v/>
      </c>
      <c r="S523" s="27" t="str">
        <v/>
      </c>
      <c r="W523" s="19"/>
      <c r="X523" s="19"/>
    </row>
    <row r="524" spans="11:24" ht="25.05" customHeight="1" x14ac:dyDescent="0.45">
      <c r="K524" s="15" t="e">
        <f t="shared" si="68"/>
        <v>#VALUE!</v>
      </c>
      <c r="L524" s="15" t="e">
        <f t="shared" si="69"/>
        <v>#VALUE!</v>
      </c>
      <c r="M524" s="16" t="e">
        <f t="shared" si="70"/>
        <v>#VALUE!</v>
      </c>
      <c r="N524" s="16" t="e">
        <f t="shared" si="66"/>
        <v>#VALUE!</v>
      </c>
      <c r="O524" s="16" t="str">
        <f t="shared" si="67"/>
        <v>Other</v>
      </c>
      <c r="P524" s="16" t="str">
        <f t="shared" si="71"/>
        <v/>
      </c>
      <c r="S524" s="27" t="str">
        <v/>
      </c>
      <c r="W524" s="19"/>
      <c r="X524" s="19"/>
    </row>
    <row r="525" spans="11:24" ht="25.05" customHeight="1" x14ac:dyDescent="0.45">
      <c r="K525" s="15" t="e">
        <f t="shared" si="68"/>
        <v>#VALUE!</v>
      </c>
      <c r="L525" s="15" t="e">
        <f t="shared" si="69"/>
        <v>#VALUE!</v>
      </c>
      <c r="M525" s="16" t="e">
        <f t="shared" si="70"/>
        <v>#VALUE!</v>
      </c>
      <c r="N525" s="16" t="e">
        <f t="shared" si="66"/>
        <v>#VALUE!</v>
      </c>
      <c r="O525" s="16" t="str">
        <f t="shared" si="67"/>
        <v>Other</v>
      </c>
      <c r="P525" s="16" t="str">
        <f t="shared" si="71"/>
        <v/>
      </c>
      <c r="S525" s="27" t="str">
        <v/>
      </c>
      <c r="W525" s="19"/>
      <c r="X525" s="19"/>
    </row>
    <row r="526" spans="11:24" ht="25.05" customHeight="1" x14ac:dyDescent="0.45">
      <c r="K526" s="15" t="e">
        <f t="shared" si="68"/>
        <v>#VALUE!</v>
      </c>
      <c r="L526" s="15" t="e">
        <f t="shared" si="69"/>
        <v>#VALUE!</v>
      </c>
      <c r="M526" s="16" t="e">
        <f t="shared" si="70"/>
        <v>#VALUE!</v>
      </c>
      <c r="N526" s="16" t="e">
        <f t="shared" si="66"/>
        <v>#VALUE!</v>
      </c>
      <c r="O526" s="16" t="str">
        <f t="shared" si="67"/>
        <v>Other</v>
      </c>
      <c r="P526" s="16" t="str">
        <f t="shared" si="71"/>
        <v/>
      </c>
      <c r="S526" s="27" t="str">
        <v/>
      </c>
      <c r="W526" s="19"/>
      <c r="X526" s="19"/>
    </row>
    <row r="527" spans="11:24" ht="25.05" customHeight="1" x14ac:dyDescent="0.45">
      <c r="K527" s="15" t="e">
        <f t="shared" si="68"/>
        <v>#VALUE!</v>
      </c>
      <c r="L527" s="15" t="e">
        <f t="shared" si="69"/>
        <v>#VALUE!</v>
      </c>
      <c r="M527" s="16" t="e">
        <f t="shared" si="70"/>
        <v>#VALUE!</v>
      </c>
      <c r="N527" s="16" t="e">
        <f t="shared" si="66"/>
        <v>#VALUE!</v>
      </c>
      <c r="O527" s="16" t="str">
        <f t="shared" si="67"/>
        <v>Other</v>
      </c>
      <c r="P527" s="16" t="str">
        <f t="shared" si="71"/>
        <v/>
      </c>
      <c r="S527" s="27" t="str">
        <v/>
      </c>
      <c r="W527" s="19"/>
      <c r="X527" s="19"/>
    </row>
    <row r="528" spans="11:24" ht="25.05" customHeight="1" x14ac:dyDescent="0.45">
      <c r="K528" s="15" t="e">
        <f t="shared" si="68"/>
        <v>#VALUE!</v>
      </c>
      <c r="L528" s="15" t="e">
        <f t="shared" si="69"/>
        <v>#VALUE!</v>
      </c>
      <c r="M528" s="16" t="e">
        <f t="shared" si="70"/>
        <v>#VALUE!</v>
      </c>
      <c r="N528" s="16" t="e">
        <f t="shared" si="66"/>
        <v>#VALUE!</v>
      </c>
      <c r="O528" s="16" t="str">
        <f t="shared" si="67"/>
        <v>Other</v>
      </c>
      <c r="P528" s="16" t="str">
        <f t="shared" si="71"/>
        <v/>
      </c>
      <c r="S528" s="27" t="str">
        <v/>
      </c>
      <c r="W528" s="19"/>
      <c r="X528" s="19"/>
    </row>
    <row r="529" spans="11:24" ht="25.05" customHeight="1" x14ac:dyDescent="0.45">
      <c r="K529" s="15" t="e">
        <f t="shared" si="68"/>
        <v>#VALUE!</v>
      </c>
      <c r="L529" s="15" t="e">
        <f t="shared" si="69"/>
        <v>#VALUE!</v>
      </c>
      <c r="M529" s="16" t="e">
        <f t="shared" si="70"/>
        <v>#VALUE!</v>
      </c>
      <c r="N529" s="16" t="e">
        <f t="shared" si="66"/>
        <v>#VALUE!</v>
      </c>
      <c r="O529" s="16" t="str">
        <f t="shared" si="67"/>
        <v>Other</v>
      </c>
      <c r="P529" s="16" t="str">
        <f t="shared" si="71"/>
        <v/>
      </c>
      <c r="S529" s="27" t="str">
        <v/>
      </c>
      <c r="W529" s="19"/>
      <c r="X529" s="19"/>
    </row>
    <row r="530" spans="11:24" ht="25.05" customHeight="1" x14ac:dyDescent="0.45">
      <c r="K530" s="15" t="e">
        <f t="shared" si="68"/>
        <v>#VALUE!</v>
      </c>
      <c r="L530" s="15" t="e">
        <f t="shared" si="69"/>
        <v>#VALUE!</v>
      </c>
      <c r="M530" s="16" t="e">
        <f t="shared" si="70"/>
        <v>#VALUE!</v>
      </c>
      <c r="N530" s="16" t="e">
        <f t="shared" si="66"/>
        <v>#VALUE!</v>
      </c>
      <c r="O530" s="16" t="str">
        <f t="shared" si="67"/>
        <v>Other</v>
      </c>
      <c r="P530" s="16" t="str">
        <f t="shared" si="71"/>
        <v/>
      </c>
      <c r="S530" s="27" t="str">
        <v/>
      </c>
      <c r="W530" s="19"/>
      <c r="X530" s="19"/>
    </row>
    <row r="531" spans="11:24" ht="25.05" customHeight="1" x14ac:dyDescent="0.45">
      <c r="K531" s="15" t="e">
        <f t="shared" si="68"/>
        <v>#VALUE!</v>
      </c>
      <c r="L531" s="15" t="e">
        <f t="shared" si="69"/>
        <v>#VALUE!</v>
      </c>
      <c r="M531" s="16" t="e">
        <f t="shared" si="70"/>
        <v>#VALUE!</v>
      </c>
      <c r="N531" s="16" t="e">
        <f t="shared" si="66"/>
        <v>#VALUE!</v>
      </c>
      <c r="O531" s="16" t="str">
        <f t="shared" si="67"/>
        <v>Other</v>
      </c>
      <c r="P531" s="16" t="str">
        <f t="shared" si="71"/>
        <v/>
      </c>
      <c r="S531" s="27" t="str">
        <v/>
      </c>
      <c r="W531" s="19"/>
      <c r="X531" s="19"/>
    </row>
    <row r="532" spans="11:24" ht="25.05" customHeight="1" x14ac:dyDescent="0.45">
      <c r="K532" s="15" t="e">
        <f t="shared" si="68"/>
        <v>#VALUE!</v>
      </c>
      <c r="L532" s="15" t="e">
        <f t="shared" si="69"/>
        <v>#VALUE!</v>
      </c>
      <c r="M532" s="16" t="e">
        <f t="shared" si="70"/>
        <v>#VALUE!</v>
      </c>
      <c r="N532" s="16" t="e">
        <f t="shared" si="66"/>
        <v>#VALUE!</v>
      </c>
      <c r="O532" s="16" t="str">
        <f t="shared" si="67"/>
        <v>Other</v>
      </c>
      <c r="P532" s="16" t="str">
        <f t="shared" si="71"/>
        <v/>
      </c>
      <c r="S532" s="27" t="str">
        <v/>
      </c>
      <c r="W532" s="19"/>
      <c r="X532" s="19"/>
    </row>
    <row r="533" spans="11:24" ht="25.05" customHeight="1" x14ac:dyDescent="0.45">
      <c r="K533" s="15" t="e">
        <f t="shared" si="68"/>
        <v>#VALUE!</v>
      </c>
      <c r="L533" s="15" t="e">
        <f t="shared" si="69"/>
        <v>#VALUE!</v>
      </c>
      <c r="M533" s="16" t="e">
        <f t="shared" si="70"/>
        <v>#VALUE!</v>
      </c>
      <c r="N533" s="16" t="e">
        <f t="shared" si="66"/>
        <v>#VALUE!</v>
      </c>
      <c r="O533" s="16" t="str">
        <f t="shared" si="67"/>
        <v>Other</v>
      </c>
      <c r="P533" s="16" t="str">
        <f t="shared" si="71"/>
        <v/>
      </c>
      <c r="S533" s="27" t="str">
        <v/>
      </c>
      <c r="W533" s="19"/>
      <c r="X533" s="19"/>
    </row>
    <row r="534" spans="11:24" ht="25.05" customHeight="1" x14ac:dyDescent="0.45">
      <c r="K534" s="15" t="e">
        <f t="shared" si="68"/>
        <v>#VALUE!</v>
      </c>
      <c r="L534" s="15" t="e">
        <f t="shared" si="69"/>
        <v>#VALUE!</v>
      </c>
      <c r="M534" s="16" t="e">
        <f t="shared" si="70"/>
        <v>#VALUE!</v>
      </c>
      <c r="N534" s="16" t="e">
        <f t="shared" si="66"/>
        <v>#VALUE!</v>
      </c>
      <c r="O534" s="16" t="str">
        <f t="shared" si="67"/>
        <v>Other</v>
      </c>
      <c r="P534" s="16" t="str">
        <f t="shared" si="71"/>
        <v/>
      </c>
      <c r="S534" s="27" t="str">
        <v/>
      </c>
      <c r="W534" s="19"/>
      <c r="X534" s="19"/>
    </row>
    <row r="535" spans="11:24" ht="25.05" customHeight="1" x14ac:dyDescent="0.45">
      <c r="K535" s="15" t="e">
        <f t="shared" si="68"/>
        <v>#VALUE!</v>
      </c>
      <c r="L535" s="15" t="e">
        <f t="shared" si="69"/>
        <v>#VALUE!</v>
      </c>
      <c r="M535" s="16" t="e">
        <f t="shared" si="70"/>
        <v>#VALUE!</v>
      </c>
      <c r="N535" s="16" t="e">
        <f t="shared" si="66"/>
        <v>#VALUE!</v>
      </c>
      <c r="O535" s="16" t="str">
        <f t="shared" si="67"/>
        <v>Other</v>
      </c>
      <c r="P535" s="16" t="str">
        <f t="shared" si="71"/>
        <v/>
      </c>
      <c r="S535" s="27" t="str">
        <v/>
      </c>
      <c r="W535" s="19"/>
      <c r="X535" s="19"/>
    </row>
    <row r="536" spans="11:24" ht="25.05" customHeight="1" x14ac:dyDescent="0.45">
      <c r="K536" s="15" t="e">
        <f t="shared" si="68"/>
        <v>#VALUE!</v>
      </c>
      <c r="L536" s="15" t="e">
        <f t="shared" si="69"/>
        <v>#VALUE!</v>
      </c>
      <c r="M536" s="16" t="e">
        <f t="shared" si="70"/>
        <v>#VALUE!</v>
      </c>
      <c r="N536" s="16" t="e">
        <f t="shared" si="66"/>
        <v>#VALUE!</v>
      </c>
      <c r="O536" s="16" t="str">
        <f t="shared" si="67"/>
        <v>Other</v>
      </c>
      <c r="P536" s="16" t="str">
        <f t="shared" si="71"/>
        <v/>
      </c>
      <c r="S536" s="27" t="str">
        <v/>
      </c>
      <c r="W536" s="19"/>
      <c r="X536" s="19"/>
    </row>
    <row r="537" spans="11:24" ht="25.05" customHeight="1" x14ac:dyDescent="0.45">
      <c r="K537" s="15" t="e">
        <f t="shared" si="68"/>
        <v>#VALUE!</v>
      </c>
      <c r="L537" s="15" t="e">
        <f t="shared" si="69"/>
        <v>#VALUE!</v>
      </c>
      <c r="M537" s="16" t="e">
        <f t="shared" si="70"/>
        <v>#VALUE!</v>
      </c>
      <c r="N537" s="16" t="e">
        <f t="shared" si="66"/>
        <v>#VALUE!</v>
      </c>
      <c r="O537" s="16" t="str">
        <f t="shared" si="67"/>
        <v>Other</v>
      </c>
      <c r="P537" s="16" t="str">
        <f t="shared" si="71"/>
        <v/>
      </c>
      <c r="S537" s="27" t="str">
        <v/>
      </c>
      <c r="W537" s="19"/>
      <c r="X537" s="19"/>
    </row>
    <row r="538" spans="11:24" ht="25.05" customHeight="1" x14ac:dyDescent="0.45">
      <c r="K538" s="15" t="e">
        <f t="shared" si="68"/>
        <v>#VALUE!</v>
      </c>
      <c r="L538" s="15" t="e">
        <f t="shared" si="69"/>
        <v>#VALUE!</v>
      </c>
      <c r="M538" s="16" t="e">
        <f t="shared" si="70"/>
        <v>#VALUE!</v>
      </c>
      <c r="N538" s="16" t="e">
        <f t="shared" si="66"/>
        <v>#VALUE!</v>
      </c>
      <c r="O538" s="16" t="str">
        <f t="shared" si="67"/>
        <v>Other</v>
      </c>
      <c r="P538" s="16" t="str">
        <f t="shared" si="71"/>
        <v/>
      </c>
      <c r="S538" s="27" t="str">
        <v/>
      </c>
      <c r="W538" s="19"/>
      <c r="X538" s="19"/>
    </row>
    <row r="539" spans="11:24" ht="25.05" customHeight="1" x14ac:dyDescent="0.45">
      <c r="K539" s="15" t="e">
        <f t="shared" si="68"/>
        <v>#VALUE!</v>
      </c>
      <c r="L539" s="15" t="e">
        <f t="shared" si="69"/>
        <v>#VALUE!</v>
      </c>
      <c r="M539" s="16" t="e">
        <f t="shared" si="70"/>
        <v>#VALUE!</v>
      </c>
      <c r="N539" s="16" t="e">
        <f t="shared" si="66"/>
        <v>#VALUE!</v>
      </c>
      <c r="O539" s="16" t="str">
        <f t="shared" si="67"/>
        <v>Other</v>
      </c>
      <c r="P539" s="16" t="str">
        <f t="shared" si="71"/>
        <v/>
      </c>
      <c r="S539" s="27" t="str">
        <v/>
      </c>
      <c r="W539" s="19"/>
      <c r="X539" s="19"/>
    </row>
    <row r="540" spans="11:24" ht="25.05" customHeight="1" x14ac:dyDescent="0.45">
      <c r="K540" s="15" t="e">
        <f t="shared" si="68"/>
        <v>#VALUE!</v>
      </c>
      <c r="L540" s="15" t="e">
        <f t="shared" si="69"/>
        <v>#VALUE!</v>
      </c>
      <c r="M540" s="16" t="e">
        <f t="shared" si="70"/>
        <v>#VALUE!</v>
      </c>
      <c r="N540" s="16" t="e">
        <f t="shared" si="66"/>
        <v>#VALUE!</v>
      </c>
      <c r="O540" s="16" t="str">
        <f t="shared" si="67"/>
        <v>Other</v>
      </c>
      <c r="P540" s="16" t="str">
        <f t="shared" si="71"/>
        <v/>
      </c>
      <c r="S540" s="27" t="str">
        <v/>
      </c>
      <c r="W540" s="19"/>
      <c r="X540" s="19"/>
    </row>
    <row r="541" spans="11:24" ht="25.05" customHeight="1" x14ac:dyDescent="0.45">
      <c r="K541" s="15" t="e">
        <f t="shared" si="68"/>
        <v>#VALUE!</v>
      </c>
      <c r="L541" s="15" t="e">
        <f t="shared" si="69"/>
        <v>#VALUE!</v>
      </c>
      <c r="M541" s="16" t="e">
        <f t="shared" si="70"/>
        <v>#VALUE!</v>
      </c>
      <c r="N541" s="16" t="e">
        <f t="shared" si="66"/>
        <v>#VALUE!</v>
      </c>
      <c r="O541" s="16" t="str">
        <f t="shared" si="67"/>
        <v>Other</v>
      </c>
      <c r="P541" s="16" t="str">
        <f t="shared" si="71"/>
        <v/>
      </c>
      <c r="S541" s="27" t="str">
        <v/>
      </c>
      <c r="W541" s="19"/>
      <c r="X541" s="19"/>
    </row>
    <row r="542" spans="11:24" ht="25.05" customHeight="1" x14ac:dyDescent="0.45">
      <c r="K542" s="15" t="e">
        <f t="shared" si="68"/>
        <v>#VALUE!</v>
      </c>
      <c r="L542" s="15" t="e">
        <f t="shared" si="69"/>
        <v>#VALUE!</v>
      </c>
      <c r="M542" s="16" t="e">
        <f t="shared" si="70"/>
        <v>#VALUE!</v>
      </c>
      <c r="N542" s="16" t="e">
        <f t="shared" si="66"/>
        <v>#VALUE!</v>
      </c>
      <c r="O542" s="16" t="str">
        <f t="shared" si="67"/>
        <v>Other</v>
      </c>
      <c r="P542" s="16" t="str">
        <f t="shared" si="71"/>
        <v/>
      </c>
      <c r="S542" s="27" t="str">
        <v/>
      </c>
      <c r="W542" s="19"/>
      <c r="X542" s="19"/>
    </row>
    <row r="543" spans="11:24" ht="25.05" customHeight="1" x14ac:dyDescent="0.45">
      <c r="K543" s="15" t="e">
        <f t="shared" si="68"/>
        <v>#VALUE!</v>
      </c>
      <c r="L543" s="15" t="e">
        <f t="shared" si="69"/>
        <v>#VALUE!</v>
      </c>
      <c r="M543" s="16" t="e">
        <f t="shared" si="70"/>
        <v>#VALUE!</v>
      </c>
      <c r="N543" s="16" t="e">
        <f t="shared" si="66"/>
        <v>#VALUE!</v>
      </c>
      <c r="O543" s="16" t="str">
        <f t="shared" si="67"/>
        <v>Other</v>
      </c>
      <c r="P543" s="16" t="str">
        <f t="shared" si="71"/>
        <v/>
      </c>
      <c r="S543" s="27" t="str">
        <v/>
      </c>
      <c r="W543" s="19"/>
      <c r="X543" s="19"/>
    </row>
    <row r="544" spans="11:24" ht="25.05" customHeight="1" x14ac:dyDescent="0.45">
      <c r="K544" s="15" t="e">
        <f t="shared" si="68"/>
        <v>#VALUE!</v>
      </c>
      <c r="L544" s="15" t="e">
        <f t="shared" si="69"/>
        <v>#VALUE!</v>
      </c>
      <c r="M544" s="16" t="e">
        <f t="shared" si="70"/>
        <v>#VALUE!</v>
      </c>
      <c r="N544" s="16" t="e">
        <f t="shared" si="66"/>
        <v>#VALUE!</v>
      </c>
      <c r="O544" s="16" t="str">
        <f t="shared" si="67"/>
        <v>Other</v>
      </c>
      <c r="P544" s="16" t="str">
        <f t="shared" si="71"/>
        <v/>
      </c>
      <c r="S544" s="27" t="str">
        <v/>
      </c>
      <c r="W544" s="19"/>
      <c r="X544" s="19"/>
    </row>
    <row r="545" spans="11:24" ht="25.05" customHeight="1" x14ac:dyDescent="0.45">
      <c r="K545" s="15" t="e">
        <f t="shared" si="68"/>
        <v>#VALUE!</v>
      </c>
      <c r="L545" s="15" t="e">
        <f t="shared" si="69"/>
        <v>#VALUE!</v>
      </c>
      <c r="M545" s="16" t="e">
        <f t="shared" si="70"/>
        <v>#VALUE!</v>
      </c>
      <c r="N545" s="16" t="e">
        <f t="shared" si="66"/>
        <v>#VALUE!</v>
      </c>
      <c r="O545" s="16" t="str">
        <f t="shared" si="67"/>
        <v>Other</v>
      </c>
      <c r="P545" s="16" t="str">
        <f t="shared" si="71"/>
        <v/>
      </c>
      <c r="S545" s="27" t="str">
        <v/>
      </c>
      <c r="W545" s="19"/>
      <c r="X545" s="19"/>
    </row>
    <row r="546" spans="11:24" ht="25.05" customHeight="1" x14ac:dyDescent="0.45">
      <c r="K546" s="15" t="e">
        <f t="shared" si="68"/>
        <v>#VALUE!</v>
      </c>
      <c r="L546" s="15" t="e">
        <f t="shared" si="69"/>
        <v>#VALUE!</v>
      </c>
      <c r="M546" s="16" t="e">
        <f t="shared" si="70"/>
        <v>#VALUE!</v>
      </c>
      <c r="N546" s="16" t="e">
        <f t="shared" ref="N546:N609" si="72">K546 &amp; " &lt;&gt; " &amp; L546</f>
        <v>#VALUE!</v>
      </c>
      <c r="O546" s="16" t="str">
        <f t="shared" si="67"/>
        <v>Other</v>
      </c>
      <c r="P546" s="16" t="str">
        <f t="shared" si="71"/>
        <v/>
      </c>
      <c r="S546" s="27" t="str">
        <v/>
      </c>
      <c r="W546" s="19"/>
      <c r="X546" s="19"/>
    </row>
    <row r="547" spans="11:24" ht="25.05" customHeight="1" x14ac:dyDescent="0.45">
      <c r="K547" s="15" t="e">
        <f t="shared" si="68"/>
        <v>#VALUE!</v>
      </c>
      <c r="L547" s="15" t="e">
        <f t="shared" si="69"/>
        <v>#VALUE!</v>
      </c>
      <c r="M547" s="16" t="e">
        <f t="shared" si="70"/>
        <v>#VALUE!</v>
      </c>
      <c r="N547" s="16" t="e">
        <f t="shared" si="72"/>
        <v>#VALUE!</v>
      </c>
      <c r="O547" s="16" t="str">
        <f t="shared" si="67"/>
        <v>Other</v>
      </c>
      <c r="P547" s="16" t="str">
        <f t="shared" si="71"/>
        <v/>
      </c>
      <c r="S547" s="27" t="str">
        <v/>
      </c>
      <c r="W547" s="19"/>
      <c r="X547" s="19"/>
    </row>
    <row r="548" spans="11:24" ht="25.05" customHeight="1" x14ac:dyDescent="0.45">
      <c r="K548" s="15" t="e">
        <f t="shared" si="68"/>
        <v>#VALUE!</v>
      </c>
      <c r="L548" s="15" t="e">
        <f t="shared" si="69"/>
        <v>#VALUE!</v>
      </c>
      <c r="M548" s="16" t="e">
        <f t="shared" si="70"/>
        <v>#VALUE!</v>
      </c>
      <c r="N548" s="16" t="e">
        <f t="shared" si="72"/>
        <v>#VALUE!</v>
      </c>
      <c r="O548" s="16" t="str">
        <f t="shared" si="67"/>
        <v>Other</v>
      </c>
      <c r="P548" s="16" t="str">
        <f t="shared" si="71"/>
        <v/>
      </c>
      <c r="S548" s="27" t="str">
        <v/>
      </c>
      <c r="W548" s="19"/>
      <c r="X548" s="19"/>
    </row>
    <row r="549" spans="11:24" ht="25.05" customHeight="1" x14ac:dyDescent="0.45">
      <c r="K549" s="15" t="e">
        <f t="shared" si="68"/>
        <v>#VALUE!</v>
      </c>
      <c r="L549" s="15" t="e">
        <f t="shared" si="69"/>
        <v>#VALUE!</v>
      </c>
      <c r="M549" s="16" t="e">
        <f t="shared" si="70"/>
        <v>#VALUE!</v>
      </c>
      <c r="N549" s="16" t="e">
        <f t="shared" si="72"/>
        <v>#VALUE!</v>
      </c>
      <c r="O549" s="16" t="str">
        <f t="shared" si="67"/>
        <v>Other</v>
      </c>
      <c r="P549" s="16" t="str">
        <f t="shared" si="71"/>
        <v/>
      </c>
      <c r="S549" s="27" t="str">
        <v/>
      </c>
      <c r="W549" s="19"/>
      <c r="X549" s="19"/>
    </row>
    <row r="550" spans="11:24" ht="25.05" customHeight="1" x14ac:dyDescent="0.45">
      <c r="K550" s="15" t="e">
        <f t="shared" si="68"/>
        <v>#VALUE!</v>
      </c>
      <c r="L550" s="15" t="e">
        <f t="shared" si="69"/>
        <v>#VALUE!</v>
      </c>
      <c r="M550" s="16" t="e">
        <f t="shared" si="70"/>
        <v>#VALUE!</v>
      </c>
      <c r="N550" s="16" t="e">
        <f t="shared" si="72"/>
        <v>#VALUE!</v>
      </c>
      <c r="O550" s="16" t="str">
        <f t="shared" ref="O550:O613" si="73">IF(LEFT(E550, 6)="TenGig", "10G (Ten Gig)", IF(LEFT(E550, 10)="HundredGig", "100G (Hundred Gig)", "Other"))</f>
        <v>Other</v>
      </c>
      <c r="P550" s="16" t="str">
        <f t="shared" si="71"/>
        <v/>
      </c>
      <c r="S550" s="27" t="str">
        <v/>
      </c>
      <c r="W550" s="19"/>
      <c r="X550" s="19"/>
    </row>
    <row r="551" spans="11:24" ht="25.05" customHeight="1" x14ac:dyDescent="0.45">
      <c r="K551" s="15" t="e">
        <f t="shared" ref="K551:K614" si="74">LEFT(A551, FIND("-", A551)-1)</f>
        <v>#VALUE!</v>
      </c>
      <c r="L551" s="15" t="e">
        <f t="shared" si="69"/>
        <v>#VALUE!</v>
      </c>
      <c r="M551" s="16" t="e">
        <f t="shared" si="70"/>
        <v>#VALUE!</v>
      </c>
      <c r="N551" s="16" t="e">
        <f t="shared" si="72"/>
        <v>#VALUE!</v>
      </c>
      <c r="O551" s="16" t="str">
        <f t="shared" si="73"/>
        <v>Other</v>
      </c>
      <c r="P551" s="16" t="str">
        <f t="shared" si="71"/>
        <v/>
      </c>
      <c r="S551" s="27" t="str">
        <v/>
      </c>
      <c r="W551" s="19"/>
      <c r="X551" s="19"/>
    </row>
    <row r="552" spans="11:24" ht="25.05" customHeight="1" x14ac:dyDescent="0.45">
      <c r="K552" s="15" t="e">
        <f t="shared" si="74"/>
        <v>#VALUE!</v>
      </c>
      <c r="L552" s="15" t="e">
        <f t="shared" si="69"/>
        <v>#VALUE!</v>
      </c>
      <c r="M552" s="16" t="e">
        <f t="shared" si="70"/>
        <v>#VALUE!</v>
      </c>
      <c r="N552" s="16" t="e">
        <f t="shared" si="72"/>
        <v>#VALUE!</v>
      </c>
      <c r="O552" s="16" t="str">
        <f t="shared" si="73"/>
        <v>Other</v>
      </c>
      <c r="P552" s="16" t="str">
        <f t="shared" si="71"/>
        <v/>
      </c>
      <c r="S552" s="27" t="str">
        <v/>
      </c>
      <c r="W552" s="19"/>
      <c r="X552" s="19"/>
    </row>
    <row r="553" spans="11:24" ht="25.05" customHeight="1" x14ac:dyDescent="0.45">
      <c r="K553" s="15" t="e">
        <f t="shared" si="74"/>
        <v>#VALUE!</v>
      </c>
      <c r="L553" s="15" t="e">
        <f t="shared" ref="L553:L616" si="75">LEFT(C553, FIND("-", C553)-1)</f>
        <v>#VALUE!</v>
      </c>
      <c r="M553" s="16" t="e">
        <f t="shared" si="70"/>
        <v>#VALUE!</v>
      </c>
      <c r="N553" s="16" t="e">
        <f t="shared" si="72"/>
        <v>#VALUE!</v>
      </c>
      <c r="O553" s="16" t="str">
        <f t="shared" si="73"/>
        <v>Other</v>
      </c>
      <c r="P553" s="16" t="str">
        <f t="shared" si="71"/>
        <v/>
      </c>
      <c r="S553" s="27" t="str">
        <v/>
      </c>
      <c r="W553" s="19"/>
      <c r="X553" s="19"/>
    </row>
    <row r="554" spans="11:24" ht="25.05" customHeight="1" x14ac:dyDescent="0.45">
      <c r="K554" s="15" t="e">
        <f t="shared" si="74"/>
        <v>#VALUE!</v>
      </c>
      <c r="L554" s="15" t="e">
        <f t="shared" si="75"/>
        <v>#VALUE!</v>
      </c>
      <c r="M554" s="16" t="e">
        <f t="shared" si="70"/>
        <v>#VALUE!</v>
      </c>
      <c r="N554" s="16" t="e">
        <f t="shared" si="72"/>
        <v>#VALUE!</v>
      </c>
      <c r="O554" s="16" t="str">
        <f t="shared" si="73"/>
        <v>Other</v>
      </c>
      <c r="P554" s="16" t="str">
        <f t="shared" si="71"/>
        <v/>
      </c>
      <c r="S554" s="27" t="str">
        <v/>
      </c>
      <c r="W554" s="19"/>
      <c r="X554" s="19"/>
    </row>
    <row r="555" spans="11:24" ht="25.05" customHeight="1" x14ac:dyDescent="0.45">
      <c r="K555" s="15" t="e">
        <f t="shared" si="74"/>
        <v>#VALUE!</v>
      </c>
      <c r="L555" s="15" t="e">
        <f t="shared" si="75"/>
        <v>#VALUE!</v>
      </c>
      <c r="M555" s="16" t="e">
        <f t="shared" si="70"/>
        <v>#VALUE!</v>
      </c>
      <c r="N555" s="16" t="e">
        <f t="shared" si="72"/>
        <v>#VALUE!</v>
      </c>
      <c r="O555" s="16" t="str">
        <f t="shared" si="73"/>
        <v>Other</v>
      </c>
      <c r="P555" s="16" t="str">
        <f t="shared" si="71"/>
        <v/>
      </c>
      <c r="S555" s="27" t="str">
        <v/>
      </c>
      <c r="W555" s="19"/>
      <c r="X555" s="19"/>
    </row>
    <row r="556" spans="11:24" ht="25.05" customHeight="1" x14ac:dyDescent="0.45">
      <c r="K556" s="15" t="e">
        <f t="shared" si="74"/>
        <v>#VALUE!</v>
      </c>
      <c r="L556" s="15" t="e">
        <f t="shared" si="75"/>
        <v>#VALUE!</v>
      </c>
      <c r="M556" s="16" t="e">
        <f t="shared" si="70"/>
        <v>#VALUE!</v>
      </c>
      <c r="N556" s="16" t="e">
        <f t="shared" si="72"/>
        <v>#VALUE!</v>
      </c>
      <c r="O556" s="16" t="str">
        <f t="shared" si="73"/>
        <v>Other</v>
      </c>
      <c r="P556" s="16" t="str">
        <f t="shared" si="71"/>
        <v/>
      </c>
      <c r="S556" s="27" t="str">
        <v/>
      </c>
      <c r="W556" s="19"/>
      <c r="X556" s="19"/>
    </row>
    <row r="557" spans="11:24" ht="25.05" customHeight="1" x14ac:dyDescent="0.45">
      <c r="K557" s="15" t="e">
        <f t="shared" si="74"/>
        <v>#VALUE!</v>
      </c>
      <c r="L557" s="15" t="e">
        <f t="shared" si="75"/>
        <v>#VALUE!</v>
      </c>
      <c r="M557" s="16" t="e">
        <f t="shared" si="70"/>
        <v>#VALUE!</v>
      </c>
      <c r="N557" s="16" t="e">
        <f t="shared" si="72"/>
        <v>#VALUE!</v>
      </c>
      <c r="O557" s="16" t="str">
        <f t="shared" si="73"/>
        <v>Other</v>
      </c>
      <c r="P557" s="16" t="str">
        <f t="shared" si="71"/>
        <v/>
      </c>
      <c r="S557" s="27" t="str">
        <v/>
      </c>
      <c r="W557" s="19"/>
      <c r="X557" s="19"/>
    </row>
    <row r="558" spans="11:24" ht="25.05" customHeight="1" x14ac:dyDescent="0.45">
      <c r="K558" s="15" t="e">
        <f t="shared" si="74"/>
        <v>#VALUE!</v>
      </c>
      <c r="L558" s="15" t="e">
        <f t="shared" si="75"/>
        <v>#VALUE!</v>
      </c>
      <c r="M558" s="16" t="e">
        <f t="shared" si="70"/>
        <v>#VALUE!</v>
      </c>
      <c r="N558" s="16" t="e">
        <f t="shared" si="72"/>
        <v>#VALUE!</v>
      </c>
      <c r="O558" s="16" t="str">
        <f t="shared" si="73"/>
        <v>Other</v>
      </c>
      <c r="P558" s="16" t="str">
        <f t="shared" si="71"/>
        <v/>
      </c>
      <c r="S558" s="27" t="str">
        <v/>
      </c>
      <c r="W558" s="19"/>
      <c r="X558" s="19"/>
    </row>
    <row r="559" spans="11:24" ht="25.05" customHeight="1" x14ac:dyDescent="0.45">
      <c r="K559" s="15" t="e">
        <f t="shared" si="74"/>
        <v>#VALUE!</v>
      </c>
      <c r="L559" s="15" t="e">
        <f t="shared" si="75"/>
        <v>#VALUE!</v>
      </c>
      <c r="M559" s="16" t="e">
        <f t="shared" si="70"/>
        <v>#VALUE!</v>
      </c>
      <c r="N559" s="16" t="e">
        <f t="shared" si="72"/>
        <v>#VALUE!</v>
      </c>
      <c r="O559" s="16" t="str">
        <f t="shared" si="73"/>
        <v>Other</v>
      </c>
      <c r="P559" s="16" t="str">
        <f t="shared" si="71"/>
        <v/>
      </c>
      <c r="S559" s="27" t="str">
        <v/>
      </c>
      <c r="W559" s="19"/>
      <c r="X559" s="19"/>
    </row>
    <row r="560" spans="11:24" ht="25.05" customHeight="1" x14ac:dyDescent="0.45">
      <c r="K560" s="15" t="e">
        <f t="shared" si="74"/>
        <v>#VALUE!</v>
      </c>
      <c r="L560" s="15" t="e">
        <f t="shared" si="75"/>
        <v>#VALUE!</v>
      </c>
      <c r="M560" s="16" t="e">
        <f t="shared" si="70"/>
        <v>#VALUE!</v>
      </c>
      <c r="N560" s="16" t="e">
        <f t="shared" si="72"/>
        <v>#VALUE!</v>
      </c>
      <c r="O560" s="16" t="str">
        <f t="shared" si="73"/>
        <v>Other</v>
      </c>
      <c r="P560" s="16" t="str">
        <f t="shared" si="71"/>
        <v/>
      </c>
      <c r="S560" s="27" t="str">
        <v/>
      </c>
      <c r="W560" s="19"/>
      <c r="X560" s="19"/>
    </row>
    <row r="561" spans="11:24" ht="25.05" customHeight="1" x14ac:dyDescent="0.45">
      <c r="K561" s="15" t="e">
        <f t="shared" si="74"/>
        <v>#VALUE!</v>
      </c>
      <c r="L561" s="15" t="e">
        <f t="shared" si="75"/>
        <v>#VALUE!</v>
      </c>
      <c r="M561" s="16" t="e">
        <f t="shared" si="70"/>
        <v>#VALUE!</v>
      </c>
      <c r="N561" s="16" t="e">
        <f t="shared" si="72"/>
        <v>#VALUE!</v>
      </c>
      <c r="O561" s="16" t="str">
        <f t="shared" si="73"/>
        <v>Other</v>
      </c>
      <c r="P561" s="16" t="str">
        <f t="shared" si="71"/>
        <v/>
      </c>
      <c r="S561" s="27" t="str">
        <v/>
      </c>
      <c r="W561" s="19"/>
      <c r="X561" s="19"/>
    </row>
    <row r="562" spans="11:24" ht="25.05" customHeight="1" x14ac:dyDescent="0.45">
      <c r="K562" s="15" t="e">
        <f t="shared" si="74"/>
        <v>#VALUE!</v>
      </c>
      <c r="L562" s="15" t="e">
        <f t="shared" si="75"/>
        <v>#VALUE!</v>
      </c>
      <c r="M562" s="16" t="e">
        <f t="shared" si="70"/>
        <v>#VALUE!</v>
      </c>
      <c r="N562" s="16" t="e">
        <f t="shared" si="72"/>
        <v>#VALUE!</v>
      </c>
      <c r="O562" s="16" t="str">
        <f t="shared" si="73"/>
        <v>Other</v>
      </c>
      <c r="P562" s="16" t="str">
        <f t="shared" si="71"/>
        <v/>
      </c>
      <c r="S562" s="27" t="str">
        <v/>
      </c>
      <c r="W562" s="19"/>
      <c r="X562" s="19"/>
    </row>
    <row r="563" spans="11:24" ht="25.05" customHeight="1" x14ac:dyDescent="0.45">
      <c r="K563" s="15" t="e">
        <f t="shared" si="74"/>
        <v>#VALUE!</v>
      </c>
      <c r="L563" s="15" t="e">
        <f t="shared" si="75"/>
        <v>#VALUE!</v>
      </c>
      <c r="M563" s="16" t="e">
        <f t="shared" si="70"/>
        <v>#VALUE!</v>
      </c>
      <c r="N563" s="16" t="e">
        <f t="shared" si="72"/>
        <v>#VALUE!</v>
      </c>
      <c r="O563" s="16" t="str">
        <f t="shared" si="73"/>
        <v>Other</v>
      </c>
      <c r="P563" s="16" t="str">
        <f t="shared" si="71"/>
        <v/>
      </c>
      <c r="S563" s="27" t="str">
        <v/>
      </c>
      <c r="W563" s="19"/>
      <c r="X563" s="19"/>
    </row>
    <row r="564" spans="11:24" ht="25.05" customHeight="1" x14ac:dyDescent="0.45">
      <c r="K564" s="15" t="e">
        <f t="shared" si="74"/>
        <v>#VALUE!</v>
      </c>
      <c r="L564" s="15" t="e">
        <f t="shared" si="75"/>
        <v>#VALUE!</v>
      </c>
      <c r="M564" s="16" t="e">
        <f t="shared" si="70"/>
        <v>#VALUE!</v>
      </c>
      <c r="N564" s="16" t="e">
        <f t="shared" si="72"/>
        <v>#VALUE!</v>
      </c>
      <c r="O564" s="16" t="str">
        <f t="shared" si="73"/>
        <v>Other</v>
      </c>
      <c r="P564" s="16" t="str">
        <f t="shared" si="71"/>
        <v/>
      </c>
      <c r="S564" s="27" t="str">
        <v/>
      </c>
      <c r="W564" s="19"/>
      <c r="X564" s="19"/>
    </row>
    <row r="565" spans="11:24" ht="25.05" customHeight="1" x14ac:dyDescent="0.45">
      <c r="K565" s="15" t="e">
        <f t="shared" si="74"/>
        <v>#VALUE!</v>
      </c>
      <c r="L565" s="15" t="e">
        <f t="shared" si="75"/>
        <v>#VALUE!</v>
      </c>
      <c r="M565" s="16" t="e">
        <f t="shared" si="70"/>
        <v>#VALUE!</v>
      </c>
      <c r="N565" s="16" t="e">
        <f t="shared" si="72"/>
        <v>#VALUE!</v>
      </c>
      <c r="O565" s="16" t="str">
        <f t="shared" si="73"/>
        <v>Other</v>
      </c>
      <c r="P565" s="16" t="str">
        <f t="shared" si="71"/>
        <v/>
      </c>
      <c r="S565" s="27" t="str">
        <v/>
      </c>
      <c r="W565" s="19"/>
      <c r="X565" s="19"/>
    </row>
    <row r="566" spans="11:24" ht="25.05" customHeight="1" x14ac:dyDescent="0.45">
      <c r="K566" s="15" t="e">
        <f t="shared" si="74"/>
        <v>#VALUE!</v>
      </c>
      <c r="L566" s="15" t="e">
        <f t="shared" si="75"/>
        <v>#VALUE!</v>
      </c>
      <c r="M566" s="16" t="e">
        <f t="shared" si="70"/>
        <v>#VALUE!</v>
      </c>
      <c r="N566" s="16" t="e">
        <f t="shared" si="72"/>
        <v>#VALUE!</v>
      </c>
      <c r="O566" s="16" t="str">
        <f t="shared" si="73"/>
        <v>Other</v>
      </c>
      <c r="P566" s="16" t="str">
        <f t="shared" si="71"/>
        <v/>
      </c>
      <c r="S566" s="27" t="str">
        <v/>
      </c>
      <c r="W566" s="19"/>
      <c r="X566" s="19"/>
    </row>
    <row r="567" spans="11:24" ht="25.05" customHeight="1" x14ac:dyDescent="0.45">
      <c r="K567" s="15" t="e">
        <f t="shared" si="74"/>
        <v>#VALUE!</v>
      </c>
      <c r="L567" s="15" t="e">
        <f t="shared" si="75"/>
        <v>#VALUE!</v>
      </c>
      <c r="M567" s="16" t="e">
        <f t="shared" si="70"/>
        <v>#VALUE!</v>
      </c>
      <c r="N567" s="16" t="e">
        <f t="shared" si="72"/>
        <v>#VALUE!</v>
      </c>
      <c r="O567" s="16" t="str">
        <f t="shared" si="73"/>
        <v>Other</v>
      </c>
      <c r="P567" s="16" t="str">
        <f t="shared" si="71"/>
        <v/>
      </c>
      <c r="S567" s="27" t="str">
        <v/>
      </c>
      <c r="W567" s="19"/>
      <c r="X567" s="19"/>
    </row>
    <row r="568" spans="11:24" ht="25.05" customHeight="1" x14ac:dyDescent="0.45">
      <c r="K568" s="15" t="e">
        <f t="shared" si="74"/>
        <v>#VALUE!</v>
      </c>
      <c r="L568" s="15" t="e">
        <f t="shared" si="75"/>
        <v>#VALUE!</v>
      </c>
      <c r="M568" s="16" t="e">
        <f t="shared" si="70"/>
        <v>#VALUE!</v>
      </c>
      <c r="N568" s="16" t="e">
        <f t="shared" si="72"/>
        <v>#VALUE!</v>
      </c>
      <c r="O568" s="16" t="str">
        <f t="shared" si="73"/>
        <v>Other</v>
      </c>
      <c r="P568" s="16" t="str">
        <f t="shared" si="71"/>
        <v/>
      </c>
      <c r="S568" s="27" t="str">
        <v/>
      </c>
      <c r="W568" s="19"/>
      <c r="X568" s="19"/>
    </row>
    <row r="569" spans="11:24" ht="25.05" customHeight="1" x14ac:dyDescent="0.45">
      <c r="K569" s="15" t="e">
        <f t="shared" si="74"/>
        <v>#VALUE!</v>
      </c>
      <c r="L569" s="15" t="e">
        <f t="shared" si="75"/>
        <v>#VALUE!</v>
      </c>
      <c r="M569" s="16" t="e">
        <f t="shared" si="70"/>
        <v>#VALUE!</v>
      </c>
      <c r="N569" s="16" t="e">
        <f t="shared" si="72"/>
        <v>#VALUE!</v>
      </c>
      <c r="O569" s="16" t="str">
        <f t="shared" si="73"/>
        <v>Other</v>
      </c>
      <c r="P569" s="16" t="str">
        <f t="shared" si="71"/>
        <v/>
      </c>
      <c r="S569" s="27" t="str">
        <v/>
      </c>
      <c r="W569" s="19"/>
      <c r="X569" s="19"/>
    </row>
    <row r="570" spans="11:24" ht="25.05" customHeight="1" x14ac:dyDescent="0.45">
      <c r="K570" s="15" t="e">
        <f t="shared" si="74"/>
        <v>#VALUE!</v>
      </c>
      <c r="L570" s="15" t="e">
        <f t="shared" si="75"/>
        <v>#VALUE!</v>
      </c>
      <c r="M570" s="16" t="e">
        <f t="shared" si="70"/>
        <v>#VALUE!</v>
      </c>
      <c r="N570" s="16" t="e">
        <f t="shared" si="72"/>
        <v>#VALUE!</v>
      </c>
      <c r="O570" s="16" t="str">
        <f t="shared" si="73"/>
        <v>Other</v>
      </c>
      <c r="P570" s="16" t="str">
        <f t="shared" si="71"/>
        <v/>
      </c>
      <c r="S570" s="27" t="str">
        <v/>
      </c>
      <c r="W570" s="19"/>
      <c r="X570" s="19"/>
    </row>
    <row r="571" spans="11:24" ht="25.05" customHeight="1" x14ac:dyDescent="0.45">
      <c r="K571" s="15" t="e">
        <f t="shared" si="74"/>
        <v>#VALUE!</v>
      </c>
      <c r="L571" s="15" t="e">
        <f t="shared" si="75"/>
        <v>#VALUE!</v>
      </c>
      <c r="M571" s="16" t="e">
        <f t="shared" si="70"/>
        <v>#VALUE!</v>
      </c>
      <c r="N571" s="16" t="e">
        <f t="shared" si="72"/>
        <v>#VALUE!</v>
      </c>
      <c r="O571" s="16" t="str">
        <f t="shared" si="73"/>
        <v>Other</v>
      </c>
      <c r="P571" s="16" t="str">
        <f t="shared" si="71"/>
        <v/>
      </c>
      <c r="S571" s="27" t="str">
        <v/>
      </c>
      <c r="W571" s="19"/>
      <c r="X571" s="19"/>
    </row>
    <row r="572" spans="11:24" ht="25.05" customHeight="1" x14ac:dyDescent="0.45">
      <c r="K572" s="15" t="e">
        <f t="shared" si="74"/>
        <v>#VALUE!</v>
      </c>
      <c r="L572" s="15" t="e">
        <f t="shared" si="75"/>
        <v>#VALUE!</v>
      </c>
      <c r="M572" s="16" t="e">
        <f t="shared" si="70"/>
        <v>#VALUE!</v>
      </c>
      <c r="N572" s="16" t="e">
        <f t="shared" si="72"/>
        <v>#VALUE!</v>
      </c>
      <c r="O572" s="16" t="str">
        <f t="shared" si="73"/>
        <v>Other</v>
      </c>
      <c r="P572" s="16" t="str">
        <f t="shared" si="71"/>
        <v/>
      </c>
      <c r="S572" s="27" t="str">
        <v/>
      </c>
      <c r="W572" s="19"/>
      <c r="X572" s="19"/>
    </row>
    <row r="573" spans="11:24" ht="25.05" customHeight="1" x14ac:dyDescent="0.45">
      <c r="K573" s="15" t="e">
        <f t="shared" si="74"/>
        <v>#VALUE!</v>
      </c>
      <c r="L573" s="15" t="e">
        <f t="shared" si="75"/>
        <v>#VALUE!</v>
      </c>
      <c r="M573" s="16" t="e">
        <f t="shared" si="70"/>
        <v>#VALUE!</v>
      </c>
      <c r="N573" s="16" t="e">
        <f t="shared" si="72"/>
        <v>#VALUE!</v>
      </c>
      <c r="O573" s="16" t="str">
        <f t="shared" si="73"/>
        <v>Other</v>
      </c>
      <c r="P573" s="16" t="str">
        <f t="shared" si="71"/>
        <v/>
      </c>
      <c r="S573" s="27" t="str">
        <v/>
      </c>
      <c r="W573" s="19"/>
      <c r="X573" s="19"/>
    </row>
    <row r="574" spans="11:24" ht="25.05" customHeight="1" x14ac:dyDescent="0.45">
      <c r="K574" s="15" t="e">
        <f t="shared" si="74"/>
        <v>#VALUE!</v>
      </c>
      <c r="L574" s="15" t="e">
        <f t="shared" si="75"/>
        <v>#VALUE!</v>
      </c>
      <c r="M574" s="16" t="e">
        <f t="shared" si="70"/>
        <v>#VALUE!</v>
      </c>
      <c r="N574" s="16" t="e">
        <f t="shared" si="72"/>
        <v>#VALUE!</v>
      </c>
      <c r="O574" s="16" t="str">
        <f t="shared" si="73"/>
        <v>Other</v>
      </c>
      <c r="P574" s="16" t="str">
        <f t="shared" si="71"/>
        <v/>
      </c>
      <c r="S574" s="27" t="str">
        <v/>
      </c>
      <c r="W574" s="19"/>
      <c r="X574" s="19"/>
    </row>
    <row r="575" spans="11:24" ht="25.05" customHeight="1" x14ac:dyDescent="0.45">
      <c r="K575" s="15" t="e">
        <f t="shared" si="74"/>
        <v>#VALUE!</v>
      </c>
      <c r="L575" s="15" t="e">
        <f t="shared" si="75"/>
        <v>#VALUE!</v>
      </c>
      <c r="M575" s="16" t="e">
        <f t="shared" si="70"/>
        <v>#VALUE!</v>
      </c>
      <c r="N575" s="16" t="e">
        <f t="shared" si="72"/>
        <v>#VALUE!</v>
      </c>
      <c r="O575" s="16" t="str">
        <f t="shared" si="73"/>
        <v>Other</v>
      </c>
      <c r="P575" s="16" t="str">
        <f t="shared" si="71"/>
        <v/>
      </c>
      <c r="S575" s="27" t="str">
        <v/>
      </c>
      <c r="W575" s="19"/>
      <c r="X575" s="19"/>
    </row>
    <row r="576" spans="11:24" ht="25.05" customHeight="1" x14ac:dyDescent="0.45">
      <c r="K576" s="15" t="e">
        <f t="shared" si="74"/>
        <v>#VALUE!</v>
      </c>
      <c r="L576" s="15" t="e">
        <f t="shared" si="75"/>
        <v>#VALUE!</v>
      </c>
      <c r="M576" s="16" t="e">
        <f t="shared" si="70"/>
        <v>#VALUE!</v>
      </c>
      <c r="N576" s="16" t="e">
        <f t="shared" si="72"/>
        <v>#VALUE!</v>
      </c>
      <c r="O576" s="16" t="str">
        <f t="shared" si="73"/>
        <v>Other</v>
      </c>
      <c r="P576" s="16" t="str">
        <f t="shared" si="71"/>
        <v/>
      </c>
      <c r="S576" s="27" t="str">
        <v/>
      </c>
      <c r="W576" s="19"/>
      <c r="X576" s="19"/>
    </row>
    <row r="577" spans="11:24" ht="25.05" customHeight="1" x14ac:dyDescent="0.45">
      <c r="K577" s="15" t="e">
        <f t="shared" si="74"/>
        <v>#VALUE!</v>
      </c>
      <c r="L577" s="15" t="e">
        <f t="shared" si="75"/>
        <v>#VALUE!</v>
      </c>
      <c r="M577" s="16" t="e">
        <f t="shared" si="70"/>
        <v>#VALUE!</v>
      </c>
      <c r="N577" s="16" t="e">
        <f t="shared" si="72"/>
        <v>#VALUE!</v>
      </c>
      <c r="O577" s="16" t="str">
        <f t="shared" si="73"/>
        <v>Other</v>
      </c>
      <c r="P577" s="16" t="str">
        <f t="shared" si="71"/>
        <v/>
      </c>
      <c r="S577" s="27" t="str">
        <v/>
      </c>
      <c r="W577" s="19"/>
      <c r="X577" s="19"/>
    </row>
    <row r="578" spans="11:24" ht="25.05" customHeight="1" x14ac:dyDescent="0.45">
      <c r="K578" s="15" t="e">
        <f t="shared" si="74"/>
        <v>#VALUE!</v>
      </c>
      <c r="L578" s="15" t="e">
        <f t="shared" si="75"/>
        <v>#VALUE!</v>
      </c>
      <c r="M578" s="16" t="e">
        <f t="shared" ref="M578:M641" si="76">MID(G578,FIND("LR-",G578)+3,FIND("-",G578,FIND("LR-",G578)+3)-FIND("LR-",G578)-3)</f>
        <v>#VALUE!</v>
      </c>
      <c r="N578" s="16" t="e">
        <f t="shared" si="72"/>
        <v>#VALUE!</v>
      </c>
      <c r="O578" s="16" t="str">
        <f t="shared" si="73"/>
        <v>Other</v>
      </c>
      <c r="P578" s="16" t="str">
        <f t="shared" ref="P578:P641" si="77">IF(S578&lt;&gt;"",IF(LEFT(S578,FIND(" &lt;&gt; ",S578)-1) &lt; MID(S578,FIND(" &lt;&gt; ",S578)+4,LEN(S578)),LEFT(S578,FIND(" &lt;&gt; ",S578)-1) &amp; " &lt;&gt; " &amp; MID(S578,FIND(" &lt;&gt; ",S578)+4,LEN(S578)),MID(S578,FIND(" &lt;&gt; ",S578)+4,LEN(S578)) &amp; " &lt;&gt; " &amp; LEFT(S578,FIND(" &lt;&gt; ",S578)-1)),"")</f>
        <v/>
      </c>
      <c r="S578" s="27" t="str">
        <v/>
      </c>
      <c r="W578" s="19"/>
      <c r="X578" s="19"/>
    </row>
    <row r="579" spans="11:24" ht="25.05" customHeight="1" x14ac:dyDescent="0.45">
      <c r="K579" s="15" t="e">
        <f t="shared" si="74"/>
        <v>#VALUE!</v>
      </c>
      <c r="L579" s="15" t="e">
        <f t="shared" si="75"/>
        <v>#VALUE!</v>
      </c>
      <c r="M579" s="16" t="e">
        <f t="shared" si="76"/>
        <v>#VALUE!</v>
      </c>
      <c r="N579" s="16" t="e">
        <f t="shared" si="72"/>
        <v>#VALUE!</v>
      </c>
      <c r="O579" s="16" t="str">
        <f t="shared" si="73"/>
        <v>Other</v>
      </c>
      <c r="P579" s="16" t="str">
        <f t="shared" si="77"/>
        <v/>
      </c>
      <c r="S579" s="27" t="str">
        <v/>
      </c>
      <c r="W579" s="19"/>
      <c r="X579" s="19"/>
    </row>
    <row r="580" spans="11:24" ht="25.05" customHeight="1" x14ac:dyDescent="0.45">
      <c r="K580" s="15" t="e">
        <f t="shared" si="74"/>
        <v>#VALUE!</v>
      </c>
      <c r="L580" s="15" t="e">
        <f t="shared" si="75"/>
        <v>#VALUE!</v>
      </c>
      <c r="M580" s="16" t="e">
        <f t="shared" si="76"/>
        <v>#VALUE!</v>
      </c>
      <c r="N580" s="16" t="e">
        <f t="shared" si="72"/>
        <v>#VALUE!</v>
      </c>
      <c r="O580" s="16" t="str">
        <f t="shared" si="73"/>
        <v>Other</v>
      </c>
      <c r="P580" s="16" t="str">
        <f t="shared" si="77"/>
        <v/>
      </c>
      <c r="S580" s="27" t="str">
        <v/>
      </c>
      <c r="W580" s="19"/>
      <c r="X580" s="19"/>
    </row>
    <row r="581" spans="11:24" ht="25.05" customHeight="1" x14ac:dyDescent="0.45">
      <c r="K581" s="15" t="e">
        <f t="shared" si="74"/>
        <v>#VALUE!</v>
      </c>
      <c r="L581" s="15" t="e">
        <f t="shared" si="75"/>
        <v>#VALUE!</v>
      </c>
      <c r="M581" s="16" t="e">
        <f t="shared" si="76"/>
        <v>#VALUE!</v>
      </c>
      <c r="N581" s="16" t="e">
        <f t="shared" si="72"/>
        <v>#VALUE!</v>
      </c>
      <c r="O581" s="16" t="str">
        <f t="shared" si="73"/>
        <v>Other</v>
      </c>
      <c r="P581" s="16" t="str">
        <f t="shared" si="77"/>
        <v/>
      </c>
      <c r="S581" s="27" t="str">
        <v/>
      </c>
      <c r="W581" s="19"/>
      <c r="X581" s="19"/>
    </row>
    <row r="582" spans="11:24" ht="25.05" customHeight="1" x14ac:dyDescent="0.45">
      <c r="K582" s="15" t="e">
        <f t="shared" si="74"/>
        <v>#VALUE!</v>
      </c>
      <c r="L582" s="15" t="e">
        <f t="shared" si="75"/>
        <v>#VALUE!</v>
      </c>
      <c r="M582" s="16" t="e">
        <f t="shared" si="76"/>
        <v>#VALUE!</v>
      </c>
      <c r="N582" s="16" t="e">
        <f t="shared" si="72"/>
        <v>#VALUE!</v>
      </c>
      <c r="O582" s="16" t="str">
        <f t="shared" si="73"/>
        <v>Other</v>
      </c>
      <c r="P582" s="16" t="str">
        <f t="shared" si="77"/>
        <v/>
      </c>
      <c r="S582" s="27" t="str">
        <v/>
      </c>
      <c r="W582" s="19"/>
      <c r="X582" s="19"/>
    </row>
    <row r="583" spans="11:24" ht="25.05" customHeight="1" x14ac:dyDescent="0.45">
      <c r="K583" s="15" t="e">
        <f t="shared" si="74"/>
        <v>#VALUE!</v>
      </c>
      <c r="L583" s="15" t="e">
        <f t="shared" si="75"/>
        <v>#VALUE!</v>
      </c>
      <c r="M583" s="16" t="e">
        <f t="shared" si="76"/>
        <v>#VALUE!</v>
      </c>
      <c r="N583" s="16" t="e">
        <f t="shared" si="72"/>
        <v>#VALUE!</v>
      </c>
      <c r="O583" s="16" t="str">
        <f t="shared" si="73"/>
        <v>Other</v>
      </c>
      <c r="P583" s="16" t="str">
        <f t="shared" si="77"/>
        <v/>
      </c>
      <c r="S583" s="27" t="str">
        <v/>
      </c>
      <c r="W583" s="19"/>
      <c r="X583" s="19"/>
    </row>
    <row r="584" spans="11:24" ht="25.05" customHeight="1" x14ac:dyDescent="0.45">
      <c r="K584" s="15" t="e">
        <f t="shared" si="74"/>
        <v>#VALUE!</v>
      </c>
      <c r="L584" s="15" t="e">
        <f t="shared" si="75"/>
        <v>#VALUE!</v>
      </c>
      <c r="M584" s="16" t="e">
        <f t="shared" si="76"/>
        <v>#VALUE!</v>
      </c>
      <c r="N584" s="16" t="e">
        <f t="shared" si="72"/>
        <v>#VALUE!</v>
      </c>
      <c r="O584" s="16" t="str">
        <f t="shared" si="73"/>
        <v>Other</v>
      </c>
      <c r="P584" s="16" t="str">
        <f t="shared" si="77"/>
        <v/>
      </c>
      <c r="S584" s="27" t="str">
        <v/>
      </c>
      <c r="W584" s="19"/>
      <c r="X584" s="19"/>
    </row>
    <row r="585" spans="11:24" ht="25.05" customHeight="1" x14ac:dyDescent="0.45">
      <c r="K585" s="15" t="e">
        <f t="shared" si="74"/>
        <v>#VALUE!</v>
      </c>
      <c r="L585" s="15" t="e">
        <f t="shared" si="75"/>
        <v>#VALUE!</v>
      </c>
      <c r="M585" s="16" t="e">
        <f t="shared" si="76"/>
        <v>#VALUE!</v>
      </c>
      <c r="N585" s="16" t="e">
        <f t="shared" si="72"/>
        <v>#VALUE!</v>
      </c>
      <c r="O585" s="16" t="str">
        <f t="shared" si="73"/>
        <v>Other</v>
      </c>
      <c r="P585" s="16" t="str">
        <f t="shared" si="77"/>
        <v/>
      </c>
      <c r="S585" s="27" t="str">
        <v/>
      </c>
      <c r="W585" s="19"/>
      <c r="X585" s="19"/>
    </row>
    <row r="586" spans="11:24" ht="25.05" customHeight="1" x14ac:dyDescent="0.45">
      <c r="K586" s="15" t="e">
        <f t="shared" si="74"/>
        <v>#VALUE!</v>
      </c>
      <c r="L586" s="15" t="e">
        <f t="shared" si="75"/>
        <v>#VALUE!</v>
      </c>
      <c r="M586" s="16" t="e">
        <f t="shared" si="76"/>
        <v>#VALUE!</v>
      </c>
      <c r="N586" s="16" t="e">
        <f t="shared" si="72"/>
        <v>#VALUE!</v>
      </c>
      <c r="O586" s="16" t="str">
        <f t="shared" si="73"/>
        <v>Other</v>
      </c>
      <c r="P586" s="16" t="str">
        <f t="shared" si="77"/>
        <v/>
      </c>
      <c r="S586" s="27" t="str">
        <v/>
      </c>
      <c r="W586" s="19"/>
      <c r="X586" s="19"/>
    </row>
    <row r="587" spans="11:24" ht="25.05" customHeight="1" x14ac:dyDescent="0.45">
      <c r="K587" s="15" t="e">
        <f t="shared" si="74"/>
        <v>#VALUE!</v>
      </c>
      <c r="L587" s="15" t="e">
        <f t="shared" si="75"/>
        <v>#VALUE!</v>
      </c>
      <c r="M587" s="16" t="e">
        <f t="shared" si="76"/>
        <v>#VALUE!</v>
      </c>
      <c r="N587" s="16" t="e">
        <f t="shared" si="72"/>
        <v>#VALUE!</v>
      </c>
      <c r="O587" s="16" t="str">
        <f t="shared" si="73"/>
        <v>Other</v>
      </c>
      <c r="P587" s="16" t="str">
        <f t="shared" si="77"/>
        <v/>
      </c>
      <c r="S587" s="27" t="str">
        <v/>
      </c>
      <c r="W587" s="19"/>
      <c r="X587" s="19"/>
    </row>
    <row r="588" spans="11:24" ht="25.05" customHeight="1" x14ac:dyDescent="0.45">
      <c r="K588" s="15" t="e">
        <f t="shared" si="74"/>
        <v>#VALUE!</v>
      </c>
      <c r="L588" s="15" t="e">
        <f t="shared" si="75"/>
        <v>#VALUE!</v>
      </c>
      <c r="M588" s="16" t="e">
        <f t="shared" si="76"/>
        <v>#VALUE!</v>
      </c>
      <c r="N588" s="16" t="e">
        <f t="shared" si="72"/>
        <v>#VALUE!</v>
      </c>
      <c r="O588" s="16" t="str">
        <f t="shared" si="73"/>
        <v>Other</v>
      </c>
      <c r="P588" s="16" t="str">
        <f t="shared" si="77"/>
        <v/>
      </c>
      <c r="S588" s="27" t="str">
        <v/>
      </c>
      <c r="W588" s="19"/>
      <c r="X588" s="19"/>
    </row>
    <row r="589" spans="11:24" ht="25.05" customHeight="1" x14ac:dyDescent="0.45">
      <c r="K589" s="15" t="e">
        <f t="shared" si="74"/>
        <v>#VALUE!</v>
      </c>
      <c r="L589" s="15" t="e">
        <f t="shared" si="75"/>
        <v>#VALUE!</v>
      </c>
      <c r="M589" s="16" t="e">
        <f t="shared" si="76"/>
        <v>#VALUE!</v>
      </c>
      <c r="N589" s="16" t="e">
        <f t="shared" si="72"/>
        <v>#VALUE!</v>
      </c>
      <c r="O589" s="16" t="str">
        <f t="shared" si="73"/>
        <v>Other</v>
      </c>
      <c r="P589" s="16" t="str">
        <f t="shared" si="77"/>
        <v/>
      </c>
      <c r="S589" s="27" t="str">
        <v/>
      </c>
      <c r="W589" s="19"/>
      <c r="X589" s="19"/>
    </row>
    <row r="590" spans="11:24" ht="25.05" customHeight="1" x14ac:dyDescent="0.45">
      <c r="K590" s="15" t="e">
        <f t="shared" si="74"/>
        <v>#VALUE!</v>
      </c>
      <c r="L590" s="15" t="e">
        <f t="shared" si="75"/>
        <v>#VALUE!</v>
      </c>
      <c r="M590" s="16" t="e">
        <f t="shared" si="76"/>
        <v>#VALUE!</v>
      </c>
      <c r="N590" s="16" t="e">
        <f t="shared" si="72"/>
        <v>#VALUE!</v>
      </c>
      <c r="O590" s="16" t="str">
        <f t="shared" si="73"/>
        <v>Other</v>
      </c>
      <c r="P590" s="16" t="str">
        <f t="shared" si="77"/>
        <v/>
      </c>
      <c r="S590" s="27" t="str">
        <v/>
      </c>
      <c r="W590" s="19"/>
      <c r="X590" s="19"/>
    </row>
    <row r="591" spans="11:24" ht="25.05" customHeight="1" x14ac:dyDescent="0.45">
      <c r="K591" s="15" t="e">
        <f t="shared" si="74"/>
        <v>#VALUE!</v>
      </c>
      <c r="L591" s="15" t="e">
        <f t="shared" si="75"/>
        <v>#VALUE!</v>
      </c>
      <c r="M591" s="16" t="e">
        <f t="shared" si="76"/>
        <v>#VALUE!</v>
      </c>
      <c r="N591" s="16" t="e">
        <f t="shared" si="72"/>
        <v>#VALUE!</v>
      </c>
      <c r="O591" s="16" t="str">
        <f t="shared" si="73"/>
        <v>Other</v>
      </c>
      <c r="P591" s="16" t="str">
        <f t="shared" si="77"/>
        <v/>
      </c>
      <c r="S591" s="27" t="str">
        <v/>
      </c>
      <c r="W591" s="19"/>
      <c r="X591" s="19"/>
    </row>
    <row r="592" spans="11:24" ht="25.05" customHeight="1" x14ac:dyDescent="0.45">
      <c r="K592" s="15" t="e">
        <f t="shared" si="74"/>
        <v>#VALUE!</v>
      </c>
      <c r="L592" s="15" t="e">
        <f t="shared" si="75"/>
        <v>#VALUE!</v>
      </c>
      <c r="M592" s="16" t="e">
        <f t="shared" si="76"/>
        <v>#VALUE!</v>
      </c>
      <c r="N592" s="16" t="e">
        <f t="shared" si="72"/>
        <v>#VALUE!</v>
      </c>
      <c r="O592" s="16" t="str">
        <f t="shared" si="73"/>
        <v>Other</v>
      </c>
      <c r="P592" s="16" t="str">
        <f t="shared" si="77"/>
        <v/>
      </c>
      <c r="S592" s="27" t="str">
        <v/>
      </c>
      <c r="W592" s="19"/>
      <c r="X592" s="19"/>
    </row>
    <row r="593" spans="11:24" ht="25.05" customHeight="1" x14ac:dyDescent="0.45">
      <c r="K593" s="15" t="e">
        <f t="shared" si="74"/>
        <v>#VALUE!</v>
      </c>
      <c r="L593" s="15" t="e">
        <f t="shared" si="75"/>
        <v>#VALUE!</v>
      </c>
      <c r="M593" s="16" t="e">
        <f t="shared" si="76"/>
        <v>#VALUE!</v>
      </c>
      <c r="N593" s="16" t="e">
        <f t="shared" si="72"/>
        <v>#VALUE!</v>
      </c>
      <c r="O593" s="16" t="str">
        <f t="shared" si="73"/>
        <v>Other</v>
      </c>
      <c r="P593" s="16" t="str">
        <f t="shared" si="77"/>
        <v/>
      </c>
      <c r="S593" s="27" t="str">
        <v/>
      </c>
      <c r="W593" s="19"/>
      <c r="X593" s="19"/>
    </row>
    <row r="594" spans="11:24" ht="25.05" customHeight="1" x14ac:dyDescent="0.45">
      <c r="K594" s="15" t="e">
        <f t="shared" si="74"/>
        <v>#VALUE!</v>
      </c>
      <c r="L594" s="15" t="e">
        <f t="shared" si="75"/>
        <v>#VALUE!</v>
      </c>
      <c r="M594" s="16" t="e">
        <f t="shared" si="76"/>
        <v>#VALUE!</v>
      </c>
      <c r="N594" s="16" t="e">
        <f t="shared" si="72"/>
        <v>#VALUE!</v>
      </c>
      <c r="O594" s="16" t="str">
        <f t="shared" si="73"/>
        <v>Other</v>
      </c>
      <c r="P594" s="16" t="str">
        <f t="shared" si="77"/>
        <v/>
      </c>
      <c r="S594" s="27" t="str">
        <v/>
      </c>
      <c r="W594" s="19"/>
      <c r="X594" s="19"/>
    </row>
    <row r="595" spans="11:24" ht="25.05" customHeight="1" x14ac:dyDescent="0.45">
      <c r="K595" s="15" t="e">
        <f t="shared" si="74"/>
        <v>#VALUE!</v>
      </c>
      <c r="L595" s="15" t="e">
        <f t="shared" si="75"/>
        <v>#VALUE!</v>
      </c>
      <c r="M595" s="16" t="e">
        <f t="shared" si="76"/>
        <v>#VALUE!</v>
      </c>
      <c r="N595" s="16" t="e">
        <f t="shared" si="72"/>
        <v>#VALUE!</v>
      </c>
      <c r="O595" s="16" t="str">
        <f t="shared" si="73"/>
        <v>Other</v>
      </c>
      <c r="P595" s="16" t="str">
        <f t="shared" si="77"/>
        <v/>
      </c>
      <c r="S595" s="27" t="str">
        <v/>
      </c>
      <c r="W595" s="19"/>
      <c r="X595" s="19"/>
    </row>
    <row r="596" spans="11:24" ht="25.05" customHeight="1" x14ac:dyDescent="0.45">
      <c r="K596" s="15" t="e">
        <f t="shared" si="74"/>
        <v>#VALUE!</v>
      </c>
      <c r="L596" s="15" t="e">
        <f t="shared" si="75"/>
        <v>#VALUE!</v>
      </c>
      <c r="M596" s="16" t="e">
        <f t="shared" si="76"/>
        <v>#VALUE!</v>
      </c>
      <c r="N596" s="16" t="e">
        <f t="shared" si="72"/>
        <v>#VALUE!</v>
      </c>
      <c r="O596" s="16" t="str">
        <f t="shared" si="73"/>
        <v>Other</v>
      </c>
      <c r="P596" s="16" t="str">
        <f t="shared" si="77"/>
        <v/>
      </c>
      <c r="S596" s="27" t="str">
        <v/>
      </c>
      <c r="W596" s="19"/>
      <c r="X596" s="19"/>
    </row>
    <row r="597" spans="11:24" ht="25.05" customHeight="1" x14ac:dyDescent="0.45">
      <c r="K597" s="15" t="e">
        <f t="shared" si="74"/>
        <v>#VALUE!</v>
      </c>
      <c r="L597" s="15" t="e">
        <f t="shared" si="75"/>
        <v>#VALUE!</v>
      </c>
      <c r="M597" s="16" t="e">
        <f t="shared" si="76"/>
        <v>#VALUE!</v>
      </c>
      <c r="N597" s="16" t="e">
        <f t="shared" si="72"/>
        <v>#VALUE!</v>
      </c>
      <c r="O597" s="16" t="str">
        <f t="shared" si="73"/>
        <v>Other</v>
      </c>
      <c r="P597" s="16" t="str">
        <f t="shared" si="77"/>
        <v/>
      </c>
      <c r="S597" s="27" t="str">
        <v/>
      </c>
      <c r="W597" s="19"/>
      <c r="X597" s="19"/>
    </row>
    <row r="598" spans="11:24" ht="25.05" customHeight="1" x14ac:dyDescent="0.45">
      <c r="K598" s="15" t="e">
        <f t="shared" si="74"/>
        <v>#VALUE!</v>
      </c>
      <c r="L598" s="15" t="e">
        <f t="shared" si="75"/>
        <v>#VALUE!</v>
      </c>
      <c r="M598" s="16" t="e">
        <f t="shared" si="76"/>
        <v>#VALUE!</v>
      </c>
      <c r="N598" s="16" t="e">
        <f t="shared" si="72"/>
        <v>#VALUE!</v>
      </c>
      <c r="O598" s="16" t="str">
        <f t="shared" si="73"/>
        <v>Other</v>
      </c>
      <c r="P598" s="16" t="str">
        <f t="shared" si="77"/>
        <v/>
      </c>
      <c r="S598" s="27" t="str">
        <v/>
      </c>
      <c r="W598" s="19"/>
      <c r="X598" s="19"/>
    </row>
    <row r="599" spans="11:24" ht="25.05" customHeight="1" x14ac:dyDescent="0.45">
      <c r="K599" s="15" t="e">
        <f t="shared" si="74"/>
        <v>#VALUE!</v>
      </c>
      <c r="L599" s="15" t="e">
        <f t="shared" si="75"/>
        <v>#VALUE!</v>
      </c>
      <c r="M599" s="16" t="e">
        <f t="shared" si="76"/>
        <v>#VALUE!</v>
      </c>
      <c r="N599" s="16" t="e">
        <f t="shared" si="72"/>
        <v>#VALUE!</v>
      </c>
      <c r="O599" s="16" t="str">
        <f t="shared" si="73"/>
        <v>Other</v>
      </c>
      <c r="P599" s="16" t="str">
        <f t="shared" si="77"/>
        <v/>
      </c>
      <c r="S599" s="27" t="str">
        <v/>
      </c>
      <c r="W599" s="19"/>
      <c r="X599" s="19"/>
    </row>
    <row r="600" spans="11:24" ht="25.05" customHeight="1" x14ac:dyDescent="0.45">
      <c r="K600" s="15" t="e">
        <f t="shared" si="74"/>
        <v>#VALUE!</v>
      </c>
      <c r="L600" s="15" t="e">
        <f t="shared" si="75"/>
        <v>#VALUE!</v>
      </c>
      <c r="M600" s="16" t="e">
        <f t="shared" si="76"/>
        <v>#VALUE!</v>
      </c>
      <c r="N600" s="16" t="e">
        <f t="shared" si="72"/>
        <v>#VALUE!</v>
      </c>
      <c r="O600" s="16" t="str">
        <f t="shared" si="73"/>
        <v>Other</v>
      </c>
      <c r="P600" s="16" t="str">
        <f t="shared" si="77"/>
        <v/>
      </c>
      <c r="S600" s="27" t="str">
        <v/>
      </c>
      <c r="W600" s="19"/>
      <c r="X600" s="19"/>
    </row>
    <row r="601" spans="11:24" ht="25.05" customHeight="1" x14ac:dyDescent="0.45">
      <c r="K601" s="15" t="e">
        <f t="shared" si="74"/>
        <v>#VALUE!</v>
      </c>
      <c r="L601" s="15" t="e">
        <f t="shared" si="75"/>
        <v>#VALUE!</v>
      </c>
      <c r="M601" s="16" t="e">
        <f t="shared" si="76"/>
        <v>#VALUE!</v>
      </c>
      <c r="N601" s="16" t="e">
        <f t="shared" si="72"/>
        <v>#VALUE!</v>
      </c>
      <c r="O601" s="16" t="str">
        <f t="shared" si="73"/>
        <v>Other</v>
      </c>
      <c r="P601" s="16" t="str">
        <f t="shared" si="77"/>
        <v/>
      </c>
      <c r="S601" s="27" t="str">
        <v/>
      </c>
      <c r="W601" s="19"/>
      <c r="X601" s="19"/>
    </row>
    <row r="602" spans="11:24" ht="25.05" customHeight="1" x14ac:dyDescent="0.45">
      <c r="K602" s="15" t="e">
        <f t="shared" si="74"/>
        <v>#VALUE!</v>
      </c>
      <c r="L602" s="15" t="e">
        <f t="shared" si="75"/>
        <v>#VALUE!</v>
      </c>
      <c r="M602" s="16" t="e">
        <f t="shared" si="76"/>
        <v>#VALUE!</v>
      </c>
      <c r="N602" s="16" t="e">
        <f t="shared" si="72"/>
        <v>#VALUE!</v>
      </c>
      <c r="O602" s="16" t="str">
        <f t="shared" si="73"/>
        <v>Other</v>
      </c>
      <c r="P602" s="16" t="str">
        <f t="shared" si="77"/>
        <v/>
      </c>
      <c r="S602" s="27" t="str">
        <v/>
      </c>
      <c r="W602" s="19"/>
      <c r="X602" s="19"/>
    </row>
    <row r="603" spans="11:24" ht="25.05" customHeight="1" x14ac:dyDescent="0.45">
      <c r="K603" s="15" t="e">
        <f t="shared" si="74"/>
        <v>#VALUE!</v>
      </c>
      <c r="L603" s="15" t="e">
        <f t="shared" si="75"/>
        <v>#VALUE!</v>
      </c>
      <c r="M603" s="16" t="e">
        <f t="shared" si="76"/>
        <v>#VALUE!</v>
      </c>
      <c r="N603" s="16" t="e">
        <f t="shared" si="72"/>
        <v>#VALUE!</v>
      </c>
      <c r="O603" s="16" t="str">
        <f t="shared" si="73"/>
        <v>Other</v>
      </c>
      <c r="P603" s="16" t="str">
        <f t="shared" si="77"/>
        <v/>
      </c>
      <c r="S603" s="27" t="str">
        <v/>
      </c>
      <c r="W603" s="19"/>
      <c r="X603" s="19"/>
    </row>
    <row r="604" spans="11:24" ht="25.05" customHeight="1" x14ac:dyDescent="0.45">
      <c r="K604" s="15" t="e">
        <f t="shared" si="74"/>
        <v>#VALUE!</v>
      </c>
      <c r="L604" s="15" t="e">
        <f t="shared" si="75"/>
        <v>#VALUE!</v>
      </c>
      <c r="M604" s="16" t="e">
        <f t="shared" si="76"/>
        <v>#VALUE!</v>
      </c>
      <c r="N604" s="16" t="e">
        <f t="shared" si="72"/>
        <v>#VALUE!</v>
      </c>
      <c r="O604" s="16" t="str">
        <f t="shared" si="73"/>
        <v>Other</v>
      </c>
      <c r="P604" s="16" t="str">
        <f t="shared" si="77"/>
        <v/>
      </c>
      <c r="S604" s="27" t="str">
        <v/>
      </c>
      <c r="W604" s="19"/>
      <c r="X604" s="19"/>
    </row>
    <row r="605" spans="11:24" ht="25.05" customHeight="1" x14ac:dyDescent="0.45">
      <c r="K605" s="15" t="e">
        <f t="shared" si="74"/>
        <v>#VALUE!</v>
      </c>
      <c r="L605" s="15" t="e">
        <f t="shared" si="75"/>
        <v>#VALUE!</v>
      </c>
      <c r="M605" s="16" t="e">
        <f t="shared" si="76"/>
        <v>#VALUE!</v>
      </c>
      <c r="N605" s="16" t="e">
        <f t="shared" si="72"/>
        <v>#VALUE!</v>
      </c>
      <c r="O605" s="16" t="str">
        <f t="shared" si="73"/>
        <v>Other</v>
      </c>
      <c r="P605" s="16" t="str">
        <f t="shared" si="77"/>
        <v/>
      </c>
      <c r="S605" s="27" t="str">
        <v/>
      </c>
      <c r="W605" s="19"/>
      <c r="X605" s="19"/>
    </row>
    <row r="606" spans="11:24" ht="25.05" customHeight="1" x14ac:dyDescent="0.45">
      <c r="K606" s="15" t="e">
        <f t="shared" si="74"/>
        <v>#VALUE!</v>
      </c>
      <c r="L606" s="15" t="e">
        <f t="shared" si="75"/>
        <v>#VALUE!</v>
      </c>
      <c r="M606" s="16" t="e">
        <f t="shared" si="76"/>
        <v>#VALUE!</v>
      </c>
      <c r="N606" s="16" t="e">
        <f t="shared" si="72"/>
        <v>#VALUE!</v>
      </c>
      <c r="O606" s="16" t="str">
        <f t="shared" si="73"/>
        <v>Other</v>
      </c>
      <c r="P606" s="16" t="str">
        <f t="shared" si="77"/>
        <v/>
      </c>
      <c r="S606" s="27" t="str">
        <v/>
      </c>
      <c r="W606" s="19"/>
      <c r="X606" s="19"/>
    </row>
    <row r="607" spans="11:24" ht="25.05" customHeight="1" x14ac:dyDescent="0.45">
      <c r="K607" s="15" t="e">
        <f t="shared" si="74"/>
        <v>#VALUE!</v>
      </c>
      <c r="L607" s="15" t="e">
        <f t="shared" si="75"/>
        <v>#VALUE!</v>
      </c>
      <c r="M607" s="16" t="e">
        <f t="shared" si="76"/>
        <v>#VALUE!</v>
      </c>
      <c r="N607" s="16" t="e">
        <f t="shared" si="72"/>
        <v>#VALUE!</v>
      </c>
      <c r="O607" s="16" t="str">
        <f t="shared" si="73"/>
        <v>Other</v>
      </c>
      <c r="P607" s="16" t="str">
        <f t="shared" si="77"/>
        <v/>
      </c>
      <c r="S607" s="27" t="str">
        <v/>
      </c>
      <c r="W607" s="19"/>
      <c r="X607" s="19"/>
    </row>
    <row r="608" spans="11:24" ht="25.05" customHeight="1" x14ac:dyDescent="0.45">
      <c r="K608" s="15" t="e">
        <f t="shared" si="74"/>
        <v>#VALUE!</v>
      </c>
      <c r="L608" s="15" t="e">
        <f t="shared" si="75"/>
        <v>#VALUE!</v>
      </c>
      <c r="M608" s="16" t="e">
        <f t="shared" si="76"/>
        <v>#VALUE!</v>
      </c>
      <c r="N608" s="16" t="e">
        <f t="shared" si="72"/>
        <v>#VALUE!</v>
      </c>
      <c r="O608" s="16" t="str">
        <f t="shared" si="73"/>
        <v>Other</v>
      </c>
      <c r="P608" s="16" t="str">
        <f t="shared" si="77"/>
        <v/>
      </c>
      <c r="S608" s="27" t="str">
        <v/>
      </c>
      <c r="W608" s="19"/>
      <c r="X608" s="19"/>
    </row>
    <row r="609" spans="11:24" ht="25.05" customHeight="1" x14ac:dyDescent="0.45">
      <c r="K609" s="15" t="e">
        <f t="shared" si="74"/>
        <v>#VALUE!</v>
      </c>
      <c r="L609" s="15" t="e">
        <f t="shared" si="75"/>
        <v>#VALUE!</v>
      </c>
      <c r="M609" s="16" t="e">
        <f t="shared" si="76"/>
        <v>#VALUE!</v>
      </c>
      <c r="N609" s="16" t="e">
        <f t="shared" si="72"/>
        <v>#VALUE!</v>
      </c>
      <c r="O609" s="16" t="str">
        <f t="shared" si="73"/>
        <v>Other</v>
      </c>
      <c r="P609" s="16" t="str">
        <f t="shared" si="77"/>
        <v/>
      </c>
      <c r="S609" s="27" t="str">
        <v/>
      </c>
      <c r="W609" s="19"/>
      <c r="X609" s="19"/>
    </row>
    <row r="610" spans="11:24" ht="25.05" customHeight="1" x14ac:dyDescent="0.45">
      <c r="K610" s="15" t="e">
        <f t="shared" si="74"/>
        <v>#VALUE!</v>
      </c>
      <c r="L610" s="15" t="e">
        <f t="shared" si="75"/>
        <v>#VALUE!</v>
      </c>
      <c r="M610" s="16" t="e">
        <f t="shared" si="76"/>
        <v>#VALUE!</v>
      </c>
      <c r="N610" s="16" t="e">
        <f t="shared" ref="N610:N673" si="78">K610 &amp; " &lt;&gt; " &amp; L610</f>
        <v>#VALUE!</v>
      </c>
      <c r="O610" s="16" t="str">
        <f t="shared" si="73"/>
        <v>Other</v>
      </c>
      <c r="P610" s="16" t="str">
        <f t="shared" si="77"/>
        <v/>
      </c>
      <c r="S610" s="27" t="str">
        <v/>
      </c>
      <c r="W610" s="19"/>
      <c r="X610" s="19"/>
    </row>
    <row r="611" spans="11:24" ht="25.05" customHeight="1" x14ac:dyDescent="0.45">
      <c r="K611" s="15" t="e">
        <f t="shared" si="74"/>
        <v>#VALUE!</v>
      </c>
      <c r="L611" s="15" t="e">
        <f t="shared" si="75"/>
        <v>#VALUE!</v>
      </c>
      <c r="M611" s="16" t="e">
        <f t="shared" si="76"/>
        <v>#VALUE!</v>
      </c>
      <c r="N611" s="16" t="e">
        <f t="shared" si="78"/>
        <v>#VALUE!</v>
      </c>
      <c r="O611" s="16" t="str">
        <f t="shared" si="73"/>
        <v>Other</v>
      </c>
      <c r="P611" s="16" t="str">
        <f t="shared" si="77"/>
        <v/>
      </c>
      <c r="S611" s="27" t="str">
        <v/>
      </c>
      <c r="W611" s="19"/>
      <c r="X611" s="19"/>
    </row>
    <row r="612" spans="11:24" ht="25.05" customHeight="1" x14ac:dyDescent="0.45">
      <c r="K612" s="15" t="e">
        <f t="shared" si="74"/>
        <v>#VALUE!</v>
      </c>
      <c r="L612" s="15" t="e">
        <f t="shared" si="75"/>
        <v>#VALUE!</v>
      </c>
      <c r="M612" s="16" t="e">
        <f t="shared" si="76"/>
        <v>#VALUE!</v>
      </c>
      <c r="N612" s="16" t="e">
        <f t="shared" si="78"/>
        <v>#VALUE!</v>
      </c>
      <c r="O612" s="16" t="str">
        <f t="shared" si="73"/>
        <v>Other</v>
      </c>
      <c r="P612" s="16" t="str">
        <f t="shared" si="77"/>
        <v/>
      </c>
      <c r="S612" s="27" t="str">
        <v/>
      </c>
      <c r="W612" s="19"/>
      <c r="X612" s="19"/>
    </row>
    <row r="613" spans="11:24" ht="25.05" customHeight="1" x14ac:dyDescent="0.45">
      <c r="K613" s="15" t="e">
        <f t="shared" si="74"/>
        <v>#VALUE!</v>
      </c>
      <c r="L613" s="15" t="e">
        <f t="shared" si="75"/>
        <v>#VALUE!</v>
      </c>
      <c r="M613" s="16" t="e">
        <f t="shared" si="76"/>
        <v>#VALUE!</v>
      </c>
      <c r="N613" s="16" t="e">
        <f t="shared" si="78"/>
        <v>#VALUE!</v>
      </c>
      <c r="O613" s="16" t="str">
        <f t="shared" si="73"/>
        <v>Other</v>
      </c>
      <c r="P613" s="16" t="str">
        <f t="shared" si="77"/>
        <v/>
      </c>
      <c r="S613" s="27" t="str">
        <v/>
      </c>
      <c r="W613" s="19"/>
      <c r="X613" s="19"/>
    </row>
    <row r="614" spans="11:24" ht="25.05" customHeight="1" x14ac:dyDescent="0.45">
      <c r="K614" s="15" t="e">
        <f t="shared" si="74"/>
        <v>#VALUE!</v>
      </c>
      <c r="L614" s="15" t="e">
        <f t="shared" si="75"/>
        <v>#VALUE!</v>
      </c>
      <c r="M614" s="16" t="e">
        <f t="shared" si="76"/>
        <v>#VALUE!</v>
      </c>
      <c r="N614" s="16" t="e">
        <f t="shared" si="78"/>
        <v>#VALUE!</v>
      </c>
      <c r="O614" s="16" t="str">
        <f t="shared" ref="O614:O677" si="79">IF(LEFT(E614, 6)="TenGig", "10G (Ten Gig)", IF(LEFT(E614, 10)="HundredGig", "100G (Hundred Gig)", "Other"))</f>
        <v>Other</v>
      </c>
      <c r="P614" s="16" t="str">
        <f t="shared" si="77"/>
        <v/>
      </c>
      <c r="S614" s="27" t="str">
        <v/>
      </c>
      <c r="W614" s="19"/>
      <c r="X614" s="19"/>
    </row>
    <row r="615" spans="11:24" ht="25.05" customHeight="1" x14ac:dyDescent="0.45">
      <c r="K615" s="15" t="e">
        <f t="shared" ref="K615:K678" si="80">LEFT(A615, FIND("-", A615)-1)</f>
        <v>#VALUE!</v>
      </c>
      <c r="L615" s="15" t="e">
        <f t="shared" si="75"/>
        <v>#VALUE!</v>
      </c>
      <c r="M615" s="16" t="e">
        <f t="shared" si="76"/>
        <v>#VALUE!</v>
      </c>
      <c r="N615" s="16" t="e">
        <f t="shared" si="78"/>
        <v>#VALUE!</v>
      </c>
      <c r="O615" s="16" t="str">
        <f t="shared" si="79"/>
        <v>Other</v>
      </c>
      <c r="P615" s="16" t="str">
        <f t="shared" si="77"/>
        <v/>
      </c>
      <c r="S615" s="27" t="str">
        <v/>
      </c>
      <c r="W615" s="19"/>
      <c r="X615" s="19"/>
    </row>
    <row r="616" spans="11:24" ht="25.05" customHeight="1" x14ac:dyDescent="0.45">
      <c r="K616" s="15" t="e">
        <f t="shared" si="80"/>
        <v>#VALUE!</v>
      </c>
      <c r="L616" s="15" t="e">
        <f t="shared" si="75"/>
        <v>#VALUE!</v>
      </c>
      <c r="M616" s="16" t="e">
        <f t="shared" si="76"/>
        <v>#VALUE!</v>
      </c>
      <c r="N616" s="16" t="e">
        <f t="shared" si="78"/>
        <v>#VALUE!</v>
      </c>
      <c r="O616" s="16" t="str">
        <f t="shared" si="79"/>
        <v>Other</v>
      </c>
      <c r="P616" s="16" t="str">
        <f t="shared" si="77"/>
        <v/>
      </c>
      <c r="S616" s="27" t="str">
        <v/>
      </c>
      <c r="W616" s="19"/>
      <c r="X616" s="19"/>
    </row>
    <row r="617" spans="11:24" ht="25.05" customHeight="1" x14ac:dyDescent="0.45">
      <c r="K617" s="15" t="e">
        <f t="shared" si="80"/>
        <v>#VALUE!</v>
      </c>
      <c r="L617" s="15" t="e">
        <f t="shared" ref="L617:L680" si="81">LEFT(C617, FIND("-", C617)-1)</f>
        <v>#VALUE!</v>
      </c>
      <c r="M617" s="16" t="e">
        <f t="shared" si="76"/>
        <v>#VALUE!</v>
      </c>
      <c r="N617" s="16" t="e">
        <f t="shared" si="78"/>
        <v>#VALUE!</v>
      </c>
      <c r="O617" s="16" t="str">
        <f t="shared" si="79"/>
        <v>Other</v>
      </c>
      <c r="P617" s="16" t="str">
        <f t="shared" si="77"/>
        <v/>
      </c>
      <c r="S617" s="27" t="str">
        <v/>
      </c>
      <c r="W617" s="19"/>
      <c r="X617" s="19"/>
    </row>
    <row r="618" spans="11:24" ht="25.05" customHeight="1" x14ac:dyDescent="0.45">
      <c r="K618" s="15" t="e">
        <f t="shared" si="80"/>
        <v>#VALUE!</v>
      </c>
      <c r="L618" s="15" t="e">
        <f t="shared" si="81"/>
        <v>#VALUE!</v>
      </c>
      <c r="M618" s="16" t="e">
        <f t="shared" si="76"/>
        <v>#VALUE!</v>
      </c>
      <c r="N618" s="16" t="e">
        <f t="shared" si="78"/>
        <v>#VALUE!</v>
      </c>
      <c r="O618" s="16" t="str">
        <f t="shared" si="79"/>
        <v>Other</v>
      </c>
      <c r="P618" s="16" t="str">
        <f t="shared" si="77"/>
        <v/>
      </c>
      <c r="S618" s="27" t="str">
        <v/>
      </c>
      <c r="W618" s="19"/>
      <c r="X618" s="19"/>
    </row>
    <row r="619" spans="11:24" ht="25.05" customHeight="1" x14ac:dyDescent="0.45">
      <c r="K619" s="15" t="e">
        <f t="shared" si="80"/>
        <v>#VALUE!</v>
      </c>
      <c r="L619" s="15" t="e">
        <f t="shared" si="81"/>
        <v>#VALUE!</v>
      </c>
      <c r="M619" s="16" t="e">
        <f t="shared" si="76"/>
        <v>#VALUE!</v>
      </c>
      <c r="N619" s="16" t="e">
        <f t="shared" si="78"/>
        <v>#VALUE!</v>
      </c>
      <c r="O619" s="16" t="str">
        <f t="shared" si="79"/>
        <v>Other</v>
      </c>
      <c r="P619" s="16" t="str">
        <f t="shared" si="77"/>
        <v/>
      </c>
      <c r="S619" s="27" t="str">
        <v/>
      </c>
      <c r="W619" s="19"/>
      <c r="X619" s="19"/>
    </row>
    <row r="620" spans="11:24" ht="25.05" customHeight="1" x14ac:dyDescent="0.45">
      <c r="K620" s="15" t="e">
        <f t="shared" si="80"/>
        <v>#VALUE!</v>
      </c>
      <c r="L620" s="15" t="e">
        <f t="shared" si="81"/>
        <v>#VALUE!</v>
      </c>
      <c r="M620" s="16" t="e">
        <f t="shared" si="76"/>
        <v>#VALUE!</v>
      </c>
      <c r="N620" s="16" t="e">
        <f t="shared" si="78"/>
        <v>#VALUE!</v>
      </c>
      <c r="O620" s="16" t="str">
        <f t="shared" si="79"/>
        <v>Other</v>
      </c>
      <c r="P620" s="16" t="str">
        <f t="shared" si="77"/>
        <v/>
      </c>
      <c r="S620" s="27" t="str">
        <v/>
      </c>
      <c r="W620" s="19"/>
      <c r="X620" s="19"/>
    </row>
    <row r="621" spans="11:24" ht="25.05" customHeight="1" x14ac:dyDescent="0.45">
      <c r="K621" s="15" t="e">
        <f t="shared" si="80"/>
        <v>#VALUE!</v>
      </c>
      <c r="L621" s="15" t="e">
        <f t="shared" si="81"/>
        <v>#VALUE!</v>
      </c>
      <c r="M621" s="16" t="e">
        <f t="shared" si="76"/>
        <v>#VALUE!</v>
      </c>
      <c r="N621" s="16" t="e">
        <f t="shared" si="78"/>
        <v>#VALUE!</v>
      </c>
      <c r="O621" s="16" t="str">
        <f t="shared" si="79"/>
        <v>Other</v>
      </c>
      <c r="P621" s="16" t="str">
        <f t="shared" si="77"/>
        <v/>
      </c>
      <c r="S621" s="27" t="str">
        <v/>
      </c>
      <c r="W621" s="19"/>
      <c r="X621" s="19"/>
    </row>
    <row r="622" spans="11:24" ht="25.05" customHeight="1" x14ac:dyDescent="0.45">
      <c r="K622" s="15" t="e">
        <f t="shared" si="80"/>
        <v>#VALUE!</v>
      </c>
      <c r="L622" s="15" t="e">
        <f t="shared" si="81"/>
        <v>#VALUE!</v>
      </c>
      <c r="M622" s="16" t="e">
        <f t="shared" si="76"/>
        <v>#VALUE!</v>
      </c>
      <c r="N622" s="16" t="e">
        <f t="shared" si="78"/>
        <v>#VALUE!</v>
      </c>
      <c r="O622" s="16" t="str">
        <f t="shared" si="79"/>
        <v>Other</v>
      </c>
      <c r="P622" s="16" t="str">
        <f t="shared" si="77"/>
        <v/>
      </c>
      <c r="S622" s="27" t="str">
        <v/>
      </c>
      <c r="W622" s="19"/>
      <c r="X622" s="19"/>
    </row>
    <row r="623" spans="11:24" ht="25.05" customHeight="1" x14ac:dyDescent="0.45">
      <c r="K623" s="15" t="e">
        <f t="shared" si="80"/>
        <v>#VALUE!</v>
      </c>
      <c r="L623" s="15" t="e">
        <f t="shared" si="81"/>
        <v>#VALUE!</v>
      </c>
      <c r="M623" s="16" t="e">
        <f t="shared" si="76"/>
        <v>#VALUE!</v>
      </c>
      <c r="N623" s="16" t="e">
        <f t="shared" si="78"/>
        <v>#VALUE!</v>
      </c>
      <c r="O623" s="16" t="str">
        <f t="shared" si="79"/>
        <v>Other</v>
      </c>
      <c r="P623" s="16" t="str">
        <f t="shared" si="77"/>
        <v/>
      </c>
      <c r="S623" s="27" t="str">
        <v/>
      </c>
      <c r="W623" s="19"/>
      <c r="X623" s="19"/>
    </row>
    <row r="624" spans="11:24" ht="25.05" customHeight="1" x14ac:dyDescent="0.45">
      <c r="K624" s="15" t="e">
        <f t="shared" si="80"/>
        <v>#VALUE!</v>
      </c>
      <c r="L624" s="15" t="e">
        <f t="shared" si="81"/>
        <v>#VALUE!</v>
      </c>
      <c r="M624" s="16" t="e">
        <f t="shared" si="76"/>
        <v>#VALUE!</v>
      </c>
      <c r="N624" s="16" t="e">
        <f t="shared" si="78"/>
        <v>#VALUE!</v>
      </c>
      <c r="O624" s="16" t="str">
        <f t="shared" si="79"/>
        <v>Other</v>
      </c>
      <c r="P624" s="16" t="str">
        <f t="shared" si="77"/>
        <v/>
      </c>
      <c r="S624" s="27" t="str">
        <v/>
      </c>
      <c r="W624" s="19"/>
      <c r="X624" s="19"/>
    </row>
    <row r="625" spans="11:24" ht="25.05" customHeight="1" x14ac:dyDescent="0.45">
      <c r="K625" s="15" t="e">
        <f t="shared" si="80"/>
        <v>#VALUE!</v>
      </c>
      <c r="L625" s="15" t="e">
        <f t="shared" si="81"/>
        <v>#VALUE!</v>
      </c>
      <c r="M625" s="16" t="e">
        <f t="shared" si="76"/>
        <v>#VALUE!</v>
      </c>
      <c r="N625" s="16" t="e">
        <f t="shared" si="78"/>
        <v>#VALUE!</v>
      </c>
      <c r="O625" s="16" t="str">
        <f t="shared" si="79"/>
        <v>Other</v>
      </c>
      <c r="P625" s="16" t="str">
        <f t="shared" si="77"/>
        <v/>
      </c>
      <c r="S625" s="27" t="str">
        <v/>
      </c>
      <c r="W625" s="19"/>
      <c r="X625" s="19"/>
    </row>
    <row r="626" spans="11:24" ht="25.05" customHeight="1" x14ac:dyDescent="0.45">
      <c r="K626" s="15" t="e">
        <f t="shared" si="80"/>
        <v>#VALUE!</v>
      </c>
      <c r="L626" s="15" t="e">
        <f t="shared" si="81"/>
        <v>#VALUE!</v>
      </c>
      <c r="M626" s="16" t="e">
        <f t="shared" si="76"/>
        <v>#VALUE!</v>
      </c>
      <c r="N626" s="16" t="e">
        <f t="shared" si="78"/>
        <v>#VALUE!</v>
      </c>
      <c r="O626" s="16" t="str">
        <f t="shared" si="79"/>
        <v>Other</v>
      </c>
      <c r="P626" s="16" t="str">
        <f t="shared" si="77"/>
        <v/>
      </c>
      <c r="S626" s="27" t="str">
        <v/>
      </c>
      <c r="W626" s="19"/>
      <c r="X626" s="19"/>
    </row>
    <row r="627" spans="11:24" ht="25.05" customHeight="1" x14ac:dyDescent="0.45">
      <c r="K627" s="15" t="e">
        <f t="shared" si="80"/>
        <v>#VALUE!</v>
      </c>
      <c r="L627" s="15" t="e">
        <f t="shared" si="81"/>
        <v>#VALUE!</v>
      </c>
      <c r="M627" s="16" t="e">
        <f t="shared" si="76"/>
        <v>#VALUE!</v>
      </c>
      <c r="N627" s="16" t="e">
        <f t="shared" si="78"/>
        <v>#VALUE!</v>
      </c>
      <c r="O627" s="16" t="str">
        <f t="shared" si="79"/>
        <v>Other</v>
      </c>
      <c r="P627" s="16" t="str">
        <f t="shared" si="77"/>
        <v/>
      </c>
      <c r="S627" s="27" t="str">
        <v/>
      </c>
      <c r="W627" s="19"/>
      <c r="X627" s="19"/>
    </row>
    <row r="628" spans="11:24" ht="25.05" customHeight="1" x14ac:dyDescent="0.45">
      <c r="K628" s="15" t="e">
        <f t="shared" si="80"/>
        <v>#VALUE!</v>
      </c>
      <c r="L628" s="15" t="e">
        <f t="shared" si="81"/>
        <v>#VALUE!</v>
      </c>
      <c r="M628" s="16" t="e">
        <f t="shared" si="76"/>
        <v>#VALUE!</v>
      </c>
      <c r="N628" s="16" t="e">
        <f t="shared" si="78"/>
        <v>#VALUE!</v>
      </c>
      <c r="O628" s="16" t="str">
        <f t="shared" si="79"/>
        <v>Other</v>
      </c>
      <c r="P628" s="16" t="str">
        <f t="shared" si="77"/>
        <v/>
      </c>
      <c r="S628" s="27" t="str">
        <v/>
      </c>
      <c r="W628" s="19"/>
      <c r="X628" s="19"/>
    </row>
    <row r="629" spans="11:24" ht="25.05" customHeight="1" x14ac:dyDescent="0.45">
      <c r="K629" s="15" t="e">
        <f t="shared" si="80"/>
        <v>#VALUE!</v>
      </c>
      <c r="L629" s="15" t="e">
        <f t="shared" si="81"/>
        <v>#VALUE!</v>
      </c>
      <c r="M629" s="16" t="e">
        <f t="shared" si="76"/>
        <v>#VALUE!</v>
      </c>
      <c r="N629" s="16" t="e">
        <f t="shared" si="78"/>
        <v>#VALUE!</v>
      </c>
      <c r="O629" s="16" t="str">
        <f t="shared" si="79"/>
        <v>Other</v>
      </c>
      <c r="P629" s="16" t="str">
        <f t="shared" si="77"/>
        <v/>
      </c>
      <c r="S629" s="27" t="str">
        <v/>
      </c>
      <c r="W629" s="19"/>
      <c r="X629" s="19"/>
    </row>
    <row r="630" spans="11:24" ht="25.05" customHeight="1" x14ac:dyDescent="0.45">
      <c r="K630" s="15" t="e">
        <f t="shared" si="80"/>
        <v>#VALUE!</v>
      </c>
      <c r="L630" s="15" t="e">
        <f t="shared" si="81"/>
        <v>#VALUE!</v>
      </c>
      <c r="M630" s="16" t="e">
        <f t="shared" si="76"/>
        <v>#VALUE!</v>
      </c>
      <c r="N630" s="16" t="e">
        <f t="shared" si="78"/>
        <v>#VALUE!</v>
      </c>
      <c r="O630" s="16" t="str">
        <f t="shared" si="79"/>
        <v>Other</v>
      </c>
      <c r="P630" s="16" t="str">
        <f t="shared" si="77"/>
        <v/>
      </c>
      <c r="S630" s="27" t="str">
        <v/>
      </c>
      <c r="W630" s="19"/>
      <c r="X630" s="19"/>
    </row>
    <row r="631" spans="11:24" ht="25.05" customHeight="1" x14ac:dyDescent="0.45">
      <c r="K631" s="15" t="e">
        <f t="shared" si="80"/>
        <v>#VALUE!</v>
      </c>
      <c r="L631" s="15" t="e">
        <f t="shared" si="81"/>
        <v>#VALUE!</v>
      </c>
      <c r="M631" s="16" t="e">
        <f t="shared" si="76"/>
        <v>#VALUE!</v>
      </c>
      <c r="N631" s="16" t="e">
        <f t="shared" si="78"/>
        <v>#VALUE!</v>
      </c>
      <c r="O631" s="16" t="str">
        <f t="shared" si="79"/>
        <v>Other</v>
      </c>
      <c r="P631" s="16" t="str">
        <f t="shared" si="77"/>
        <v/>
      </c>
      <c r="S631" s="27" t="str">
        <v/>
      </c>
      <c r="W631" s="19"/>
      <c r="X631" s="19"/>
    </row>
    <row r="632" spans="11:24" ht="25.05" customHeight="1" x14ac:dyDescent="0.45">
      <c r="K632" s="15" t="e">
        <f t="shared" si="80"/>
        <v>#VALUE!</v>
      </c>
      <c r="L632" s="15" t="e">
        <f t="shared" si="81"/>
        <v>#VALUE!</v>
      </c>
      <c r="M632" s="16" t="e">
        <f t="shared" si="76"/>
        <v>#VALUE!</v>
      </c>
      <c r="N632" s="16" t="e">
        <f t="shared" si="78"/>
        <v>#VALUE!</v>
      </c>
      <c r="O632" s="16" t="str">
        <f t="shared" si="79"/>
        <v>Other</v>
      </c>
      <c r="P632" s="16" t="str">
        <f t="shared" si="77"/>
        <v/>
      </c>
      <c r="S632" s="27" t="str">
        <v/>
      </c>
      <c r="W632" s="19"/>
      <c r="X632" s="19"/>
    </row>
    <row r="633" spans="11:24" ht="25.05" customHeight="1" x14ac:dyDescent="0.45">
      <c r="K633" s="15" t="e">
        <f t="shared" si="80"/>
        <v>#VALUE!</v>
      </c>
      <c r="L633" s="15" t="e">
        <f t="shared" si="81"/>
        <v>#VALUE!</v>
      </c>
      <c r="M633" s="16" t="e">
        <f t="shared" si="76"/>
        <v>#VALUE!</v>
      </c>
      <c r="N633" s="16" t="e">
        <f t="shared" si="78"/>
        <v>#VALUE!</v>
      </c>
      <c r="O633" s="16" t="str">
        <f t="shared" si="79"/>
        <v>Other</v>
      </c>
      <c r="P633" s="16" t="str">
        <f t="shared" si="77"/>
        <v/>
      </c>
      <c r="S633" s="27" t="str">
        <v/>
      </c>
      <c r="W633" s="19"/>
      <c r="X633" s="19"/>
    </row>
    <row r="634" spans="11:24" ht="25.05" customHeight="1" x14ac:dyDescent="0.45">
      <c r="K634" s="15" t="e">
        <f t="shared" si="80"/>
        <v>#VALUE!</v>
      </c>
      <c r="L634" s="15" t="e">
        <f t="shared" si="81"/>
        <v>#VALUE!</v>
      </c>
      <c r="M634" s="16" t="e">
        <f t="shared" si="76"/>
        <v>#VALUE!</v>
      </c>
      <c r="N634" s="16" t="e">
        <f t="shared" si="78"/>
        <v>#VALUE!</v>
      </c>
      <c r="O634" s="16" t="str">
        <f t="shared" si="79"/>
        <v>Other</v>
      </c>
      <c r="P634" s="16" t="str">
        <f t="shared" si="77"/>
        <v/>
      </c>
      <c r="S634" s="27" t="str">
        <v/>
      </c>
      <c r="W634" s="19"/>
      <c r="X634" s="19"/>
    </row>
    <row r="635" spans="11:24" ht="25.05" customHeight="1" x14ac:dyDescent="0.45">
      <c r="K635" s="15" t="e">
        <f t="shared" si="80"/>
        <v>#VALUE!</v>
      </c>
      <c r="L635" s="15" t="e">
        <f t="shared" si="81"/>
        <v>#VALUE!</v>
      </c>
      <c r="M635" s="16" t="e">
        <f t="shared" si="76"/>
        <v>#VALUE!</v>
      </c>
      <c r="N635" s="16" t="e">
        <f t="shared" si="78"/>
        <v>#VALUE!</v>
      </c>
      <c r="O635" s="16" t="str">
        <f t="shared" si="79"/>
        <v>Other</v>
      </c>
      <c r="P635" s="16" t="str">
        <f t="shared" si="77"/>
        <v/>
      </c>
      <c r="S635" s="27" t="str">
        <v/>
      </c>
      <c r="W635" s="19"/>
      <c r="X635" s="19"/>
    </row>
    <row r="636" spans="11:24" ht="25.05" customHeight="1" x14ac:dyDescent="0.45">
      <c r="K636" s="15" t="e">
        <f t="shared" si="80"/>
        <v>#VALUE!</v>
      </c>
      <c r="L636" s="15" t="e">
        <f t="shared" si="81"/>
        <v>#VALUE!</v>
      </c>
      <c r="M636" s="16" t="e">
        <f t="shared" si="76"/>
        <v>#VALUE!</v>
      </c>
      <c r="N636" s="16" t="e">
        <f t="shared" si="78"/>
        <v>#VALUE!</v>
      </c>
      <c r="O636" s="16" t="str">
        <f t="shared" si="79"/>
        <v>Other</v>
      </c>
      <c r="P636" s="16" t="str">
        <f t="shared" si="77"/>
        <v/>
      </c>
      <c r="S636" s="27" t="str">
        <v/>
      </c>
      <c r="W636" s="19"/>
      <c r="X636" s="19"/>
    </row>
    <row r="637" spans="11:24" ht="25.05" customHeight="1" x14ac:dyDescent="0.45">
      <c r="K637" s="15" t="e">
        <f t="shared" si="80"/>
        <v>#VALUE!</v>
      </c>
      <c r="L637" s="15" t="e">
        <f t="shared" si="81"/>
        <v>#VALUE!</v>
      </c>
      <c r="M637" s="16" t="e">
        <f t="shared" si="76"/>
        <v>#VALUE!</v>
      </c>
      <c r="N637" s="16" t="e">
        <f t="shared" si="78"/>
        <v>#VALUE!</v>
      </c>
      <c r="O637" s="16" t="str">
        <f t="shared" si="79"/>
        <v>Other</v>
      </c>
      <c r="P637" s="16" t="str">
        <f t="shared" si="77"/>
        <v/>
      </c>
      <c r="S637" s="27" t="str">
        <v/>
      </c>
      <c r="W637" s="19"/>
      <c r="X637" s="19"/>
    </row>
    <row r="638" spans="11:24" ht="25.05" customHeight="1" x14ac:dyDescent="0.45">
      <c r="K638" s="15" t="e">
        <f t="shared" si="80"/>
        <v>#VALUE!</v>
      </c>
      <c r="L638" s="15" t="e">
        <f t="shared" si="81"/>
        <v>#VALUE!</v>
      </c>
      <c r="M638" s="16" t="e">
        <f t="shared" si="76"/>
        <v>#VALUE!</v>
      </c>
      <c r="N638" s="16" t="e">
        <f t="shared" si="78"/>
        <v>#VALUE!</v>
      </c>
      <c r="O638" s="16" t="str">
        <f t="shared" si="79"/>
        <v>Other</v>
      </c>
      <c r="P638" s="16" t="str">
        <f t="shared" si="77"/>
        <v/>
      </c>
      <c r="S638" s="27" t="str">
        <v/>
      </c>
      <c r="W638" s="19"/>
      <c r="X638" s="19"/>
    </row>
    <row r="639" spans="11:24" ht="25.05" customHeight="1" x14ac:dyDescent="0.45">
      <c r="K639" s="15" t="e">
        <f t="shared" si="80"/>
        <v>#VALUE!</v>
      </c>
      <c r="L639" s="15" t="e">
        <f t="shared" si="81"/>
        <v>#VALUE!</v>
      </c>
      <c r="M639" s="16" t="e">
        <f t="shared" si="76"/>
        <v>#VALUE!</v>
      </c>
      <c r="N639" s="16" t="e">
        <f t="shared" si="78"/>
        <v>#VALUE!</v>
      </c>
      <c r="O639" s="16" t="str">
        <f t="shared" si="79"/>
        <v>Other</v>
      </c>
      <c r="P639" s="16" t="str">
        <f t="shared" si="77"/>
        <v/>
      </c>
      <c r="S639" s="27" t="str">
        <v/>
      </c>
      <c r="W639" s="19"/>
      <c r="X639" s="19"/>
    </row>
    <row r="640" spans="11:24" ht="25.05" customHeight="1" x14ac:dyDescent="0.45">
      <c r="K640" s="15" t="e">
        <f t="shared" si="80"/>
        <v>#VALUE!</v>
      </c>
      <c r="L640" s="15" t="e">
        <f t="shared" si="81"/>
        <v>#VALUE!</v>
      </c>
      <c r="M640" s="16" t="e">
        <f t="shared" si="76"/>
        <v>#VALUE!</v>
      </c>
      <c r="N640" s="16" t="e">
        <f t="shared" si="78"/>
        <v>#VALUE!</v>
      </c>
      <c r="O640" s="16" t="str">
        <f t="shared" si="79"/>
        <v>Other</v>
      </c>
      <c r="P640" s="16" t="str">
        <f t="shared" si="77"/>
        <v/>
      </c>
      <c r="S640" s="27" t="str">
        <v/>
      </c>
      <c r="W640" s="19"/>
      <c r="X640" s="19"/>
    </row>
    <row r="641" spans="11:24" ht="25.05" customHeight="1" x14ac:dyDescent="0.45">
      <c r="K641" s="15" t="e">
        <f t="shared" si="80"/>
        <v>#VALUE!</v>
      </c>
      <c r="L641" s="15" t="e">
        <f t="shared" si="81"/>
        <v>#VALUE!</v>
      </c>
      <c r="M641" s="16" t="e">
        <f t="shared" si="76"/>
        <v>#VALUE!</v>
      </c>
      <c r="N641" s="16" t="e">
        <f t="shared" si="78"/>
        <v>#VALUE!</v>
      </c>
      <c r="O641" s="16" t="str">
        <f t="shared" si="79"/>
        <v>Other</v>
      </c>
      <c r="P641" s="16" t="str">
        <f t="shared" si="77"/>
        <v/>
      </c>
      <c r="S641" s="27" t="str">
        <v/>
      </c>
      <c r="W641" s="19"/>
      <c r="X641" s="19"/>
    </row>
    <row r="642" spans="11:24" ht="25.05" customHeight="1" x14ac:dyDescent="0.45">
      <c r="K642" s="15" t="e">
        <f t="shared" si="80"/>
        <v>#VALUE!</v>
      </c>
      <c r="L642" s="15" t="e">
        <f t="shared" si="81"/>
        <v>#VALUE!</v>
      </c>
      <c r="M642" s="16" t="e">
        <f t="shared" ref="M642:M705" si="82">MID(G642,FIND("LR-",G642)+3,FIND("-",G642,FIND("LR-",G642)+3)-FIND("LR-",G642)-3)</f>
        <v>#VALUE!</v>
      </c>
      <c r="N642" s="16" t="e">
        <f t="shared" si="78"/>
        <v>#VALUE!</v>
      </c>
      <c r="O642" s="16" t="str">
        <f t="shared" si="79"/>
        <v>Other</v>
      </c>
      <c r="P642" s="16" t="str">
        <f t="shared" ref="P642:P705" si="83">IF(S642&lt;&gt;"",IF(LEFT(S642,FIND(" &lt;&gt; ",S642)-1) &lt; MID(S642,FIND(" &lt;&gt; ",S642)+4,LEN(S642)),LEFT(S642,FIND(" &lt;&gt; ",S642)-1) &amp; " &lt;&gt; " &amp; MID(S642,FIND(" &lt;&gt; ",S642)+4,LEN(S642)),MID(S642,FIND(" &lt;&gt; ",S642)+4,LEN(S642)) &amp; " &lt;&gt; " &amp; LEFT(S642,FIND(" &lt;&gt; ",S642)-1)),"")</f>
        <v/>
      </c>
      <c r="S642" s="27" t="str">
        <v/>
      </c>
      <c r="W642" s="19"/>
      <c r="X642" s="19"/>
    </row>
    <row r="643" spans="11:24" ht="25.05" customHeight="1" x14ac:dyDescent="0.45">
      <c r="K643" s="15" t="e">
        <f t="shared" si="80"/>
        <v>#VALUE!</v>
      </c>
      <c r="L643" s="15" t="e">
        <f t="shared" si="81"/>
        <v>#VALUE!</v>
      </c>
      <c r="M643" s="16" t="e">
        <f t="shared" si="82"/>
        <v>#VALUE!</v>
      </c>
      <c r="N643" s="16" t="e">
        <f t="shared" si="78"/>
        <v>#VALUE!</v>
      </c>
      <c r="O643" s="16" t="str">
        <f t="shared" si="79"/>
        <v>Other</v>
      </c>
      <c r="P643" s="16" t="str">
        <f t="shared" si="83"/>
        <v/>
      </c>
      <c r="S643" s="27" t="str">
        <v/>
      </c>
      <c r="W643" s="19"/>
      <c r="X643" s="19"/>
    </row>
    <row r="644" spans="11:24" ht="25.05" customHeight="1" x14ac:dyDescent="0.45">
      <c r="K644" s="15" t="e">
        <f t="shared" si="80"/>
        <v>#VALUE!</v>
      </c>
      <c r="L644" s="15" t="e">
        <f t="shared" si="81"/>
        <v>#VALUE!</v>
      </c>
      <c r="M644" s="16" t="e">
        <f t="shared" si="82"/>
        <v>#VALUE!</v>
      </c>
      <c r="N644" s="16" t="e">
        <f t="shared" si="78"/>
        <v>#VALUE!</v>
      </c>
      <c r="O644" s="16" t="str">
        <f t="shared" si="79"/>
        <v>Other</v>
      </c>
      <c r="P644" s="16" t="str">
        <f t="shared" si="83"/>
        <v/>
      </c>
      <c r="S644" s="27" t="str">
        <v/>
      </c>
      <c r="W644" s="19"/>
      <c r="X644" s="19"/>
    </row>
    <row r="645" spans="11:24" ht="25.05" customHeight="1" x14ac:dyDescent="0.45">
      <c r="K645" s="15" t="e">
        <f t="shared" si="80"/>
        <v>#VALUE!</v>
      </c>
      <c r="L645" s="15" t="e">
        <f t="shared" si="81"/>
        <v>#VALUE!</v>
      </c>
      <c r="M645" s="16" t="e">
        <f t="shared" si="82"/>
        <v>#VALUE!</v>
      </c>
      <c r="N645" s="16" t="e">
        <f t="shared" si="78"/>
        <v>#VALUE!</v>
      </c>
      <c r="O645" s="16" t="str">
        <f t="shared" si="79"/>
        <v>Other</v>
      </c>
      <c r="P645" s="16" t="str">
        <f t="shared" si="83"/>
        <v/>
      </c>
      <c r="S645" s="27" t="str">
        <v/>
      </c>
      <c r="W645" s="19"/>
      <c r="X645" s="19"/>
    </row>
    <row r="646" spans="11:24" ht="25.05" customHeight="1" x14ac:dyDescent="0.45">
      <c r="K646" s="15" t="e">
        <f t="shared" si="80"/>
        <v>#VALUE!</v>
      </c>
      <c r="L646" s="15" t="e">
        <f t="shared" si="81"/>
        <v>#VALUE!</v>
      </c>
      <c r="M646" s="16" t="e">
        <f t="shared" si="82"/>
        <v>#VALUE!</v>
      </c>
      <c r="N646" s="16" t="e">
        <f t="shared" si="78"/>
        <v>#VALUE!</v>
      </c>
      <c r="O646" s="16" t="str">
        <f t="shared" si="79"/>
        <v>Other</v>
      </c>
      <c r="P646" s="16" t="str">
        <f t="shared" si="83"/>
        <v/>
      </c>
      <c r="S646" s="27" t="str">
        <v/>
      </c>
      <c r="W646" s="19"/>
      <c r="X646" s="19"/>
    </row>
    <row r="647" spans="11:24" ht="25.05" customHeight="1" x14ac:dyDescent="0.45">
      <c r="K647" s="15" t="e">
        <f t="shared" si="80"/>
        <v>#VALUE!</v>
      </c>
      <c r="L647" s="15" t="e">
        <f t="shared" si="81"/>
        <v>#VALUE!</v>
      </c>
      <c r="M647" s="16" t="e">
        <f t="shared" si="82"/>
        <v>#VALUE!</v>
      </c>
      <c r="N647" s="16" t="e">
        <f t="shared" si="78"/>
        <v>#VALUE!</v>
      </c>
      <c r="O647" s="16" t="str">
        <f t="shared" si="79"/>
        <v>Other</v>
      </c>
      <c r="P647" s="16" t="str">
        <f t="shared" si="83"/>
        <v/>
      </c>
      <c r="S647" s="27" t="str">
        <v/>
      </c>
      <c r="W647" s="19"/>
      <c r="X647" s="19"/>
    </row>
    <row r="648" spans="11:24" ht="25.05" customHeight="1" x14ac:dyDescent="0.45">
      <c r="K648" s="15" t="e">
        <f t="shared" si="80"/>
        <v>#VALUE!</v>
      </c>
      <c r="L648" s="15" t="e">
        <f t="shared" si="81"/>
        <v>#VALUE!</v>
      </c>
      <c r="M648" s="16" t="e">
        <f t="shared" si="82"/>
        <v>#VALUE!</v>
      </c>
      <c r="N648" s="16" t="e">
        <f t="shared" si="78"/>
        <v>#VALUE!</v>
      </c>
      <c r="O648" s="16" t="str">
        <f t="shared" si="79"/>
        <v>Other</v>
      </c>
      <c r="P648" s="16" t="str">
        <f t="shared" si="83"/>
        <v/>
      </c>
      <c r="S648" s="27" t="str">
        <v/>
      </c>
      <c r="W648" s="19"/>
      <c r="X648" s="19"/>
    </row>
    <row r="649" spans="11:24" ht="25.05" customHeight="1" x14ac:dyDescent="0.45">
      <c r="K649" s="15" t="e">
        <f t="shared" si="80"/>
        <v>#VALUE!</v>
      </c>
      <c r="L649" s="15" t="e">
        <f t="shared" si="81"/>
        <v>#VALUE!</v>
      </c>
      <c r="M649" s="16" t="e">
        <f t="shared" si="82"/>
        <v>#VALUE!</v>
      </c>
      <c r="N649" s="16" t="e">
        <f t="shared" si="78"/>
        <v>#VALUE!</v>
      </c>
      <c r="O649" s="16" t="str">
        <f t="shared" si="79"/>
        <v>Other</v>
      </c>
      <c r="P649" s="16" t="str">
        <f t="shared" si="83"/>
        <v/>
      </c>
      <c r="S649" s="27" t="str">
        <v/>
      </c>
      <c r="W649" s="19"/>
      <c r="X649" s="19"/>
    </row>
    <row r="650" spans="11:24" ht="25.05" customHeight="1" x14ac:dyDescent="0.45">
      <c r="K650" s="15" t="e">
        <f t="shared" si="80"/>
        <v>#VALUE!</v>
      </c>
      <c r="L650" s="15" t="e">
        <f t="shared" si="81"/>
        <v>#VALUE!</v>
      </c>
      <c r="M650" s="16" t="e">
        <f t="shared" si="82"/>
        <v>#VALUE!</v>
      </c>
      <c r="N650" s="16" t="e">
        <f t="shared" si="78"/>
        <v>#VALUE!</v>
      </c>
      <c r="O650" s="16" t="str">
        <f t="shared" si="79"/>
        <v>Other</v>
      </c>
      <c r="P650" s="16" t="str">
        <f t="shared" si="83"/>
        <v/>
      </c>
      <c r="S650" s="27" t="str">
        <v/>
      </c>
      <c r="W650" s="19"/>
      <c r="X650" s="19"/>
    </row>
    <row r="651" spans="11:24" ht="25.05" customHeight="1" x14ac:dyDescent="0.45">
      <c r="K651" s="15" t="e">
        <f t="shared" si="80"/>
        <v>#VALUE!</v>
      </c>
      <c r="L651" s="15" t="e">
        <f t="shared" si="81"/>
        <v>#VALUE!</v>
      </c>
      <c r="M651" s="16" t="e">
        <f t="shared" si="82"/>
        <v>#VALUE!</v>
      </c>
      <c r="N651" s="16" t="e">
        <f t="shared" si="78"/>
        <v>#VALUE!</v>
      </c>
      <c r="O651" s="16" t="str">
        <f t="shared" si="79"/>
        <v>Other</v>
      </c>
      <c r="P651" s="16" t="str">
        <f t="shared" si="83"/>
        <v/>
      </c>
      <c r="S651" s="27" t="str">
        <v/>
      </c>
      <c r="W651" s="19"/>
      <c r="X651" s="19"/>
    </row>
    <row r="652" spans="11:24" ht="25.05" customHeight="1" x14ac:dyDescent="0.45">
      <c r="K652" s="15" t="e">
        <f t="shared" si="80"/>
        <v>#VALUE!</v>
      </c>
      <c r="L652" s="15" t="e">
        <f t="shared" si="81"/>
        <v>#VALUE!</v>
      </c>
      <c r="M652" s="16" t="e">
        <f t="shared" si="82"/>
        <v>#VALUE!</v>
      </c>
      <c r="N652" s="16" t="e">
        <f t="shared" si="78"/>
        <v>#VALUE!</v>
      </c>
      <c r="O652" s="16" t="str">
        <f t="shared" si="79"/>
        <v>Other</v>
      </c>
      <c r="P652" s="16" t="str">
        <f t="shared" si="83"/>
        <v/>
      </c>
      <c r="S652" s="27" t="str">
        <v/>
      </c>
      <c r="W652" s="19"/>
      <c r="X652" s="19"/>
    </row>
    <row r="653" spans="11:24" ht="25.05" customHeight="1" x14ac:dyDescent="0.45">
      <c r="K653" s="15" t="e">
        <f t="shared" si="80"/>
        <v>#VALUE!</v>
      </c>
      <c r="L653" s="15" t="e">
        <f t="shared" si="81"/>
        <v>#VALUE!</v>
      </c>
      <c r="M653" s="16" t="e">
        <f t="shared" si="82"/>
        <v>#VALUE!</v>
      </c>
      <c r="N653" s="16" t="e">
        <f t="shared" si="78"/>
        <v>#VALUE!</v>
      </c>
      <c r="O653" s="16" t="str">
        <f t="shared" si="79"/>
        <v>Other</v>
      </c>
      <c r="P653" s="16" t="str">
        <f t="shared" si="83"/>
        <v/>
      </c>
      <c r="S653" s="27" t="str">
        <v/>
      </c>
      <c r="W653" s="19"/>
      <c r="X653" s="19"/>
    </row>
    <row r="654" spans="11:24" ht="25.05" customHeight="1" x14ac:dyDescent="0.45">
      <c r="K654" s="15" t="e">
        <f t="shared" si="80"/>
        <v>#VALUE!</v>
      </c>
      <c r="L654" s="15" t="e">
        <f t="shared" si="81"/>
        <v>#VALUE!</v>
      </c>
      <c r="M654" s="16" t="e">
        <f t="shared" si="82"/>
        <v>#VALUE!</v>
      </c>
      <c r="N654" s="16" t="e">
        <f t="shared" si="78"/>
        <v>#VALUE!</v>
      </c>
      <c r="O654" s="16" t="str">
        <f t="shared" si="79"/>
        <v>Other</v>
      </c>
      <c r="P654" s="16" t="str">
        <f t="shared" si="83"/>
        <v/>
      </c>
      <c r="S654" s="27" t="str">
        <v/>
      </c>
      <c r="W654" s="19"/>
      <c r="X654" s="19"/>
    </row>
    <row r="655" spans="11:24" ht="25.05" customHeight="1" x14ac:dyDescent="0.45">
      <c r="K655" s="15" t="e">
        <f t="shared" si="80"/>
        <v>#VALUE!</v>
      </c>
      <c r="L655" s="15" t="e">
        <f t="shared" si="81"/>
        <v>#VALUE!</v>
      </c>
      <c r="M655" s="16" t="e">
        <f t="shared" si="82"/>
        <v>#VALUE!</v>
      </c>
      <c r="N655" s="16" t="e">
        <f t="shared" si="78"/>
        <v>#VALUE!</v>
      </c>
      <c r="O655" s="16" t="str">
        <f t="shared" si="79"/>
        <v>Other</v>
      </c>
      <c r="P655" s="16" t="str">
        <f t="shared" si="83"/>
        <v/>
      </c>
      <c r="S655" s="27" t="str">
        <v/>
      </c>
      <c r="W655" s="19"/>
      <c r="X655" s="19"/>
    </row>
    <row r="656" spans="11:24" ht="25.05" customHeight="1" x14ac:dyDescent="0.45">
      <c r="K656" s="15" t="e">
        <f t="shared" si="80"/>
        <v>#VALUE!</v>
      </c>
      <c r="L656" s="15" t="e">
        <f t="shared" si="81"/>
        <v>#VALUE!</v>
      </c>
      <c r="M656" s="16" t="e">
        <f t="shared" si="82"/>
        <v>#VALUE!</v>
      </c>
      <c r="N656" s="16" t="e">
        <f t="shared" si="78"/>
        <v>#VALUE!</v>
      </c>
      <c r="O656" s="16" t="str">
        <f t="shared" si="79"/>
        <v>Other</v>
      </c>
      <c r="P656" s="16" t="str">
        <f t="shared" si="83"/>
        <v/>
      </c>
      <c r="S656" s="27" t="str">
        <v/>
      </c>
      <c r="W656" s="19"/>
      <c r="X656" s="19"/>
    </row>
    <row r="657" spans="11:24" ht="25.05" customHeight="1" x14ac:dyDescent="0.45">
      <c r="K657" s="15" t="e">
        <f t="shared" si="80"/>
        <v>#VALUE!</v>
      </c>
      <c r="L657" s="15" t="e">
        <f t="shared" si="81"/>
        <v>#VALUE!</v>
      </c>
      <c r="M657" s="16" t="e">
        <f t="shared" si="82"/>
        <v>#VALUE!</v>
      </c>
      <c r="N657" s="16" t="e">
        <f t="shared" si="78"/>
        <v>#VALUE!</v>
      </c>
      <c r="O657" s="16" t="str">
        <f t="shared" si="79"/>
        <v>Other</v>
      </c>
      <c r="P657" s="16" t="str">
        <f t="shared" si="83"/>
        <v/>
      </c>
      <c r="S657" s="27" t="str">
        <v/>
      </c>
      <c r="W657" s="19"/>
      <c r="X657" s="19"/>
    </row>
    <row r="658" spans="11:24" ht="25.05" customHeight="1" x14ac:dyDescent="0.45">
      <c r="K658" s="15" t="e">
        <f t="shared" si="80"/>
        <v>#VALUE!</v>
      </c>
      <c r="L658" s="15" t="e">
        <f t="shared" si="81"/>
        <v>#VALUE!</v>
      </c>
      <c r="M658" s="16" t="e">
        <f t="shared" si="82"/>
        <v>#VALUE!</v>
      </c>
      <c r="N658" s="16" t="e">
        <f t="shared" si="78"/>
        <v>#VALUE!</v>
      </c>
      <c r="O658" s="16" t="str">
        <f t="shared" si="79"/>
        <v>Other</v>
      </c>
      <c r="P658" s="16" t="str">
        <f t="shared" si="83"/>
        <v/>
      </c>
      <c r="S658" s="27" t="str">
        <v/>
      </c>
      <c r="W658" s="19"/>
      <c r="X658" s="19"/>
    </row>
    <row r="659" spans="11:24" ht="25.05" customHeight="1" x14ac:dyDescent="0.45">
      <c r="K659" s="15" t="e">
        <f t="shared" si="80"/>
        <v>#VALUE!</v>
      </c>
      <c r="L659" s="15" t="e">
        <f t="shared" si="81"/>
        <v>#VALUE!</v>
      </c>
      <c r="M659" s="16" t="e">
        <f t="shared" si="82"/>
        <v>#VALUE!</v>
      </c>
      <c r="N659" s="16" t="e">
        <f t="shared" si="78"/>
        <v>#VALUE!</v>
      </c>
      <c r="O659" s="16" t="str">
        <f t="shared" si="79"/>
        <v>Other</v>
      </c>
      <c r="P659" s="16" t="str">
        <f t="shared" si="83"/>
        <v/>
      </c>
      <c r="S659" s="27" t="str">
        <v/>
      </c>
      <c r="W659" s="19"/>
      <c r="X659" s="19"/>
    </row>
    <row r="660" spans="11:24" ht="25.05" customHeight="1" x14ac:dyDescent="0.45">
      <c r="K660" s="15" t="e">
        <f t="shared" si="80"/>
        <v>#VALUE!</v>
      </c>
      <c r="L660" s="15" t="e">
        <f t="shared" si="81"/>
        <v>#VALUE!</v>
      </c>
      <c r="M660" s="16" t="e">
        <f t="shared" si="82"/>
        <v>#VALUE!</v>
      </c>
      <c r="N660" s="16" t="e">
        <f t="shared" si="78"/>
        <v>#VALUE!</v>
      </c>
      <c r="O660" s="16" t="str">
        <f t="shared" si="79"/>
        <v>Other</v>
      </c>
      <c r="P660" s="16" t="str">
        <f t="shared" si="83"/>
        <v/>
      </c>
      <c r="S660" s="27" t="str">
        <v/>
      </c>
      <c r="W660" s="19"/>
      <c r="X660" s="19"/>
    </row>
    <row r="661" spans="11:24" ht="25.05" customHeight="1" x14ac:dyDescent="0.45">
      <c r="K661" s="15" t="e">
        <f t="shared" si="80"/>
        <v>#VALUE!</v>
      </c>
      <c r="L661" s="15" t="e">
        <f t="shared" si="81"/>
        <v>#VALUE!</v>
      </c>
      <c r="M661" s="16" t="e">
        <f t="shared" si="82"/>
        <v>#VALUE!</v>
      </c>
      <c r="N661" s="16" t="e">
        <f t="shared" si="78"/>
        <v>#VALUE!</v>
      </c>
      <c r="O661" s="16" t="str">
        <f t="shared" si="79"/>
        <v>Other</v>
      </c>
      <c r="P661" s="16" t="str">
        <f t="shared" si="83"/>
        <v/>
      </c>
      <c r="S661" s="27" t="str">
        <v/>
      </c>
      <c r="W661" s="19"/>
      <c r="X661" s="19"/>
    </row>
    <row r="662" spans="11:24" ht="25.05" customHeight="1" x14ac:dyDescent="0.45">
      <c r="K662" s="15" t="e">
        <f t="shared" si="80"/>
        <v>#VALUE!</v>
      </c>
      <c r="L662" s="15" t="e">
        <f t="shared" si="81"/>
        <v>#VALUE!</v>
      </c>
      <c r="M662" s="16" t="e">
        <f t="shared" si="82"/>
        <v>#VALUE!</v>
      </c>
      <c r="N662" s="16" t="e">
        <f t="shared" si="78"/>
        <v>#VALUE!</v>
      </c>
      <c r="O662" s="16" t="str">
        <f t="shared" si="79"/>
        <v>Other</v>
      </c>
      <c r="P662" s="16" t="str">
        <f t="shared" si="83"/>
        <v/>
      </c>
      <c r="S662" s="27" t="str">
        <v/>
      </c>
      <c r="W662" s="19"/>
      <c r="X662" s="19"/>
    </row>
    <row r="663" spans="11:24" ht="25.05" customHeight="1" x14ac:dyDescent="0.45">
      <c r="K663" s="15" t="e">
        <f t="shared" si="80"/>
        <v>#VALUE!</v>
      </c>
      <c r="L663" s="15" t="e">
        <f t="shared" si="81"/>
        <v>#VALUE!</v>
      </c>
      <c r="M663" s="16" t="e">
        <f t="shared" si="82"/>
        <v>#VALUE!</v>
      </c>
      <c r="N663" s="16" t="e">
        <f t="shared" si="78"/>
        <v>#VALUE!</v>
      </c>
      <c r="O663" s="16" t="str">
        <f t="shared" si="79"/>
        <v>Other</v>
      </c>
      <c r="P663" s="16" t="str">
        <f t="shared" si="83"/>
        <v/>
      </c>
      <c r="S663" s="27" t="str">
        <v/>
      </c>
      <c r="W663" s="19"/>
      <c r="X663" s="19"/>
    </row>
    <row r="664" spans="11:24" ht="25.05" customHeight="1" x14ac:dyDescent="0.45">
      <c r="K664" s="15" t="e">
        <f t="shared" si="80"/>
        <v>#VALUE!</v>
      </c>
      <c r="L664" s="15" t="e">
        <f t="shared" si="81"/>
        <v>#VALUE!</v>
      </c>
      <c r="M664" s="16" t="e">
        <f t="shared" si="82"/>
        <v>#VALUE!</v>
      </c>
      <c r="N664" s="16" t="e">
        <f t="shared" si="78"/>
        <v>#VALUE!</v>
      </c>
      <c r="O664" s="16" t="str">
        <f t="shared" si="79"/>
        <v>Other</v>
      </c>
      <c r="P664" s="16" t="str">
        <f t="shared" si="83"/>
        <v/>
      </c>
      <c r="S664" s="27" t="str">
        <v/>
      </c>
      <c r="W664" s="19"/>
      <c r="X664" s="19"/>
    </row>
    <row r="665" spans="11:24" ht="25.05" customHeight="1" x14ac:dyDescent="0.45">
      <c r="K665" s="15" t="e">
        <f t="shared" si="80"/>
        <v>#VALUE!</v>
      </c>
      <c r="L665" s="15" t="e">
        <f t="shared" si="81"/>
        <v>#VALUE!</v>
      </c>
      <c r="M665" s="16" t="e">
        <f t="shared" si="82"/>
        <v>#VALUE!</v>
      </c>
      <c r="N665" s="16" t="e">
        <f t="shared" si="78"/>
        <v>#VALUE!</v>
      </c>
      <c r="O665" s="16" t="str">
        <f t="shared" si="79"/>
        <v>Other</v>
      </c>
      <c r="P665" s="16" t="str">
        <f t="shared" si="83"/>
        <v/>
      </c>
      <c r="S665" s="27" t="str">
        <v/>
      </c>
      <c r="W665" s="19"/>
      <c r="X665" s="19"/>
    </row>
    <row r="666" spans="11:24" ht="25.05" customHeight="1" x14ac:dyDescent="0.45">
      <c r="K666" s="15" t="e">
        <f t="shared" si="80"/>
        <v>#VALUE!</v>
      </c>
      <c r="L666" s="15" t="e">
        <f t="shared" si="81"/>
        <v>#VALUE!</v>
      </c>
      <c r="M666" s="16" t="e">
        <f t="shared" si="82"/>
        <v>#VALUE!</v>
      </c>
      <c r="N666" s="16" t="e">
        <f t="shared" si="78"/>
        <v>#VALUE!</v>
      </c>
      <c r="O666" s="16" t="str">
        <f t="shared" si="79"/>
        <v>Other</v>
      </c>
      <c r="P666" s="16" t="str">
        <f t="shared" si="83"/>
        <v/>
      </c>
      <c r="S666" s="27" t="str">
        <v/>
      </c>
    </row>
    <row r="667" spans="11:24" ht="25.05" customHeight="1" x14ac:dyDescent="0.45">
      <c r="K667" s="15" t="e">
        <f t="shared" si="80"/>
        <v>#VALUE!</v>
      </c>
      <c r="L667" s="15" t="e">
        <f t="shared" si="81"/>
        <v>#VALUE!</v>
      </c>
      <c r="M667" s="16" t="e">
        <f t="shared" si="82"/>
        <v>#VALUE!</v>
      </c>
      <c r="N667" s="16" t="e">
        <f t="shared" si="78"/>
        <v>#VALUE!</v>
      </c>
      <c r="O667" s="16" t="str">
        <f t="shared" si="79"/>
        <v>Other</v>
      </c>
      <c r="P667" s="16" t="str">
        <f t="shared" si="83"/>
        <v/>
      </c>
      <c r="S667" s="27" t="str">
        <v/>
      </c>
    </row>
    <row r="668" spans="11:24" ht="25.05" customHeight="1" x14ac:dyDescent="0.45">
      <c r="K668" s="15" t="e">
        <f t="shared" si="80"/>
        <v>#VALUE!</v>
      </c>
      <c r="L668" s="15" t="e">
        <f t="shared" si="81"/>
        <v>#VALUE!</v>
      </c>
      <c r="M668" s="16" t="e">
        <f t="shared" si="82"/>
        <v>#VALUE!</v>
      </c>
      <c r="N668" s="16" t="e">
        <f t="shared" si="78"/>
        <v>#VALUE!</v>
      </c>
      <c r="O668" s="16" t="str">
        <f t="shared" si="79"/>
        <v>Other</v>
      </c>
      <c r="P668" s="16" t="str">
        <f t="shared" si="83"/>
        <v/>
      </c>
      <c r="S668" s="27" t="str">
        <v/>
      </c>
    </row>
    <row r="669" spans="11:24" ht="25.05" customHeight="1" x14ac:dyDescent="0.45">
      <c r="K669" s="15" t="e">
        <f t="shared" si="80"/>
        <v>#VALUE!</v>
      </c>
      <c r="L669" s="15" t="e">
        <f t="shared" si="81"/>
        <v>#VALUE!</v>
      </c>
      <c r="M669" s="16" t="e">
        <f t="shared" si="82"/>
        <v>#VALUE!</v>
      </c>
      <c r="N669" s="16" t="e">
        <f t="shared" si="78"/>
        <v>#VALUE!</v>
      </c>
      <c r="O669" s="16" t="str">
        <f t="shared" si="79"/>
        <v>Other</v>
      </c>
      <c r="P669" s="16" t="str">
        <f t="shared" si="83"/>
        <v/>
      </c>
      <c r="S669" s="27" t="str">
        <v/>
      </c>
    </row>
    <row r="670" spans="11:24" ht="25.05" customHeight="1" x14ac:dyDescent="0.45">
      <c r="K670" s="15" t="e">
        <f t="shared" si="80"/>
        <v>#VALUE!</v>
      </c>
      <c r="L670" s="15" t="e">
        <f t="shared" si="81"/>
        <v>#VALUE!</v>
      </c>
      <c r="M670" s="16" t="e">
        <f t="shared" si="82"/>
        <v>#VALUE!</v>
      </c>
      <c r="N670" s="16" t="e">
        <f t="shared" si="78"/>
        <v>#VALUE!</v>
      </c>
      <c r="O670" s="16" t="str">
        <f t="shared" si="79"/>
        <v>Other</v>
      </c>
      <c r="P670" s="16" t="str">
        <f t="shared" si="83"/>
        <v/>
      </c>
      <c r="S670" s="27" t="str">
        <v/>
      </c>
    </row>
    <row r="671" spans="11:24" ht="25.05" customHeight="1" x14ac:dyDescent="0.45">
      <c r="K671" s="15" t="e">
        <f t="shared" si="80"/>
        <v>#VALUE!</v>
      </c>
      <c r="L671" s="15" t="e">
        <f t="shared" si="81"/>
        <v>#VALUE!</v>
      </c>
      <c r="M671" s="16" t="e">
        <f t="shared" si="82"/>
        <v>#VALUE!</v>
      </c>
      <c r="N671" s="16" t="e">
        <f t="shared" si="78"/>
        <v>#VALUE!</v>
      </c>
      <c r="O671" s="16" t="str">
        <f t="shared" si="79"/>
        <v>Other</v>
      </c>
      <c r="P671" s="16" t="str">
        <f t="shared" si="83"/>
        <v/>
      </c>
      <c r="S671" s="27" t="str">
        <v/>
      </c>
    </row>
    <row r="672" spans="11:24" ht="25.05" customHeight="1" x14ac:dyDescent="0.45">
      <c r="K672" s="15" t="e">
        <f t="shared" si="80"/>
        <v>#VALUE!</v>
      </c>
      <c r="L672" s="15" t="e">
        <f t="shared" si="81"/>
        <v>#VALUE!</v>
      </c>
      <c r="M672" s="16" t="e">
        <f t="shared" si="82"/>
        <v>#VALUE!</v>
      </c>
      <c r="N672" s="16" t="e">
        <f t="shared" si="78"/>
        <v>#VALUE!</v>
      </c>
      <c r="O672" s="16" t="str">
        <f t="shared" si="79"/>
        <v>Other</v>
      </c>
      <c r="P672" s="16" t="str">
        <f t="shared" si="83"/>
        <v/>
      </c>
      <c r="S672" s="27" t="str">
        <v/>
      </c>
    </row>
    <row r="673" spans="11:19" ht="25.05" customHeight="1" x14ac:dyDescent="0.45">
      <c r="K673" s="15" t="e">
        <f t="shared" si="80"/>
        <v>#VALUE!</v>
      </c>
      <c r="L673" s="15" t="e">
        <f t="shared" si="81"/>
        <v>#VALUE!</v>
      </c>
      <c r="M673" s="16" t="e">
        <f t="shared" si="82"/>
        <v>#VALUE!</v>
      </c>
      <c r="N673" s="16" t="e">
        <f t="shared" si="78"/>
        <v>#VALUE!</v>
      </c>
      <c r="O673" s="16" t="str">
        <f t="shared" si="79"/>
        <v>Other</v>
      </c>
      <c r="P673" s="16" t="str">
        <f t="shared" si="83"/>
        <v/>
      </c>
      <c r="S673" s="27" t="str">
        <v/>
      </c>
    </row>
    <row r="674" spans="11:19" ht="25.05" customHeight="1" x14ac:dyDescent="0.45">
      <c r="K674" s="15" t="e">
        <f t="shared" si="80"/>
        <v>#VALUE!</v>
      </c>
      <c r="L674" s="15" t="e">
        <f t="shared" si="81"/>
        <v>#VALUE!</v>
      </c>
      <c r="M674" s="16" t="e">
        <f t="shared" si="82"/>
        <v>#VALUE!</v>
      </c>
      <c r="N674" s="16" t="e">
        <f t="shared" ref="N674:N737" si="84">K674 &amp; " &lt;&gt; " &amp; L674</f>
        <v>#VALUE!</v>
      </c>
      <c r="O674" s="16" t="str">
        <f t="shared" si="79"/>
        <v>Other</v>
      </c>
      <c r="P674" s="16" t="str">
        <f t="shared" si="83"/>
        <v/>
      </c>
      <c r="S674" s="27" t="str">
        <v/>
      </c>
    </row>
    <row r="675" spans="11:19" ht="25.05" customHeight="1" x14ac:dyDescent="0.45">
      <c r="K675" s="15" t="e">
        <f t="shared" si="80"/>
        <v>#VALUE!</v>
      </c>
      <c r="L675" s="15" t="e">
        <f t="shared" si="81"/>
        <v>#VALUE!</v>
      </c>
      <c r="M675" s="16" t="e">
        <f t="shared" si="82"/>
        <v>#VALUE!</v>
      </c>
      <c r="N675" s="16" t="e">
        <f t="shared" si="84"/>
        <v>#VALUE!</v>
      </c>
      <c r="O675" s="16" t="str">
        <f t="shared" si="79"/>
        <v>Other</v>
      </c>
      <c r="P675" s="16" t="str">
        <f t="shared" si="83"/>
        <v/>
      </c>
      <c r="S675" s="27" t="str">
        <v/>
      </c>
    </row>
    <row r="676" spans="11:19" ht="25.05" customHeight="1" x14ac:dyDescent="0.45">
      <c r="K676" s="15" t="e">
        <f t="shared" si="80"/>
        <v>#VALUE!</v>
      </c>
      <c r="L676" s="15" t="e">
        <f t="shared" si="81"/>
        <v>#VALUE!</v>
      </c>
      <c r="M676" s="16" t="e">
        <f t="shared" si="82"/>
        <v>#VALUE!</v>
      </c>
      <c r="N676" s="16" t="e">
        <f t="shared" si="84"/>
        <v>#VALUE!</v>
      </c>
      <c r="O676" s="16" t="str">
        <f t="shared" si="79"/>
        <v>Other</v>
      </c>
      <c r="P676" s="16" t="str">
        <f t="shared" si="83"/>
        <v/>
      </c>
      <c r="S676" s="27" t="str">
        <v/>
      </c>
    </row>
    <row r="677" spans="11:19" ht="25.05" customHeight="1" x14ac:dyDescent="0.45">
      <c r="K677" s="15" t="e">
        <f t="shared" si="80"/>
        <v>#VALUE!</v>
      </c>
      <c r="L677" s="15" t="e">
        <f t="shared" si="81"/>
        <v>#VALUE!</v>
      </c>
      <c r="M677" s="16" t="e">
        <f t="shared" si="82"/>
        <v>#VALUE!</v>
      </c>
      <c r="N677" s="16" t="e">
        <f t="shared" si="84"/>
        <v>#VALUE!</v>
      </c>
      <c r="O677" s="16" t="str">
        <f t="shared" si="79"/>
        <v>Other</v>
      </c>
      <c r="P677" s="16" t="str">
        <f t="shared" si="83"/>
        <v/>
      </c>
      <c r="S677" s="27" t="str">
        <v/>
      </c>
    </row>
    <row r="678" spans="11:19" ht="25.05" customHeight="1" x14ac:dyDescent="0.45">
      <c r="K678" s="15" t="e">
        <f t="shared" si="80"/>
        <v>#VALUE!</v>
      </c>
      <c r="L678" s="15" t="e">
        <f t="shared" si="81"/>
        <v>#VALUE!</v>
      </c>
      <c r="M678" s="16" t="e">
        <f t="shared" si="82"/>
        <v>#VALUE!</v>
      </c>
      <c r="N678" s="16" t="e">
        <f t="shared" si="84"/>
        <v>#VALUE!</v>
      </c>
      <c r="O678" s="16" t="str">
        <f t="shared" ref="O678:O741" si="85">IF(LEFT(E678, 6)="TenGig", "10G (Ten Gig)", IF(LEFT(E678, 10)="HundredGig", "100G (Hundred Gig)", "Other"))</f>
        <v>Other</v>
      </c>
      <c r="P678" s="16" t="str">
        <f t="shared" si="83"/>
        <v/>
      </c>
      <c r="S678" s="27" t="str">
        <v/>
      </c>
    </row>
    <row r="679" spans="11:19" ht="25.05" customHeight="1" x14ac:dyDescent="0.45">
      <c r="K679" s="15" t="e">
        <f t="shared" ref="K679:K742" si="86">LEFT(A679, FIND("-", A679)-1)</f>
        <v>#VALUE!</v>
      </c>
      <c r="L679" s="15" t="e">
        <f t="shared" si="81"/>
        <v>#VALUE!</v>
      </c>
      <c r="M679" s="16" t="e">
        <f t="shared" si="82"/>
        <v>#VALUE!</v>
      </c>
      <c r="N679" s="16" t="e">
        <f t="shared" si="84"/>
        <v>#VALUE!</v>
      </c>
      <c r="O679" s="16" t="str">
        <f t="shared" si="85"/>
        <v>Other</v>
      </c>
      <c r="P679" s="16" t="str">
        <f t="shared" si="83"/>
        <v/>
      </c>
      <c r="S679" s="27" t="str">
        <v/>
      </c>
    </row>
    <row r="680" spans="11:19" ht="25.05" customHeight="1" x14ac:dyDescent="0.45">
      <c r="K680" s="15" t="e">
        <f t="shared" si="86"/>
        <v>#VALUE!</v>
      </c>
      <c r="L680" s="15" t="e">
        <f t="shared" si="81"/>
        <v>#VALUE!</v>
      </c>
      <c r="M680" s="16" t="e">
        <f t="shared" si="82"/>
        <v>#VALUE!</v>
      </c>
      <c r="N680" s="16" t="e">
        <f t="shared" si="84"/>
        <v>#VALUE!</v>
      </c>
      <c r="O680" s="16" t="str">
        <f t="shared" si="85"/>
        <v>Other</v>
      </c>
      <c r="P680" s="16" t="str">
        <f t="shared" si="83"/>
        <v/>
      </c>
      <c r="S680" s="27" t="str">
        <v/>
      </c>
    </row>
    <row r="681" spans="11:19" ht="25.05" customHeight="1" x14ac:dyDescent="0.45">
      <c r="K681" s="15" t="e">
        <f t="shared" si="86"/>
        <v>#VALUE!</v>
      </c>
      <c r="L681" s="15" t="e">
        <f t="shared" ref="L681:L744" si="87">LEFT(C681, FIND("-", C681)-1)</f>
        <v>#VALUE!</v>
      </c>
      <c r="M681" s="16" t="e">
        <f t="shared" si="82"/>
        <v>#VALUE!</v>
      </c>
      <c r="N681" s="16" t="e">
        <f t="shared" si="84"/>
        <v>#VALUE!</v>
      </c>
      <c r="O681" s="16" t="str">
        <f t="shared" si="85"/>
        <v>Other</v>
      </c>
      <c r="P681" s="16" t="str">
        <f t="shared" si="83"/>
        <v/>
      </c>
      <c r="S681" s="27" t="str">
        <v/>
      </c>
    </row>
    <row r="682" spans="11:19" ht="25.05" customHeight="1" x14ac:dyDescent="0.45">
      <c r="K682" s="15" t="e">
        <f t="shared" si="86"/>
        <v>#VALUE!</v>
      </c>
      <c r="L682" s="15" t="e">
        <f t="shared" si="87"/>
        <v>#VALUE!</v>
      </c>
      <c r="M682" s="16" t="e">
        <f t="shared" si="82"/>
        <v>#VALUE!</v>
      </c>
      <c r="N682" s="16" t="e">
        <f t="shared" si="84"/>
        <v>#VALUE!</v>
      </c>
      <c r="O682" s="16" t="str">
        <f t="shared" si="85"/>
        <v>Other</v>
      </c>
      <c r="P682" s="16" t="str">
        <f t="shared" si="83"/>
        <v/>
      </c>
      <c r="S682" s="27" t="str">
        <v/>
      </c>
    </row>
    <row r="683" spans="11:19" ht="25.05" customHeight="1" x14ac:dyDescent="0.45">
      <c r="K683" s="15" t="e">
        <f t="shared" si="86"/>
        <v>#VALUE!</v>
      </c>
      <c r="L683" s="15" t="e">
        <f t="shared" si="87"/>
        <v>#VALUE!</v>
      </c>
      <c r="M683" s="16" t="e">
        <f t="shared" si="82"/>
        <v>#VALUE!</v>
      </c>
      <c r="N683" s="16" t="e">
        <f t="shared" si="84"/>
        <v>#VALUE!</v>
      </c>
      <c r="O683" s="16" t="str">
        <f t="shared" si="85"/>
        <v>Other</v>
      </c>
      <c r="P683" s="16" t="str">
        <f t="shared" si="83"/>
        <v/>
      </c>
      <c r="S683" s="27" t="str">
        <v/>
      </c>
    </row>
    <row r="684" spans="11:19" ht="25.05" customHeight="1" x14ac:dyDescent="0.45">
      <c r="K684" s="15" t="e">
        <f t="shared" si="86"/>
        <v>#VALUE!</v>
      </c>
      <c r="L684" s="15" t="e">
        <f t="shared" si="87"/>
        <v>#VALUE!</v>
      </c>
      <c r="M684" s="16" t="e">
        <f t="shared" si="82"/>
        <v>#VALUE!</v>
      </c>
      <c r="N684" s="16" t="e">
        <f t="shared" si="84"/>
        <v>#VALUE!</v>
      </c>
      <c r="O684" s="16" t="str">
        <f t="shared" si="85"/>
        <v>Other</v>
      </c>
      <c r="P684" s="16" t="str">
        <f t="shared" si="83"/>
        <v/>
      </c>
      <c r="S684" s="27" t="str">
        <v/>
      </c>
    </row>
    <row r="685" spans="11:19" ht="25.05" customHeight="1" x14ac:dyDescent="0.45">
      <c r="K685" s="15" t="e">
        <f t="shared" si="86"/>
        <v>#VALUE!</v>
      </c>
      <c r="L685" s="15" t="e">
        <f t="shared" si="87"/>
        <v>#VALUE!</v>
      </c>
      <c r="M685" s="16" t="e">
        <f t="shared" si="82"/>
        <v>#VALUE!</v>
      </c>
      <c r="N685" s="16" t="e">
        <f t="shared" si="84"/>
        <v>#VALUE!</v>
      </c>
      <c r="O685" s="16" t="str">
        <f t="shared" si="85"/>
        <v>Other</v>
      </c>
      <c r="P685" s="16" t="str">
        <f t="shared" si="83"/>
        <v/>
      </c>
      <c r="S685" s="27" t="str">
        <v/>
      </c>
    </row>
    <row r="686" spans="11:19" ht="25.05" customHeight="1" x14ac:dyDescent="0.45">
      <c r="K686" s="15" t="e">
        <f t="shared" si="86"/>
        <v>#VALUE!</v>
      </c>
      <c r="L686" s="15" t="e">
        <f t="shared" si="87"/>
        <v>#VALUE!</v>
      </c>
      <c r="M686" s="16" t="e">
        <f t="shared" si="82"/>
        <v>#VALUE!</v>
      </c>
      <c r="N686" s="16" t="e">
        <f t="shared" si="84"/>
        <v>#VALUE!</v>
      </c>
      <c r="O686" s="16" t="str">
        <f t="shared" si="85"/>
        <v>Other</v>
      </c>
      <c r="P686" s="16" t="str">
        <f t="shared" si="83"/>
        <v/>
      </c>
      <c r="S686" s="27" t="str">
        <v/>
      </c>
    </row>
    <row r="687" spans="11:19" ht="25.05" customHeight="1" x14ac:dyDescent="0.45">
      <c r="K687" s="15" t="e">
        <f t="shared" si="86"/>
        <v>#VALUE!</v>
      </c>
      <c r="L687" s="15" t="e">
        <f t="shared" si="87"/>
        <v>#VALUE!</v>
      </c>
      <c r="M687" s="16" t="e">
        <f t="shared" si="82"/>
        <v>#VALUE!</v>
      </c>
      <c r="N687" s="16" t="e">
        <f t="shared" si="84"/>
        <v>#VALUE!</v>
      </c>
      <c r="O687" s="16" t="str">
        <f t="shared" si="85"/>
        <v>Other</v>
      </c>
      <c r="P687" s="16" t="str">
        <f t="shared" si="83"/>
        <v/>
      </c>
      <c r="S687" s="27" t="str">
        <v/>
      </c>
    </row>
    <row r="688" spans="11:19" ht="25.05" customHeight="1" x14ac:dyDescent="0.45">
      <c r="K688" s="15" t="e">
        <f t="shared" si="86"/>
        <v>#VALUE!</v>
      </c>
      <c r="L688" s="15" t="e">
        <f t="shared" si="87"/>
        <v>#VALUE!</v>
      </c>
      <c r="M688" s="16" t="e">
        <f t="shared" si="82"/>
        <v>#VALUE!</v>
      </c>
      <c r="N688" s="16" t="e">
        <f t="shared" si="84"/>
        <v>#VALUE!</v>
      </c>
      <c r="O688" s="16" t="str">
        <f t="shared" si="85"/>
        <v>Other</v>
      </c>
      <c r="P688" s="16" t="str">
        <f t="shared" si="83"/>
        <v/>
      </c>
      <c r="S688" s="27" t="str">
        <v/>
      </c>
    </row>
    <row r="689" spans="11:19" ht="25.05" customHeight="1" x14ac:dyDescent="0.45">
      <c r="K689" s="15" t="e">
        <f t="shared" si="86"/>
        <v>#VALUE!</v>
      </c>
      <c r="L689" s="15" t="e">
        <f t="shared" si="87"/>
        <v>#VALUE!</v>
      </c>
      <c r="M689" s="16" t="e">
        <f t="shared" si="82"/>
        <v>#VALUE!</v>
      </c>
      <c r="N689" s="16" t="e">
        <f t="shared" si="84"/>
        <v>#VALUE!</v>
      </c>
      <c r="O689" s="16" t="str">
        <f t="shared" si="85"/>
        <v>Other</v>
      </c>
      <c r="P689" s="16" t="str">
        <f t="shared" si="83"/>
        <v/>
      </c>
      <c r="S689" s="27" t="str">
        <v/>
      </c>
    </row>
    <row r="690" spans="11:19" ht="25.05" customHeight="1" x14ac:dyDescent="0.45">
      <c r="K690" s="15" t="e">
        <f t="shared" si="86"/>
        <v>#VALUE!</v>
      </c>
      <c r="L690" s="15" t="e">
        <f t="shared" si="87"/>
        <v>#VALUE!</v>
      </c>
      <c r="M690" s="16" t="e">
        <f t="shared" si="82"/>
        <v>#VALUE!</v>
      </c>
      <c r="N690" s="16" t="e">
        <f t="shared" si="84"/>
        <v>#VALUE!</v>
      </c>
      <c r="O690" s="16" t="str">
        <f t="shared" si="85"/>
        <v>Other</v>
      </c>
      <c r="P690" s="16" t="str">
        <f t="shared" si="83"/>
        <v/>
      </c>
      <c r="S690" s="27" t="str">
        <v/>
      </c>
    </row>
    <row r="691" spans="11:19" ht="25.05" customHeight="1" x14ac:dyDescent="0.45">
      <c r="K691" s="15" t="e">
        <f t="shared" si="86"/>
        <v>#VALUE!</v>
      </c>
      <c r="L691" s="15" t="e">
        <f t="shared" si="87"/>
        <v>#VALUE!</v>
      </c>
      <c r="M691" s="16" t="e">
        <f t="shared" si="82"/>
        <v>#VALUE!</v>
      </c>
      <c r="N691" s="16" t="e">
        <f t="shared" si="84"/>
        <v>#VALUE!</v>
      </c>
      <c r="O691" s="16" t="str">
        <f t="shared" si="85"/>
        <v>Other</v>
      </c>
      <c r="P691" s="16" t="str">
        <f t="shared" si="83"/>
        <v/>
      </c>
      <c r="S691" s="27" t="str">
        <v/>
      </c>
    </row>
    <row r="692" spans="11:19" ht="25.05" customHeight="1" x14ac:dyDescent="0.45">
      <c r="K692" s="15" t="e">
        <f t="shared" si="86"/>
        <v>#VALUE!</v>
      </c>
      <c r="L692" s="15" t="e">
        <f t="shared" si="87"/>
        <v>#VALUE!</v>
      </c>
      <c r="M692" s="16" t="e">
        <f t="shared" si="82"/>
        <v>#VALUE!</v>
      </c>
      <c r="N692" s="16" t="e">
        <f t="shared" si="84"/>
        <v>#VALUE!</v>
      </c>
      <c r="O692" s="16" t="str">
        <f t="shared" si="85"/>
        <v>Other</v>
      </c>
      <c r="P692" s="16" t="str">
        <f t="shared" si="83"/>
        <v/>
      </c>
      <c r="S692" s="27" t="str">
        <v/>
      </c>
    </row>
    <row r="693" spans="11:19" ht="25.05" customHeight="1" x14ac:dyDescent="0.45">
      <c r="K693" s="15" t="e">
        <f t="shared" si="86"/>
        <v>#VALUE!</v>
      </c>
      <c r="L693" s="15" t="e">
        <f t="shared" si="87"/>
        <v>#VALUE!</v>
      </c>
      <c r="M693" s="16" t="e">
        <f t="shared" si="82"/>
        <v>#VALUE!</v>
      </c>
      <c r="N693" s="16" t="e">
        <f t="shared" si="84"/>
        <v>#VALUE!</v>
      </c>
      <c r="O693" s="16" t="str">
        <f t="shared" si="85"/>
        <v>Other</v>
      </c>
      <c r="P693" s="16" t="str">
        <f t="shared" si="83"/>
        <v/>
      </c>
      <c r="S693" s="27" t="str">
        <v/>
      </c>
    </row>
    <row r="694" spans="11:19" ht="25.05" customHeight="1" x14ac:dyDescent="0.45">
      <c r="K694" s="15" t="e">
        <f t="shared" si="86"/>
        <v>#VALUE!</v>
      </c>
      <c r="L694" s="15" t="e">
        <f t="shared" si="87"/>
        <v>#VALUE!</v>
      </c>
      <c r="M694" s="16" t="e">
        <f t="shared" si="82"/>
        <v>#VALUE!</v>
      </c>
      <c r="N694" s="16" t="e">
        <f t="shared" si="84"/>
        <v>#VALUE!</v>
      </c>
      <c r="O694" s="16" t="str">
        <f t="shared" si="85"/>
        <v>Other</v>
      </c>
      <c r="P694" s="16" t="str">
        <f t="shared" si="83"/>
        <v/>
      </c>
      <c r="S694" s="27" t="str">
        <v/>
      </c>
    </row>
    <row r="695" spans="11:19" ht="25.05" customHeight="1" x14ac:dyDescent="0.45">
      <c r="K695" s="15" t="e">
        <f t="shared" si="86"/>
        <v>#VALUE!</v>
      </c>
      <c r="L695" s="15" t="e">
        <f t="shared" si="87"/>
        <v>#VALUE!</v>
      </c>
      <c r="M695" s="16" t="e">
        <f t="shared" si="82"/>
        <v>#VALUE!</v>
      </c>
      <c r="N695" s="16" t="e">
        <f t="shared" si="84"/>
        <v>#VALUE!</v>
      </c>
      <c r="O695" s="16" t="str">
        <f t="shared" si="85"/>
        <v>Other</v>
      </c>
      <c r="P695" s="16" t="str">
        <f t="shared" si="83"/>
        <v/>
      </c>
      <c r="S695" s="27" t="str">
        <v/>
      </c>
    </row>
    <row r="696" spans="11:19" ht="25.05" customHeight="1" x14ac:dyDescent="0.45">
      <c r="K696" s="15" t="e">
        <f t="shared" si="86"/>
        <v>#VALUE!</v>
      </c>
      <c r="L696" s="15" t="e">
        <f t="shared" si="87"/>
        <v>#VALUE!</v>
      </c>
      <c r="M696" s="16" t="e">
        <f t="shared" si="82"/>
        <v>#VALUE!</v>
      </c>
      <c r="N696" s="16" t="e">
        <f t="shared" si="84"/>
        <v>#VALUE!</v>
      </c>
      <c r="O696" s="16" t="str">
        <f t="shared" si="85"/>
        <v>Other</v>
      </c>
      <c r="P696" s="16" t="str">
        <f t="shared" si="83"/>
        <v/>
      </c>
      <c r="S696" s="27" t="str">
        <v/>
      </c>
    </row>
    <row r="697" spans="11:19" ht="25.05" customHeight="1" x14ac:dyDescent="0.45">
      <c r="K697" s="15" t="e">
        <f t="shared" si="86"/>
        <v>#VALUE!</v>
      </c>
      <c r="L697" s="15" t="e">
        <f t="shared" si="87"/>
        <v>#VALUE!</v>
      </c>
      <c r="M697" s="16" t="e">
        <f t="shared" si="82"/>
        <v>#VALUE!</v>
      </c>
      <c r="N697" s="16" t="e">
        <f t="shared" si="84"/>
        <v>#VALUE!</v>
      </c>
      <c r="O697" s="16" t="str">
        <f t="shared" si="85"/>
        <v>Other</v>
      </c>
      <c r="P697" s="16" t="str">
        <f t="shared" si="83"/>
        <v/>
      </c>
      <c r="S697" s="27" t="str">
        <v/>
      </c>
    </row>
    <row r="698" spans="11:19" ht="25.05" customHeight="1" x14ac:dyDescent="0.45">
      <c r="K698" s="15" t="e">
        <f t="shared" si="86"/>
        <v>#VALUE!</v>
      </c>
      <c r="L698" s="15" t="e">
        <f t="shared" si="87"/>
        <v>#VALUE!</v>
      </c>
      <c r="M698" s="16" t="e">
        <f t="shared" si="82"/>
        <v>#VALUE!</v>
      </c>
      <c r="N698" s="16" t="e">
        <f t="shared" si="84"/>
        <v>#VALUE!</v>
      </c>
      <c r="O698" s="16" t="str">
        <f t="shared" si="85"/>
        <v>Other</v>
      </c>
      <c r="P698" s="16" t="str">
        <f t="shared" si="83"/>
        <v/>
      </c>
      <c r="S698" s="27" t="str">
        <v/>
      </c>
    </row>
    <row r="699" spans="11:19" ht="25.05" customHeight="1" x14ac:dyDescent="0.45">
      <c r="K699" s="15" t="e">
        <f t="shared" si="86"/>
        <v>#VALUE!</v>
      </c>
      <c r="L699" s="15" t="e">
        <f t="shared" si="87"/>
        <v>#VALUE!</v>
      </c>
      <c r="M699" s="16" t="e">
        <f t="shared" si="82"/>
        <v>#VALUE!</v>
      </c>
      <c r="N699" s="16" t="e">
        <f t="shared" si="84"/>
        <v>#VALUE!</v>
      </c>
      <c r="O699" s="16" t="str">
        <f t="shared" si="85"/>
        <v>Other</v>
      </c>
      <c r="P699" s="16" t="str">
        <f t="shared" si="83"/>
        <v/>
      </c>
      <c r="S699" s="27" t="str">
        <v/>
      </c>
    </row>
    <row r="700" spans="11:19" ht="25.05" customHeight="1" x14ac:dyDescent="0.45">
      <c r="K700" s="15" t="e">
        <f t="shared" si="86"/>
        <v>#VALUE!</v>
      </c>
      <c r="L700" s="15" t="e">
        <f t="shared" si="87"/>
        <v>#VALUE!</v>
      </c>
      <c r="M700" s="16" t="e">
        <f t="shared" si="82"/>
        <v>#VALUE!</v>
      </c>
      <c r="N700" s="16" t="e">
        <f t="shared" si="84"/>
        <v>#VALUE!</v>
      </c>
      <c r="O700" s="16" t="str">
        <f t="shared" si="85"/>
        <v>Other</v>
      </c>
      <c r="P700" s="16" t="str">
        <f t="shared" si="83"/>
        <v/>
      </c>
      <c r="S700" s="27" t="str">
        <v/>
      </c>
    </row>
    <row r="701" spans="11:19" ht="25.05" customHeight="1" x14ac:dyDescent="0.45">
      <c r="K701" s="15" t="e">
        <f t="shared" si="86"/>
        <v>#VALUE!</v>
      </c>
      <c r="L701" s="15" t="e">
        <f t="shared" si="87"/>
        <v>#VALUE!</v>
      </c>
      <c r="M701" s="16" t="e">
        <f t="shared" si="82"/>
        <v>#VALUE!</v>
      </c>
      <c r="N701" s="16" t="e">
        <f t="shared" si="84"/>
        <v>#VALUE!</v>
      </c>
      <c r="O701" s="16" t="str">
        <f t="shared" si="85"/>
        <v>Other</v>
      </c>
      <c r="P701" s="16" t="str">
        <f t="shared" si="83"/>
        <v/>
      </c>
      <c r="S701" s="27" t="str">
        <v/>
      </c>
    </row>
    <row r="702" spans="11:19" ht="25.05" customHeight="1" x14ac:dyDescent="0.45">
      <c r="K702" s="15" t="e">
        <f t="shared" si="86"/>
        <v>#VALUE!</v>
      </c>
      <c r="L702" s="15" t="e">
        <f t="shared" si="87"/>
        <v>#VALUE!</v>
      </c>
      <c r="M702" s="16" t="e">
        <f t="shared" si="82"/>
        <v>#VALUE!</v>
      </c>
      <c r="N702" s="16" t="e">
        <f t="shared" si="84"/>
        <v>#VALUE!</v>
      </c>
      <c r="O702" s="16" t="str">
        <f t="shared" si="85"/>
        <v>Other</v>
      </c>
      <c r="P702" s="16" t="str">
        <f t="shared" si="83"/>
        <v/>
      </c>
      <c r="S702" s="27" t="str">
        <v/>
      </c>
    </row>
    <row r="703" spans="11:19" ht="25.05" customHeight="1" x14ac:dyDescent="0.45">
      <c r="K703" s="15" t="e">
        <f t="shared" si="86"/>
        <v>#VALUE!</v>
      </c>
      <c r="L703" s="15" t="e">
        <f t="shared" si="87"/>
        <v>#VALUE!</v>
      </c>
      <c r="M703" s="16" t="e">
        <f t="shared" si="82"/>
        <v>#VALUE!</v>
      </c>
      <c r="N703" s="16" t="e">
        <f t="shared" si="84"/>
        <v>#VALUE!</v>
      </c>
      <c r="O703" s="16" t="str">
        <f t="shared" si="85"/>
        <v>Other</v>
      </c>
      <c r="P703" s="16" t="str">
        <f t="shared" si="83"/>
        <v/>
      </c>
      <c r="S703" s="27" t="str">
        <v/>
      </c>
    </row>
    <row r="704" spans="11:19" ht="25.05" customHeight="1" x14ac:dyDescent="0.45">
      <c r="K704" s="15" t="e">
        <f t="shared" si="86"/>
        <v>#VALUE!</v>
      </c>
      <c r="L704" s="15" t="e">
        <f t="shared" si="87"/>
        <v>#VALUE!</v>
      </c>
      <c r="M704" s="16" t="e">
        <f t="shared" si="82"/>
        <v>#VALUE!</v>
      </c>
      <c r="N704" s="16" t="e">
        <f t="shared" si="84"/>
        <v>#VALUE!</v>
      </c>
      <c r="O704" s="16" t="str">
        <f t="shared" si="85"/>
        <v>Other</v>
      </c>
      <c r="P704" s="16" t="str">
        <f t="shared" si="83"/>
        <v/>
      </c>
      <c r="S704" s="27" t="str">
        <v/>
      </c>
    </row>
    <row r="705" spans="11:19" ht="25.05" customHeight="1" x14ac:dyDescent="0.45">
      <c r="K705" s="15" t="e">
        <f t="shared" si="86"/>
        <v>#VALUE!</v>
      </c>
      <c r="L705" s="15" t="e">
        <f t="shared" si="87"/>
        <v>#VALUE!</v>
      </c>
      <c r="M705" s="16" t="e">
        <f t="shared" si="82"/>
        <v>#VALUE!</v>
      </c>
      <c r="N705" s="16" t="e">
        <f t="shared" si="84"/>
        <v>#VALUE!</v>
      </c>
      <c r="O705" s="16" t="str">
        <f t="shared" si="85"/>
        <v>Other</v>
      </c>
      <c r="P705" s="16" t="str">
        <f t="shared" si="83"/>
        <v/>
      </c>
      <c r="S705" s="27" t="str">
        <v/>
      </c>
    </row>
    <row r="706" spans="11:19" ht="25.05" customHeight="1" x14ac:dyDescent="0.45">
      <c r="K706" s="15" t="e">
        <f t="shared" si="86"/>
        <v>#VALUE!</v>
      </c>
      <c r="L706" s="15" t="e">
        <f t="shared" si="87"/>
        <v>#VALUE!</v>
      </c>
      <c r="M706" s="16" t="e">
        <f t="shared" ref="M706:M769" si="88">MID(G706,FIND("LR-",G706)+3,FIND("-",G706,FIND("LR-",G706)+3)-FIND("LR-",G706)-3)</f>
        <v>#VALUE!</v>
      </c>
      <c r="N706" s="16" t="e">
        <f t="shared" si="84"/>
        <v>#VALUE!</v>
      </c>
      <c r="O706" s="16" t="str">
        <f t="shared" si="85"/>
        <v>Other</v>
      </c>
      <c r="P706" s="16" t="str">
        <f t="shared" ref="P706:P769" si="89">IF(S706&lt;&gt;"",IF(LEFT(S706,FIND(" &lt;&gt; ",S706)-1) &lt; MID(S706,FIND(" &lt;&gt; ",S706)+4,LEN(S706)),LEFT(S706,FIND(" &lt;&gt; ",S706)-1) &amp; " &lt;&gt; " &amp; MID(S706,FIND(" &lt;&gt; ",S706)+4,LEN(S706)),MID(S706,FIND(" &lt;&gt; ",S706)+4,LEN(S706)) &amp; " &lt;&gt; " &amp; LEFT(S706,FIND(" &lt;&gt; ",S706)-1)),"")</f>
        <v/>
      </c>
      <c r="S706" s="27" t="str">
        <v/>
      </c>
    </row>
    <row r="707" spans="11:19" ht="25.05" customHeight="1" x14ac:dyDescent="0.45">
      <c r="K707" s="15" t="e">
        <f t="shared" si="86"/>
        <v>#VALUE!</v>
      </c>
      <c r="L707" s="15" t="e">
        <f t="shared" si="87"/>
        <v>#VALUE!</v>
      </c>
      <c r="M707" s="16" t="e">
        <f t="shared" si="88"/>
        <v>#VALUE!</v>
      </c>
      <c r="N707" s="16" t="e">
        <f t="shared" si="84"/>
        <v>#VALUE!</v>
      </c>
      <c r="O707" s="16" t="str">
        <f t="shared" si="85"/>
        <v>Other</v>
      </c>
      <c r="P707" s="16" t="str">
        <f t="shared" si="89"/>
        <v/>
      </c>
      <c r="S707" s="27" t="str">
        <v/>
      </c>
    </row>
    <row r="708" spans="11:19" ht="25.05" customHeight="1" x14ac:dyDescent="0.45">
      <c r="K708" s="15" t="e">
        <f t="shared" si="86"/>
        <v>#VALUE!</v>
      </c>
      <c r="L708" s="15" t="e">
        <f t="shared" si="87"/>
        <v>#VALUE!</v>
      </c>
      <c r="M708" s="16" t="e">
        <f t="shared" si="88"/>
        <v>#VALUE!</v>
      </c>
      <c r="N708" s="16" t="e">
        <f t="shared" si="84"/>
        <v>#VALUE!</v>
      </c>
      <c r="O708" s="16" t="str">
        <f t="shared" si="85"/>
        <v>Other</v>
      </c>
      <c r="P708" s="16" t="str">
        <f t="shared" si="89"/>
        <v/>
      </c>
      <c r="S708" s="27" t="str">
        <v/>
      </c>
    </row>
    <row r="709" spans="11:19" ht="25.05" customHeight="1" x14ac:dyDescent="0.45">
      <c r="K709" s="15" t="e">
        <f t="shared" si="86"/>
        <v>#VALUE!</v>
      </c>
      <c r="L709" s="15" t="e">
        <f t="shared" si="87"/>
        <v>#VALUE!</v>
      </c>
      <c r="M709" s="16" t="e">
        <f t="shared" si="88"/>
        <v>#VALUE!</v>
      </c>
      <c r="N709" s="16" t="e">
        <f t="shared" si="84"/>
        <v>#VALUE!</v>
      </c>
      <c r="O709" s="16" t="str">
        <f t="shared" si="85"/>
        <v>Other</v>
      </c>
      <c r="P709" s="16" t="str">
        <f t="shared" si="89"/>
        <v/>
      </c>
      <c r="S709" s="27" t="str">
        <v/>
      </c>
    </row>
    <row r="710" spans="11:19" ht="25.05" customHeight="1" x14ac:dyDescent="0.45">
      <c r="K710" s="15" t="e">
        <f t="shared" si="86"/>
        <v>#VALUE!</v>
      </c>
      <c r="L710" s="15" t="e">
        <f t="shared" si="87"/>
        <v>#VALUE!</v>
      </c>
      <c r="M710" s="16" t="e">
        <f t="shared" si="88"/>
        <v>#VALUE!</v>
      </c>
      <c r="N710" s="16" t="e">
        <f t="shared" si="84"/>
        <v>#VALUE!</v>
      </c>
      <c r="O710" s="16" t="str">
        <f t="shared" si="85"/>
        <v>Other</v>
      </c>
      <c r="P710" s="16" t="str">
        <f t="shared" si="89"/>
        <v/>
      </c>
      <c r="S710" s="27" t="str">
        <v/>
      </c>
    </row>
    <row r="711" spans="11:19" ht="25.05" customHeight="1" x14ac:dyDescent="0.45">
      <c r="K711" s="15" t="e">
        <f t="shared" si="86"/>
        <v>#VALUE!</v>
      </c>
      <c r="L711" s="15" t="e">
        <f t="shared" si="87"/>
        <v>#VALUE!</v>
      </c>
      <c r="M711" s="16" t="e">
        <f t="shared" si="88"/>
        <v>#VALUE!</v>
      </c>
      <c r="N711" s="16" t="e">
        <f t="shared" si="84"/>
        <v>#VALUE!</v>
      </c>
      <c r="O711" s="16" t="str">
        <f t="shared" si="85"/>
        <v>Other</v>
      </c>
      <c r="P711" s="16" t="str">
        <f t="shared" si="89"/>
        <v/>
      </c>
      <c r="S711" s="27" t="str">
        <v/>
      </c>
    </row>
    <row r="712" spans="11:19" ht="25.05" customHeight="1" x14ac:dyDescent="0.45">
      <c r="K712" s="15" t="e">
        <f t="shared" si="86"/>
        <v>#VALUE!</v>
      </c>
      <c r="L712" s="15" t="e">
        <f t="shared" si="87"/>
        <v>#VALUE!</v>
      </c>
      <c r="M712" s="16" t="e">
        <f t="shared" si="88"/>
        <v>#VALUE!</v>
      </c>
      <c r="N712" s="16" t="e">
        <f t="shared" si="84"/>
        <v>#VALUE!</v>
      </c>
      <c r="O712" s="16" t="str">
        <f t="shared" si="85"/>
        <v>Other</v>
      </c>
      <c r="P712" s="16" t="str">
        <f t="shared" si="89"/>
        <v/>
      </c>
      <c r="S712" s="27" t="str">
        <v/>
      </c>
    </row>
    <row r="713" spans="11:19" ht="25.05" customHeight="1" x14ac:dyDescent="0.45">
      <c r="K713" s="15" t="e">
        <f t="shared" si="86"/>
        <v>#VALUE!</v>
      </c>
      <c r="L713" s="15" t="e">
        <f t="shared" si="87"/>
        <v>#VALUE!</v>
      </c>
      <c r="M713" s="16" t="e">
        <f t="shared" si="88"/>
        <v>#VALUE!</v>
      </c>
      <c r="N713" s="16" t="e">
        <f t="shared" si="84"/>
        <v>#VALUE!</v>
      </c>
      <c r="O713" s="16" t="str">
        <f t="shared" si="85"/>
        <v>Other</v>
      </c>
      <c r="P713" s="16" t="str">
        <f t="shared" si="89"/>
        <v/>
      </c>
      <c r="S713" s="27" t="str">
        <v/>
      </c>
    </row>
    <row r="714" spans="11:19" ht="25.05" customHeight="1" x14ac:dyDescent="0.45">
      <c r="K714" s="15" t="e">
        <f t="shared" si="86"/>
        <v>#VALUE!</v>
      </c>
      <c r="L714" s="15" t="e">
        <f t="shared" si="87"/>
        <v>#VALUE!</v>
      </c>
      <c r="M714" s="16" t="e">
        <f t="shared" si="88"/>
        <v>#VALUE!</v>
      </c>
      <c r="N714" s="16" t="e">
        <f t="shared" si="84"/>
        <v>#VALUE!</v>
      </c>
      <c r="O714" s="16" t="str">
        <f t="shared" si="85"/>
        <v>Other</v>
      </c>
      <c r="P714" s="16" t="str">
        <f t="shared" si="89"/>
        <v/>
      </c>
      <c r="S714" s="27" t="str">
        <v/>
      </c>
    </row>
    <row r="715" spans="11:19" ht="25.05" customHeight="1" x14ac:dyDescent="0.45">
      <c r="K715" s="15" t="e">
        <f t="shared" si="86"/>
        <v>#VALUE!</v>
      </c>
      <c r="L715" s="15" t="e">
        <f t="shared" si="87"/>
        <v>#VALUE!</v>
      </c>
      <c r="M715" s="16" t="e">
        <f t="shared" si="88"/>
        <v>#VALUE!</v>
      </c>
      <c r="N715" s="16" t="e">
        <f t="shared" si="84"/>
        <v>#VALUE!</v>
      </c>
      <c r="O715" s="16" t="str">
        <f t="shared" si="85"/>
        <v>Other</v>
      </c>
      <c r="P715" s="16" t="str">
        <f t="shared" si="89"/>
        <v/>
      </c>
      <c r="S715" s="27" t="str">
        <v/>
      </c>
    </row>
    <row r="716" spans="11:19" ht="25.05" customHeight="1" x14ac:dyDescent="0.45">
      <c r="K716" s="15" t="e">
        <f t="shared" si="86"/>
        <v>#VALUE!</v>
      </c>
      <c r="L716" s="15" t="e">
        <f t="shared" si="87"/>
        <v>#VALUE!</v>
      </c>
      <c r="M716" s="16" t="e">
        <f t="shared" si="88"/>
        <v>#VALUE!</v>
      </c>
      <c r="N716" s="16" t="e">
        <f t="shared" si="84"/>
        <v>#VALUE!</v>
      </c>
      <c r="O716" s="16" t="str">
        <f t="shared" si="85"/>
        <v>Other</v>
      </c>
      <c r="P716" s="16" t="str">
        <f t="shared" si="89"/>
        <v/>
      </c>
      <c r="S716" s="27" t="str">
        <v/>
      </c>
    </row>
    <row r="717" spans="11:19" ht="25.05" customHeight="1" x14ac:dyDescent="0.45">
      <c r="K717" s="15" t="e">
        <f t="shared" si="86"/>
        <v>#VALUE!</v>
      </c>
      <c r="L717" s="15" t="e">
        <f t="shared" si="87"/>
        <v>#VALUE!</v>
      </c>
      <c r="M717" s="16" t="e">
        <f t="shared" si="88"/>
        <v>#VALUE!</v>
      </c>
      <c r="N717" s="16" t="e">
        <f t="shared" si="84"/>
        <v>#VALUE!</v>
      </c>
      <c r="O717" s="16" t="str">
        <f t="shared" si="85"/>
        <v>Other</v>
      </c>
      <c r="P717" s="16" t="str">
        <f t="shared" si="89"/>
        <v/>
      </c>
      <c r="S717" s="27" t="str">
        <v/>
      </c>
    </row>
    <row r="718" spans="11:19" ht="25.05" customHeight="1" x14ac:dyDescent="0.45">
      <c r="K718" s="15" t="e">
        <f t="shared" si="86"/>
        <v>#VALUE!</v>
      </c>
      <c r="L718" s="15" t="e">
        <f t="shared" si="87"/>
        <v>#VALUE!</v>
      </c>
      <c r="M718" s="16" t="e">
        <f t="shared" si="88"/>
        <v>#VALUE!</v>
      </c>
      <c r="N718" s="16" t="e">
        <f t="shared" si="84"/>
        <v>#VALUE!</v>
      </c>
      <c r="O718" s="16" t="str">
        <f t="shared" si="85"/>
        <v>Other</v>
      </c>
      <c r="P718" s="16" t="str">
        <f t="shared" si="89"/>
        <v/>
      </c>
      <c r="S718" s="27" t="str">
        <v/>
      </c>
    </row>
    <row r="719" spans="11:19" ht="25.05" customHeight="1" x14ac:dyDescent="0.45">
      <c r="K719" s="15" t="e">
        <f t="shared" si="86"/>
        <v>#VALUE!</v>
      </c>
      <c r="L719" s="15" t="e">
        <f t="shared" si="87"/>
        <v>#VALUE!</v>
      </c>
      <c r="M719" s="16" t="e">
        <f t="shared" si="88"/>
        <v>#VALUE!</v>
      </c>
      <c r="N719" s="16" t="e">
        <f t="shared" si="84"/>
        <v>#VALUE!</v>
      </c>
      <c r="O719" s="16" t="str">
        <f t="shared" si="85"/>
        <v>Other</v>
      </c>
      <c r="P719" s="16" t="str">
        <f t="shared" si="89"/>
        <v/>
      </c>
      <c r="S719" s="27" t="str">
        <v/>
      </c>
    </row>
    <row r="720" spans="11:19" ht="25.05" customHeight="1" x14ac:dyDescent="0.45">
      <c r="K720" s="15" t="e">
        <f t="shared" si="86"/>
        <v>#VALUE!</v>
      </c>
      <c r="L720" s="15" t="e">
        <f t="shared" si="87"/>
        <v>#VALUE!</v>
      </c>
      <c r="M720" s="16" t="e">
        <f t="shared" si="88"/>
        <v>#VALUE!</v>
      </c>
      <c r="N720" s="16" t="e">
        <f t="shared" si="84"/>
        <v>#VALUE!</v>
      </c>
      <c r="O720" s="16" t="str">
        <f t="shared" si="85"/>
        <v>Other</v>
      </c>
      <c r="P720" s="16" t="str">
        <f t="shared" si="89"/>
        <v/>
      </c>
      <c r="S720" s="27" t="str">
        <v/>
      </c>
    </row>
    <row r="721" spans="11:19" ht="25.05" customHeight="1" x14ac:dyDescent="0.45">
      <c r="K721" s="15" t="e">
        <f t="shared" si="86"/>
        <v>#VALUE!</v>
      </c>
      <c r="L721" s="15" t="e">
        <f t="shared" si="87"/>
        <v>#VALUE!</v>
      </c>
      <c r="M721" s="16" t="e">
        <f t="shared" si="88"/>
        <v>#VALUE!</v>
      </c>
      <c r="N721" s="16" t="e">
        <f t="shared" si="84"/>
        <v>#VALUE!</v>
      </c>
      <c r="O721" s="16" t="str">
        <f t="shared" si="85"/>
        <v>Other</v>
      </c>
      <c r="P721" s="16" t="str">
        <f t="shared" si="89"/>
        <v/>
      </c>
      <c r="S721" s="27" t="str">
        <v/>
      </c>
    </row>
    <row r="722" spans="11:19" ht="25.05" customHeight="1" x14ac:dyDescent="0.45">
      <c r="K722" s="15" t="e">
        <f t="shared" si="86"/>
        <v>#VALUE!</v>
      </c>
      <c r="L722" s="15" t="e">
        <f t="shared" si="87"/>
        <v>#VALUE!</v>
      </c>
      <c r="M722" s="16" t="e">
        <f t="shared" si="88"/>
        <v>#VALUE!</v>
      </c>
      <c r="N722" s="16" t="e">
        <f t="shared" si="84"/>
        <v>#VALUE!</v>
      </c>
      <c r="O722" s="16" t="str">
        <f t="shared" si="85"/>
        <v>Other</v>
      </c>
      <c r="P722" s="16" t="str">
        <f t="shared" si="89"/>
        <v/>
      </c>
      <c r="S722" s="27" t="str">
        <v/>
      </c>
    </row>
    <row r="723" spans="11:19" ht="25.05" customHeight="1" x14ac:dyDescent="0.45">
      <c r="K723" s="15" t="e">
        <f t="shared" si="86"/>
        <v>#VALUE!</v>
      </c>
      <c r="L723" s="15" t="e">
        <f t="shared" si="87"/>
        <v>#VALUE!</v>
      </c>
      <c r="M723" s="16" t="e">
        <f t="shared" si="88"/>
        <v>#VALUE!</v>
      </c>
      <c r="N723" s="16" t="e">
        <f t="shared" si="84"/>
        <v>#VALUE!</v>
      </c>
      <c r="O723" s="16" t="str">
        <f t="shared" si="85"/>
        <v>Other</v>
      </c>
      <c r="P723" s="16" t="str">
        <f t="shared" si="89"/>
        <v/>
      </c>
      <c r="S723" s="27" t="str">
        <v/>
      </c>
    </row>
    <row r="724" spans="11:19" ht="25.05" customHeight="1" x14ac:dyDescent="0.45">
      <c r="K724" s="15" t="e">
        <f t="shared" si="86"/>
        <v>#VALUE!</v>
      </c>
      <c r="L724" s="15" t="e">
        <f t="shared" si="87"/>
        <v>#VALUE!</v>
      </c>
      <c r="M724" s="16" t="e">
        <f t="shared" si="88"/>
        <v>#VALUE!</v>
      </c>
      <c r="N724" s="16" t="e">
        <f t="shared" si="84"/>
        <v>#VALUE!</v>
      </c>
      <c r="O724" s="16" t="str">
        <f t="shared" si="85"/>
        <v>Other</v>
      </c>
      <c r="P724" s="16" t="str">
        <f t="shared" si="89"/>
        <v/>
      </c>
      <c r="S724" s="27" t="str">
        <v/>
      </c>
    </row>
    <row r="725" spans="11:19" ht="25.05" customHeight="1" x14ac:dyDescent="0.45">
      <c r="K725" s="15" t="e">
        <f t="shared" si="86"/>
        <v>#VALUE!</v>
      </c>
      <c r="L725" s="15" t="e">
        <f t="shared" si="87"/>
        <v>#VALUE!</v>
      </c>
      <c r="M725" s="16" t="e">
        <f t="shared" si="88"/>
        <v>#VALUE!</v>
      </c>
      <c r="N725" s="16" t="e">
        <f t="shared" si="84"/>
        <v>#VALUE!</v>
      </c>
      <c r="O725" s="16" t="str">
        <f t="shared" si="85"/>
        <v>Other</v>
      </c>
      <c r="P725" s="16" t="str">
        <f t="shared" si="89"/>
        <v/>
      </c>
      <c r="S725" s="27" t="str">
        <v/>
      </c>
    </row>
    <row r="726" spans="11:19" ht="25.05" customHeight="1" x14ac:dyDescent="0.45">
      <c r="K726" s="15" t="e">
        <f t="shared" si="86"/>
        <v>#VALUE!</v>
      </c>
      <c r="L726" s="15" t="e">
        <f t="shared" si="87"/>
        <v>#VALUE!</v>
      </c>
      <c r="M726" s="16" t="e">
        <f t="shared" si="88"/>
        <v>#VALUE!</v>
      </c>
      <c r="N726" s="16" t="e">
        <f t="shared" si="84"/>
        <v>#VALUE!</v>
      </c>
      <c r="O726" s="16" t="str">
        <f t="shared" si="85"/>
        <v>Other</v>
      </c>
      <c r="P726" s="16" t="str">
        <f t="shared" si="89"/>
        <v/>
      </c>
      <c r="S726" s="27" t="str">
        <v/>
      </c>
    </row>
    <row r="727" spans="11:19" ht="25.05" customHeight="1" x14ac:dyDescent="0.45">
      <c r="K727" s="15" t="e">
        <f t="shared" si="86"/>
        <v>#VALUE!</v>
      </c>
      <c r="L727" s="15" t="e">
        <f t="shared" si="87"/>
        <v>#VALUE!</v>
      </c>
      <c r="M727" s="16" t="e">
        <f t="shared" si="88"/>
        <v>#VALUE!</v>
      </c>
      <c r="N727" s="16" t="e">
        <f t="shared" si="84"/>
        <v>#VALUE!</v>
      </c>
      <c r="O727" s="16" t="str">
        <f t="shared" si="85"/>
        <v>Other</v>
      </c>
      <c r="P727" s="16" t="str">
        <f t="shared" si="89"/>
        <v/>
      </c>
      <c r="S727" s="27" t="str">
        <v/>
      </c>
    </row>
    <row r="728" spans="11:19" ht="25.05" customHeight="1" x14ac:dyDescent="0.45">
      <c r="K728" s="15" t="e">
        <f t="shared" si="86"/>
        <v>#VALUE!</v>
      </c>
      <c r="L728" s="15" t="e">
        <f t="shared" si="87"/>
        <v>#VALUE!</v>
      </c>
      <c r="M728" s="16" t="e">
        <f t="shared" si="88"/>
        <v>#VALUE!</v>
      </c>
      <c r="N728" s="16" t="e">
        <f t="shared" si="84"/>
        <v>#VALUE!</v>
      </c>
      <c r="O728" s="16" t="str">
        <f t="shared" si="85"/>
        <v>Other</v>
      </c>
      <c r="P728" s="16" t="str">
        <f t="shared" si="89"/>
        <v/>
      </c>
      <c r="S728" s="27" t="str">
        <v/>
      </c>
    </row>
    <row r="729" spans="11:19" ht="25.05" customHeight="1" x14ac:dyDescent="0.45">
      <c r="K729" s="15" t="e">
        <f t="shared" si="86"/>
        <v>#VALUE!</v>
      </c>
      <c r="L729" s="15" t="e">
        <f t="shared" si="87"/>
        <v>#VALUE!</v>
      </c>
      <c r="M729" s="16" t="e">
        <f t="shared" si="88"/>
        <v>#VALUE!</v>
      </c>
      <c r="N729" s="16" t="e">
        <f t="shared" si="84"/>
        <v>#VALUE!</v>
      </c>
      <c r="O729" s="16" t="str">
        <f t="shared" si="85"/>
        <v>Other</v>
      </c>
      <c r="P729" s="16" t="str">
        <f t="shared" si="89"/>
        <v/>
      </c>
      <c r="S729" s="27" t="str">
        <v/>
      </c>
    </row>
    <row r="730" spans="11:19" ht="25.05" customHeight="1" x14ac:dyDescent="0.45">
      <c r="K730" s="15" t="e">
        <f t="shared" si="86"/>
        <v>#VALUE!</v>
      </c>
      <c r="L730" s="15" t="e">
        <f t="shared" si="87"/>
        <v>#VALUE!</v>
      </c>
      <c r="M730" s="16" t="e">
        <f t="shared" si="88"/>
        <v>#VALUE!</v>
      </c>
      <c r="N730" s="16" t="e">
        <f t="shared" si="84"/>
        <v>#VALUE!</v>
      </c>
      <c r="O730" s="16" t="str">
        <f t="shared" si="85"/>
        <v>Other</v>
      </c>
      <c r="P730" s="16" t="str">
        <f t="shared" si="89"/>
        <v/>
      </c>
      <c r="S730" s="27" t="str">
        <v/>
      </c>
    </row>
    <row r="731" spans="11:19" ht="25.05" customHeight="1" x14ac:dyDescent="0.45">
      <c r="K731" s="15" t="e">
        <f t="shared" si="86"/>
        <v>#VALUE!</v>
      </c>
      <c r="L731" s="15" t="e">
        <f t="shared" si="87"/>
        <v>#VALUE!</v>
      </c>
      <c r="M731" s="16" t="e">
        <f t="shared" si="88"/>
        <v>#VALUE!</v>
      </c>
      <c r="N731" s="16" t="e">
        <f t="shared" si="84"/>
        <v>#VALUE!</v>
      </c>
      <c r="O731" s="16" t="str">
        <f t="shared" si="85"/>
        <v>Other</v>
      </c>
      <c r="P731" s="16" t="str">
        <f t="shared" si="89"/>
        <v/>
      </c>
      <c r="S731" s="27" t="str">
        <v/>
      </c>
    </row>
    <row r="732" spans="11:19" ht="25.05" customHeight="1" x14ac:dyDescent="0.45">
      <c r="K732" s="15" t="e">
        <f t="shared" si="86"/>
        <v>#VALUE!</v>
      </c>
      <c r="L732" s="15" t="e">
        <f t="shared" si="87"/>
        <v>#VALUE!</v>
      </c>
      <c r="M732" s="16" t="e">
        <f t="shared" si="88"/>
        <v>#VALUE!</v>
      </c>
      <c r="N732" s="16" t="e">
        <f t="shared" si="84"/>
        <v>#VALUE!</v>
      </c>
      <c r="O732" s="16" t="str">
        <f t="shared" si="85"/>
        <v>Other</v>
      </c>
      <c r="P732" s="16" t="str">
        <f t="shared" si="89"/>
        <v/>
      </c>
      <c r="S732" s="27" t="str">
        <v/>
      </c>
    </row>
    <row r="733" spans="11:19" ht="25.05" customHeight="1" x14ac:dyDescent="0.45">
      <c r="K733" s="15" t="e">
        <f t="shared" si="86"/>
        <v>#VALUE!</v>
      </c>
      <c r="L733" s="15" t="e">
        <f t="shared" si="87"/>
        <v>#VALUE!</v>
      </c>
      <c r="M733" s="16" t="e">
        <f t="shared" si="88"/>
        <v>#VALUE!</v>
      </c>
      <c r="N733" s="16" t="e">
        <f t="shared" si="84"/>
        <v>#VALUE!</v>
      </c>
      <c r="O733" s="16" t="str">
        <f t="shared" si="85"/>
        <v>Other</v>
      </c>
      <c r="P733" s="16" t="str">
        <f t="shared" si="89"/>
        <v/>
      </c>
      <c r="S733" s="27" t="str">
        <v/>
      </c>
    </row>
    <row r="734" spans="11:19" ht="25.05" customHeight="1" x14ac:dyDescent="0.45">
      <c r="K734" s="15" t="e">
        <f t="shared" si="86"/>
        <v>#VALUE!</v>
      </c>
      <c r="L734" s="15" t="e">
        <f t="shared" si="87"/>
        <v>#VALUE!</v>
      </c>
      <c r="M734" s="16" t="e">
        <f t="shared" si="88"/>
        <v>#VALUE!</v>
      </c>
      <c r="N734" s="16" t="e">
        <f t="shared" si="84"/>
        <v>#VALUE!</v>
      </c>
      <c r="O734" s="16" t="str">
        <f t="shared" si="85"/>
        <v>Other</v>
      </c>
      <c r="P734" s="16" t="str">
        <f t="shared" si="89"/>
        <v/>
      </c>
      <c r="S734" s="27" t="str">
        <v/>
      </c>
    </row>
    <row r="735" spans="11:19" ht="25.05" customHeight="1" x14ac:dyDescent="0.45">
      <c r="K735" s="15" t="e">
        <f t="shared" si="86"/>
        <v>#VALUE!</v>
      </c>
      <c r="L735" s="15" t="e">
        <f t="shared" si="87"/>
        <v>#VALUE!</v>
      </c>
      <c r="M735" s="16" t="e">
        <f t="shared" si="88"/>
        <v>#VALUE!</v>
      </c>
      <c r="N735" s="16" t="e">
        <f t="shared" si="84"/>
        <v>#VALUE!</v>
      </c>
      <c r="O735" s="16" t="str">
        <f t="shared" si="85"/>
        <v>Other</v>
      </c>
      <c r="P735" s="16" t="str">
        <f t="shared" si="89"/>
        <v/>
      </c>
      <c r="S735" s="27" t="str">
        <v/>
      </c>
    </row>
    <row r="736" spans="11:19" ht="25.05" customHeight="1" x14ac:dyDescent="0.45">
      <c r="K736" s="15" t="e">
        <f t="shared" si="86"/>
        <v>#VALUE!</v>
      </c>
      <c r="L736" s="15" t="e">
        <f t="shared" si="87"/>
        <v>#VALUE!</v>
      </c>
      <c r="M736" s="16" t="e">
        <f t="shared" si="88"/>
        <v>#VALUE!</v>
      </c>
      <c r="N736" s="16" t="e">
        <f t="shared" si="84"/>
        <v>#VALUE!</v>
      </c>
      <c r="O736" s="16" t="str">
        <f t="shared" si="85"/>
        <v>Other</v>
      </c>
      <c r="P736" s="16" t="str">
        <f t="shared" si="89"/>
        <v/>
      </c>
      <c r="S736" s="27" t="str">
        <v/>
      </c>
    </row>
    <row r="737" spans="11:19" ht="25.05" customHeight="1" x14ac:dyDescent="0.45">
      <c r="K737" s="15" t="e">
        <f t="shared" si="86"/>
        <v>#VALUE!</v>
      </c>
      <c r="L737" s="15" t="e">
        <f t="shared" si="87"/>
        <v>#VALUE!</v>
      </c>
      <c r="M737" s="16" t="e">
        <f t="shared" si="88"/>
        <v>#VALUE!</v>
      </c>
      <c r="N737" s="16" t="e">
        <f t="shared" si="84"/>
        <v>#VALUE!</v>
      </c>
      <c r="O737" s="16" t="str">
        <f t="shared" si="85"/>
        <v>Other</v>
      </c>
      <c r="P737" s="16" t="str">
        <f t="shared" si="89"/>
        <v/>
      </c>
      <c r="S737" s="27" t="str">
        <v/>
      </c>
    </row>
    <row r="738" spans="11:19" ht="25.05" customHeight="1" x14ac:dyDescent="0.45">
      <c r="K738" s="15" t="e">
        <f t="shared" si="86"/>
        <v>#VALUE!</v>
      </c>
      <c r="L738" s="15" t="e">
        <f t="shared" si="87"/>
        <v>#VALUE!</v>
      </c>
      <c r="M738" s="16" t="e">
        <f t="shared" si="88"/>
        <v>#VALUE!</v>
      </c>
      <c r="N738" s="16" t="e">
        <f t="shared" ref="N738:N801" si="90">K738 &amp; " &lt;&gt; " &amp; L738</f>
        <v>#VALUE!</v>
      </c>
      <c r="O738" s="16" t="str">
        <f t="shared" si="85"/>
        <v>Other</v>
      </c>
      <c r="P738" s="16" t="str">
        <f t="shared" si="89"/>
        <v/>
      </c>
      <c r="S738" s="27" t="str">
        <v/>
      </c>
    </row>
    <row r="739" spans="11:19" ht="25.05" customHeight="1" x14ac:dyDescent="0.45">
      <c r="K739" s="15" t="e">
        <f t="shared" si="86"/>
        <v>#VALUE!</v>
      </c>
      <c r="L739" s="15" t="e">
        <f t="shared" si="87"/>
        <v>#VALUE!</v>
      </c>
      <c r="M739" s="16" t="e">
        <f t="shared" si="88"/>
        <v>#VALUE!</v>
      </c>
      <c r="N739" s="16" t="e">
        <f t="shared" si="90"/>
        <v>#VALUE!</v>
      </c>
      <c r="O739" s="16" t="str">
        <f t="shared" si="85"/>
        <v>Other</v>
      </c>
      <c r="P739" s="16" t="str">
        <f t="shared" si="89"/>
        <v/>
      </c>
      <c r="S739" s="27" t="str">
        <v/>
      </c>
    </row>
    <row r="740" spans="11:19" ht="25.05" customHeight="1" x14ac:dyDescent="0.45">
      <c r="K740" s="15" t="e">
        <f t="shared" si="86"/>
        <v>#VALUE!</v>
      </c>
      <c r="L740" s="15" t="e">
        <f t="shared" si="87"/>
        <v>#VALUE!</v>
      </c>
      <c r="M740" s="16" t="e">
        <f t="shared" si="88"/>
        <v>#VALUE!</v>
      </c>
      <c r="N740" s="16" t="e">
        <f t="shared" si="90"/>
        <v>#VALUE!</v>
      </c>
      <c r="O740" s="16" t="str">
        <f t="shared" si="85"/>
        <v>Other</v>
      </c>
      <c r="P740" s="16" t="str">
        <f t="shared" si="89"/>
        <v/>
      </c>
      <c r="S740" s="27" t="str">
        <v/>
      </c>
    </row>
    <row r="741" spans="11:19" ht="25.05" customHeight="1" x14ac:dyDescent="0.45">
      <c r="K741" s="15" t="e">
        <f t="shared" si="86"/>
        <v>#VALUE!</v>
      </c>
      <c r="L741" s="15" t="e">
        <f t="shared" si="87"/>
        <v>#VALUE!</v>
      </c>
      <c r="M741" s="16" t="e">
        <f t="shared" si="88"/>
        <v>#VALUE!</v>
      </c>
      <c r="N741" s="16" t="e">
        <f t="shared" si="90"/>
        <v>#VALUE!</v>
      </c>
      <c r="O741" s="16" t="str">
        <f t="shared" si="85"/>
        <v>Other</v>
      </c>
      <c r="P741" s="16" t="str">
        <f t="shared" si="89"/>
        <v/>
      </c>
      <c r="S741" s="27" t="str">
        <v/>
      </c>
    </row>
    <row r="742" spans="11:19" ht="25.05" customHeight="1" x14ac:dyDescent="0.45">
      <c r="K742" s="15" t="e">
        <f t="shared" si="86"/>
        <v>#VALUE!</v>
      </c>
      <c r="L742" s="15" t="e">
        <f t="shared" si="87"/>
        <v>#VALUE!</v>
      </c>
      <c r="M742" s="16" t="e">
        <f t="shared" si="88"/>
        <v>#VALUE!</v>
      </c>
      <c r="N742" s="16" t="e">
        <f t="shared" si="90"/>
        <v>#VALUE!</v>
      </c>
      <c r="O742" s="16" t="str">
        <f t="shared" ref="O742:O805" si="91">IF(LEFT(E742, 6)="TenGig", "10G (Ten Gig)", IF(LEFT(E742, 10)="HundredGig", "100G (Hundred Gig)", "Other"))</f>
        <v>Other</v>
      </c>
      <c r="P742" s="16" t="str">
        <f t="shared" si="89"/>
        <v/>
      </c>
      <c r="S742" s="27" t="str">
        <v/>
      </c>
    </row>
    <row r="743" spans="11:19" ht="25.05" customHeight="1" x14ac:dyDescent="0.45">
      <c r="K743" s="15" t="e">
        <f t="shared" ref="K743:K806" si="92">LEFT(A743, FIND("-", A743)-1)</f>
        <v>#VALUE!</v>
      </c>
      <c r="L743" s="15" t="e">
        <f t="shared" si="87"/>
        <v>#VALUE!</v>
      </c>
      <c r="M743" s="16" t="e">
        <f t="shared" si="88"/>
        <v>#VALUE!</v>
      </c>
      <c r="N743" s="16" t="e">
        <f t="shared" si="90"/>
        <v>#VALUE!</v>
      </c>
      <c r="O743" s="16" t="str">
        <f t="shared" si="91"/>
        <v>Other</v>
      </c>
      <c r="P743" s="16" t="str">
        <f t="shared" si="89"/>
        <v/>
      </c>
      <c r="S743" s="27" t="str">
        <v/>
      </c>
    </row>
    <row r="744" spans="11:19" ht="25.05" customHeight="1" x14ac:dyDescent="0.45">
      <c r="K744" s="15" t="e">
        <f t="shared" si="92"/>
        <v>#VALUE!</v>
      </c>
      <c r="L744" s="15" t="e">
        <f t="shared" si="87"/>
        <v>#VALUE!</v>
      </c>
      <c r="M744" s="16" t="e">
        <f t="shared" si="88"/>
        <v>#VALUE!</v>
      </c>
      <c r="N744" s="16" t="e">
        <f t="shared" si="90"/>
        <v>#VALUE!</v>
      </c>
      <c r="O744" s="16" t="str">
        <f t="shared" si="91"/>
        <v>Other</v>
      </c>
      <c r="P744" s="16" t="str">
        <f t="shared" si="89"/>
        <v/>
      </c>
      <c r="S744" s="27" t="str">
        <v/>
      </c>
    </row>
    <row r="745" spans="11:19" ht="25.05" customHeight="1" x14ac:dyDescent="0.45">
      <c r="K745" s="15" t="e">
        <f t="shared" si="92"/>
        <v>#VALUE!</v>
      </c>
      <c r="L745" s="15" t="e">
        <f t="shared" ref="L745:L808" si="93">LEFT(C745, FIND("-", C745)-1)</f>
        <v>#VALUE!</v>
      </c>
      <c r="M745" s="16" t="e">
        <f t="shared" si="88"/>
        <v>#VALUE!</v>
      </c>
      <c r="N745" s="16" t="e">
        <f t="shared" si="90"/>
        <v>#VALUE!</v>
      </c>
      <c r="O745" s="16" t="str">
        <f t="shared" si="91"/>
        <v>Other</v>
      </c>
      <c r="P745" s="16" t="str">
        <f t="shared" si="89"/>
        <v/>
      </c>
      <c r="S745" s="27" t="str">
        <v/>
      </c>
    </row>
    <row r="746" spans="11:19" ht="25.05" customHeight="1" x14ac:dyDescent="0.45">
      <c r="K746" s="15" t="e">
        <f t="shared" si="92"/>
        <v>#VALUE!</v>
      </c>
      <c r="L746" s="15" t="e">
        <f t="shared" si="93"/>
        <v>#VALUE!</v>
      </c>
      <c r="M746" s="16" t="e">
        <f t="shared" si="88"/>
        <v>#VALUE!</v>
      </c>
      <c r="N746" s="16" t="e">
        <f t="shared" si="90"/>
        <v>#VALUE!</v>
      </c>
      <c r="O746" s="16" t="str">
        <f t="shared" si="91"/>
        <v>Other</v>
      </c>
      <c r="P746" s="16" t="str">
        <f t="shared" si="89"/>
        <v/>
      </c>
      <c r="S746" s="27" t="str">
        <v/>
      </c>
    </row>
    <row r="747" spans="11:19" ht="25.05" customHeight="1" x14ac:dyDescent="0.45">
      <c r="K747" s="15" t="e">
        <f t="shared" si="92"/>
        <v>#VALUE!</v>
      </c>
      <c r="L747" s="15" t="e">
        <f t="shared" si="93"/>
        <v>#VALUE!</v>
      </c>
      <c r="M747" s="16" t="e">
        <f t="shared" si="88"/>
        <v>#VALUE!</v>
      </c>
      <c r="N747" s="16" t="e">
        <f t="shared" si="90"/>
        <v>#VALUE!</v>
      </c>
      <c r="O747" s="16" t="str">
        <f t="shared" si="91"/>
        <v>Other</v>
      </c>
      <c r="P747" s="16" t="str">
        <f t="shared" si="89"/>
        <v/>
      </c>
      <c r="S747" s="27" t="str">
        <v/>
      </c>
    </row>
    <row r="748" spans="11:19" ht="25.05" customHeight="1" x14ac:dyDescent="0.45">
      <c r="K748" s="15" t="e">
        <f t="shared" si="92"/>
        <v>#VALUE!</v>
      </c>
      <c r="L748" s="15" t="e">
        <f t="shared" si="93"/>
        <v>#VALUE!</v>
      </c>
      <c r="M748" s="16" t="e">
        <f t="shared" si="88"/>
        <v>#VALUE!</v>
      </c>
      <c r="N748" s="16" t="e">
        <f t="shared" si="90"/>
        <v>#VALUE!</v>
      </c>
      <c r="O748" s="16" t="str">
        <f t="shared" si="91"/>
        <v>Other</v>
      </c>
      <c r="P748" s="16" t="str">
        <f t="shared" si="89"/>
        <v/>
      </c>
      <c r="S748" s="27" t="str">
        <v/>
      </c>
    </row>
    <row r="749" spans="11:19" ht="25.05" customHeight="1" x14ac:dyDescent="0.45">
      <c r="K749" s="15" t="e">
        <f t="shared" si="92"/>
        <v>#VALUE!</v>
      </c>
      <c r="L749" s="15" t="e">
        <f t="shared" si="93"/>
        <v>#VALUE!</v>
      </c>
      <c r="M749" s="16" t="e">
        <f t="shared" si="88"/>
        <v>#VALUE!</v>
      </c>
      <c r="N749" s="16" t="e">
        <f t="shared" si="90"/>
        <v>#VALUE!</v>
      </c>
      <c r="O749" s="16" t="str">
        <f t="shared" si="91"/>
        <v>Other</v>
      </c>
      <c r="P749" s="16" t="str">
        <f t="shared" si="89"/>
        <v/>
      </c>
      <c r="S749" s="27" t="str">
        <v/>
      </c>
    </row>
    <row r="750" spans="11:19" ht="25.05" customHeight="1" x14ac:dyDescent="0.45">
      <c r="K750" s="15" t="e">
        <f t="shared" si="92"/>
        <v>#VALUE!</v>
      </c>
      <c r="L750" s="15" t="e">
        <f t="shared" si="93"/>
        <v>#VALUE!</v>
      </c>
      <c r="M750" s="16" t="e">
        <f t="shared" si="88"/>
        <v>#VALUE!</v>
      </c>
      <c r="N750" s="16" t="e">
        <f t="shared" si="90"/>
        <v>#VALUE!</v>
      </c>
      <c r="O750" s="16" t="str">
        <f t="shared" si="91"/>
        <v>Other</v>
      </c>
      <c r="P750" s="16" t="str">
        <f t="shared" si="89"/>
        <v/>
      </c>
      <c r="S750" s="27" t="str">
        <v/>
      </c>
    </row>
    <row r="751" spans="11:19" ht="25.05" customHeight="1" x14ac:dyDescent="0.45">
      <c r="K751" s="15" t="e">
        <f t="shared" si="92"/>
        <v>#VALUE!</v>
      </c>
      <c r="L751" s="15" t="e">
        <f t="shared" si="93"/>
        <v>#VALUE!</v>
      </c>
      <c r="M751" s="16" t="e">
        <f t="shared" si="88"/>
        <v>#VALUE!</v>
      </c>
      <c r="N751" s="16" t="e">
        <f t="shared" si="90"/>
        <v>#VALUE!</v>
      </c>
      <c r="O751" s="16" t="str">
        <f t="shared" si="91"/>
        <v>Other</v>
      </c>
      <c r="P751" s="16" t="str">
        <f t="shared" si="89"/>
        <v/>
      </c>
      <c r="S751" s="27" t="str">
        <v/>
      </c>
    </row>
    <row r="752" spans="11:19" ht="25.05" customHeight="1" x14ac:dyDescent="0.45">
      <c r="K752" s="15" t="e">
        <f t="shared" si="92"/>
        <v>#VALUE!</v>
      </c>
      <c r="L752" s="15" t="e">
        <f t="shared" si="93"/>
        <v>#VALUE!</v>
      </c>
      <c r="M752" s="16" t="e">
        <f t="shared" si="88"/>
        <v>#VALUE!</v>
      </c>
      <c r="N752" s="16" t="e">
        <f t="shared" si="90"/>
        <v>#VALUE!</v>
      </c>
      <c r="O752" s="16" t="str">
        <f t="shared" si="91"/>
        <v>Other</v>
      </c>
      <c r="P752" s="16" t="str">
        <f t="shared" si="89"/>
        <v/>
      </c>
      <c r="S752" s="27" t="str">
        <v/>
      </c>
    </row>
    <row r="753" spans="11:19" ht="25.05" customHeight="1" x14ac:dyDescent="0.45">
      <c r="K753" s="15" t="e">
        <f t="shared" si="92"/>
        <v>#VALUE!</v>
      </c>
      <c r="L753" s="15" t="e">
        <f t="shared" si="93"/>
        <v>#VALUE!</v>
      </c>
      <c r="M753" s="16" t="e">
        <f t="shared" si="88"/>
        <v>#VALUE!</v>
      </c>
      <c r="N753" s="16" t="e">
        <f t="shared" si="90"/>
        <v>#VALUE!</v>
      </c>
      <c r="O753" s="16" t="str">
        <f t="shared" si="91"/>
        <v>Other</v>
      </c>
      <c r="P753" s="16" t="str">
        <f t="shared" si="89"/>
        <v/>
      </c>
      <c r="S753" s="27" t="str">
        <v/>
      </c>
    </row>
    <row r="754" spans="11:19" ht="25.05" customHeight="1" x14ac:dyDescent="0.45">
      <c r="K754" s="15" t="e">
        <f t="shared" si="92"/>
        <v>#VALUE!</v>
      </c>
      <c r="L754" s="15" t="e">
        <f t="shared" si="93"/>
        <v>#VALUE!</v>
      </c>
      <c r="M754" s="16" t="e">
        <f t="shared" si="88"/>
        <v>#VALUE!</v>
      </c>
      <c r="N754" s="16" t="e">
        <f t="shared" si="90"/>
        <v>#VALUE!</v>
      </c>
      <c r="O754" s="16" t="str">
        <f t="shared" si="91"/>
        <v>Other</v>
      </c>
      <c r="P754" s="16" t="str">
        <f t="shared" si="89"/>
        <v/>
      </c>
      <c r="S754" s="27" t="str">
        <v/>
      </c>
    </row>
    <row r="755" spans="11:19" ht="25.05" customHeight="1" x14ac:dyDescent="0.45">
      <c r="K755" s="15" t="e">
        <f t="shared" si="92"/>
        <v>#VALUE!</v>
      </c>
      <c r="L755" s="15" t="e">
        <f t="shared" si="93"/>
        <v>#VALUE!</v>
      </c>
      <c r="M755" s="16" t="e">
        <f t="shared" si="88"/>
        <v>#VALUE!</v>
      </c>
      <c r="N755" s="16" t="e">
        <f t="shared" si="90"/>
        <v>#VALUE!</v>
      </c>
      <c r="O755" s="16" t="str">
        <f t="shared" si="91"/>
        <v>Other</v>
      </c>
      <c r="P755" s="16" t="str">
        <f t="shared" si="89"/>
        <v/>
      </c>
      <c r="S755" s="27" t="str">
        <v/>
      </c>
    </row>
    <row r="756" spans="11:19" ht="25.05" customHeight="1" x14ac:dyDescent="0.45">
      <c r="K756" s="15" t="e">
        <f t="shared" si="92"/>
        <v>#VALUE!</v>
      </c>
      <c r="L756" s="15" t="e">
        <f t="shared" si="93"/>
        <v>#VALUE!</v>
      </c>
      <c r="M756" s="16" t="e">
        <f t="shared" si="88"/>
        <v>#VALUE!</v>
      </c>
      <c r="N756" s="16" t="e">
        <f t="shared" si="90"/>
        <v>#VALUE!</v>
      </c>
      <c r="O756" s="16" t="str">
        <f t="shared" si="91"/>
        <v>Other</v>
      </c>
      <c r="P756" s="16" t="str">
        <f t="shared" si="89"/>
        <v/>
      </c>
      <c r="S756" s="27" t="str">
        <v/>
      </c>
    </row>
    <row r="757" spans="11:19" ht="25.05" customHeight="1" x14ac:dyDescent="0.45">
      <c r="K757" s="15" t="e">
        <f t="shared" si="92"/>
        <v>#VALUE!</v>
      </c>
      <c r="L757" s="15" t="e">
        <f t="shared" si="93"/>
        <v>#VALUE!</v>
      </c>
      <c r="M757" s="16" t="e">
        <f t="shared" si="88"/>
        <v>#VALUE!</v>
      </c>
      <c r="N757" s="16" t="e">
        <f t="shared" si="90"/>
        <v>#VALUE!</v>
      </c>
      <c r="O757" s="16" t="str">
        <f t="shared" si="91"/>
        <v>Other</v>
      </c>
      <c r="P757" s="16" t="str">
        <f t="shared" si="89"/>
        <v/>
      </c>
      <c r="S757" s="27" t="str">
        <v/>
      </c>
    </row>
    <row r="758" spans="11:19" ht="25.05" customHeight="1" x14ac:dyDescent="0.45">
      <c r="K758" s="15" t="e">
        <f t="shared" si="92"/>
        <v>#VALUE!</v>
      </c>
      <c r="L758" s="15" t="e">
        <f t="shared" si="93"/>
        <v>#VALUE!</v>
      </c>
      <c r="M758" s="16" t="e">
        <f t="shared" si="88"/>
        <v>#VALUE!</v>
      </c>
      <c r="N758" s="16" t="e">
        <f t="shared" si="90"/>
        <v>#VALUE!</v>
      </c>
      <c r="O758" s="16" t="str">
        <f t="shared" si="91"/>
        <v>Other</v>
      </c>
      <c r="P758" s="16" t="str">
        <f t="shared" si="89"/>
        <v/>
      </c>
      <c r="S758" s="27" t="str">
        <v/>
      </c>
    </row>
    <row r="759" spans="11:19" ht="25.05" customHeight="1" x14ac:dyDescent="0.45">
      <c r="K759" s="15" t="e">
        <f t="shared" si="92"/>
        <v>#VALUE!</v>
      </c>
      <c r="L759" s="15" t="e">
        <f t="shared" si="93"/>
        <v>#VALUE!</v>
      </c>
      <c r="M759" s="16" t="e">
        <f t="shared" si="88"/>
        <v>#VALUE!</v>
      </c>
      <c r="N759" s="16" t="e">
        <f t="shared" si="90"/>
        <v>#VALUE!</v>
      </c>
      <c r="O759" s="16" t="str">
        <f t="shared" si="91"/>
        <v>Other</v>
      </c>
      <c r="P759" s="16" t="str">
        <f t="shared" si="89"/>
        <v/>
      </c>
      <c r="S759" s="27" t="str">
        <v/>
      </c>
    </row>
    <row r="760" spans="11:19" ht="25.05" customHeight="1" x14ac:dyDescent="0.45">
      <c r="K760" s="15" t="e">
        <f t="shared" si="92"/>
        <v>#VALUE!</v>
      </c>
      <c r="L760" s="15" t="e">
        <f t="shared" si="93"/>
        <v>#VALUE!</v>
      </c>
      <c r="M760" s="16" t="e">
        <f t="shared" si="88"/>
        <v>#VALUE!</v>
      </c>
      <c r="N760" s="16" t="e">
        <f t="shared" si="90"/>
        <v>#VALUE!</v>
      </c>
      <c r="O760" s="16" t="str">
        <f t="shared" si="91"/>
        <v>Other</v>
      </c>
      <c r="P760" s="16" t="str">
        <f t="shared" si="89"/>
        <v/>
      </c>
      <c r="S760" s="27" t="str">
        <v/>
      </c>
    </row>
    <row r="761" spans="11:19" ht="25.05" customHeight="1" x14ac:dyDescent="0.45">
      <c r="K761" s="15" t="e">
        <f t="shared" si="92"/>
        <v>#VALUE!</v>
      </c>
      <c r="L761" s="15" t="e">
        <f t="shared" si="93"/>
        <v>#VALUE!</v>
      </c>
      <c r="M761" s="16" t="e">
        <f t="shared" si="88"/>
        <v>#VALUE!</v>
      </c>
      <c r="N761" s="16" t="e">
        <f t="shared" si="90"/>
        <v>#VALUE!</v>
      </c>
      <c r="O761" s="16" t="str">
        <f t="shared" si="91"/>
        <v>Other</v>
      </c>
      <c r="P761" s="16" t="str">
        <f t="shared" si="89"/>
        <v/>
      </c>
      <c r="S761" s="27" t="str">
        <v/>
      </c>
    </row>
    <row r="762" spans="11:19" ht="25.05" customHeight="1" x14ac:dyDescent="0.45">
      <c r="K762" s="15" t="e">
        <f t="shared" si="92"/>
        <v>#VALUE!</v>
      </c>
      <c r="L762" s="15" t="e">
        <f t="shared" si="93"/>
        <v>#VALUE!</v>
      </c>
      <c r="M762" s="16" t="e">
        <f t="shared" si="88"/>
        <v>#VALUE!</v>
      </c>
      <c r="N762" s="16" t="e">
        <f t="shared" si="90"/>
        <v>#VALUE!</v>
      </c>
      <c r="O762" s="16" t="str">
        <f t="shared" si="91"/>
        <v>Other</v>
      </c>
      <c r="P762" s="16" t="str">
        <f t="shared" si="89"/>
        <v/>
      </c>
      <c r="S762" s="27" t="str">
        <v/>
      </c>
    </row>
    <row r="763" spans="11:19" ht="25.05" customHeight="1" x14ac:dyDescent="0.45">
      <c r="K763" s="15" t="e">
        <f t="shared" si="92"/>
        <v>#VALUE!</v>
      </c>
      <c r="L763" s="15" t="e">
        <f t="shared" si="93"/>
        <v>#VALUE!</v>
      </c>
      <c r="M763" s="16" t="e">
        <f t="shared" si="88"/>
        <v>#VALUE!</v>
      </c>
      <c r="N763" s="16" t="e">
        <f t="shared" si="90"/>
        <v>#VALUE!</v>
      </c>
      <c r="O763" s="16" t="str">
        <f t="shared" si="91"/>
        <v>Other</v>
      </c>
      <c r="P763" s="16" t="str">
        <f t="shared" si="89"/>
        <v/>
      </c>
      <c r="S763" s="27" t="str">
        <v/>
      </c>
    </row>
    <row r="764" spans="11:19" ht="25.05" customHeight="1" x14ac:dyDescent="0.45">
      <c r="K764" s="15" t="e">
        <f t="shared" si="92"/>
        <v>#VALUE!</v>
      </c>
      <c r="L764" s="15" t="e">
        <f t="shared" si="93"/>
        <v>#VALUE!</v>
      </c>
      <c r="M764" s="16" t="e">
        <f t="shared" si="88"/>
        <v>#VALUE!</v>
      </c>
      <c r="N764" s="16" t="e">
        <f t="shared" si="90"/>
        <v>#VALUE!</v>
      </c>
      <c r="O764" s="16" t="str">
        <f t="shared" si="91"/>
        <v>Other</v>
      </c>
      <c r="P764" s="16" t="str">
        <f t="shared" si="89"/>
        <v/>
      </c>
      <c r="S764" s="27" t="str">
        <v/>
      </c>
    </row>
    <row r="765" spans="11:19" ht="25.05" customHeight="1" x14ac:dyDescent="0.45">
      <c r="K765" s="15" t="e">
        <f t="shared" si="92"/>
        <v>#VALUE!</v>
      </c>
      <c r="L765" s="15" t="e">
        <f t="shared" si="93"/>
        <v>#VALUE!</v>
      </c>
      <c r="M765" s="16" t="e">
        <f t="shared" si="88"/>
        <v>#VALUE!</v>
      </c>
      <c r="N765" s="16" t="e">
        <f t="shared" si="90"/>
        <v>#VALUE!</v>
      </c>
      <c r="O765" s="16" t="str">
        <f t="shared" si="91"/>
        <v>Other</v>
      </c>
      <c r="P765" s="16" t="str">
        <f t="shared" si="89"/>
        <v/>
      </c>
      <c r="S765" s="27" t="str">
        <v/>
      </c>
    </row>
    <row r="766" spans="11:19" ht="25.05" customHeight="1" x14ac:dyDescent="0.45">
      <c r="K766" s="15" t="e">
        <f t="shared" si="92"/>
        <v>#VALUE!</v>
      </c>
      <c r="L766" s="15" t="e">
        <f t="shared" si="93"/>
        <v>#VALUE!</v>
      </c>
      <c r="M766" s="16" t="e">
        <f t="shared" si="88"/>
        <v>#VALUE!</v>
      </c>
      <c r="N766" s="16" t="e">
        <f t="shared" si="90"/>
        <v>#VALUE!</v>
      </c>
      <c r="O766" s="16" t="str">
        <f t="shared" si="91"/>
        <v>Other</v>
      </c>
      <c r="P766" s="16" t="str">
        <f t="shared" si="89"/>
        <v/>
      </c>
      <c r="S766" s="27" t="str">
        <v/>
      </c>
    </row>
    <row r="767" spans="11:19" ht="25.05" customHeight="1" x14ac:dyDescent="0.45">
      <c r="K767" s="15" t="e">
        <f t="shared" si="92"/>
        <v>#VALUE!</v>
      </c>
      <c r="L767" s="15" t="e">
        <f t="shared" si="93"/>
        <v>#VALUE!</v>
      </c>
      <c r="M767" s="16" t="e">
        <f t="shared" si="88"/>
        <v>#VALUE!</v>
      </c>
      <c r="N767" s="16" t="e">
        <f t="shared" si="90"/>
        <v>#VALUE!</v>
      </c>
      <c r="O767" s="16" t="str">
        <f t="shared" si="91"/>
        <v>Other</v>
      </c>
      <c r="P767" s="16" t="str">
        <f t="shared" si="89"/>
        <v/>
      </c>
      <c r="S767" s="27" t="str">
        <v/>
      </c>
    </row>
    <row r="768" spans="11:19" ht="25.05" customHeight="1" x14ac:dyDescent="0.45">
      <c r="K768" s="15" t="e">
        <f t="shared" si="92"/>
        <v>#VALUE!</v>
      </c>
      <c r="L768" s="15" t="e">
        <f t="shared" si="93"/>
        <v>#VALUE!</v>
      </c>
      <c r="M768" s="16" t="e">
        <f t="shared" si="88"/>
        <v>#VALUE!</v>
      </c>
      <c r="N768" s="16" t="e">
        <f t="shared" si="90"/>
        <v>#VALUE!</v>
      </c>
      <c r="O768" s="16" t="str">
        <f t="shared" si="91"/>
        <v>Other</v>
      </c>
      <c r="P768" s="16" t="str">
        <f t="shared" si="89"/>
        <v/>
      </c>
      <c r="S768" s="27" t="str">
        <v/>
      </c>
    </row>
    <row r="769" spans="11:19" ht="25.05" customHeight="1" x14ac:dyDescent="0.45">
      <c r="K769" s="15" t="e">
        <f t="shared" si="92"/>
        <v>#VALUE!</v>
      </c>
      <c r="L769" s="15" t="e">
        <f t="shared" si="93"/>
        <v>#VALUE!</v>
      </c>
      <c r="M769" s="16" t="e">
        <f t="shared" si="88"/>
        <v>#VALUE!</v>
      </c>
      <c r="N769" s="16" t="e">
        <f t="shared" si="90"/>
        <v>#VALUE!</v>
      </c>
      <c r="O769" s="16" t="str">
        <f t="shared" si="91"/>
        <v>Other</v>
      </c>
      <c r="P769" s="16" t="str">
        <f t="shared" si="89"/>
        <v/>
      </c>
      <c r="S769" s="27" t="str">
        <v/>
      </c>
    </row>
    <row r="770" spans="11:19" ht="25.05" customHeight="1" x14ac:dyDescent="0.45">
      <c r="K770" s="15" t="e">
        <f t="shared" si="92"/>
        <v>#VALUE!</v>
      </c>
      <c r="L770" s="15" t="e">
        <f t="shared" si="93"/>
        <v>#VALUE!</v>
      </c>
      <c r="M770" s="16" t="e">
        <f t="shared" ref="M770:M833" si="94">MID(G770,FIND("LR-",G770)+3,FIND("-",G770,FIND("LR-",G770)+3)-FIND("LR-",G770)-3)</f>
        <v>#VALUE!</v>
      </c>
      <c r="N770" s="16" t="e">
        <f t="shared" si="90"/>
        <v>#VALUE!</v>
      </c>
      <c r="O770" s="16" t="str">
        <f t="shared" si="91"/>
        <v>Other</v>
      </c>
      <c r="P770" s="16" t="str">
        <f t="shared" ref="P770:P833" si="95">IF(S770&lt;&gt;"",IF(LEFT(S770,FIND(" &lt;&gt; ",S770)-1) &lt; MID(S770,FIND(" &lt;&gt; ",S770)+4,LEN(S770)),LEFT(S770,FIND(" &lt;&gt; ",S770)-1) &amp; " &lt;&gt; " &amp; MID(S770,FIND(" &lt;&gt; ",S770)+4,LEN(S770)),MID(S770,FIND(" &lt;&gt; ",S770)+4,LEN(S770)) &amp; " &lt;&gt; " &amp; LEFT(S770,FIND(" &lt;&gt; ",S770)-1)),"")</f>
        <v/>
      </c>
      <c r="S770" s="27" t="str">
        <v/>
      </c>
    </row>
    <row r="771" spans="11:19" ht="25.05" customHeight="1" x14ac:dyDescent="0.45">
      <c r="K771" s="15" t="e">
        <f t="shared" si="92"/>
        <v>#VALUE!</v>
      </c>
      <c r="L771" s="15" t="e">
        <f t="shared" si="93"/>
        <v>#VALUE!</v>
      </c>
      <c r="M771" s="16" t="e">
        <f t="shared" si="94"/>
        <v>#VALUE!</v>
      </c>
      <c r="N771" s="16" t="e">
        <f t="shared" si="90"/>
        <v>#VALUE!</v>
      </c>
      <c r="O771" s="16" t="str">
        <f t="shared" si="91"/>
        <v>Other</v>
      </c>
      <c r="P771" s="16" t="str">
        <f t="shared" si="95"/>
        <v/>
      </c>
      <c r="S771" s="27" t="str">
        <v/>
      </c>
    </row>
    <row r="772" spans="11:19" ht="25.05" customHeight="1" x14ac:dyDescent="0.45">
      <c r="K772" s="15" t="e">
        <f t="shared" si="92"/>
        <v>#VALUE!</v>
      </c>
      <c r="L772" s="15" t="e">
        <f t="shared" si="93"/>
        <v>#VALUE!</v>
      </c>
      <c r="M772" s="16" t="e">
        <f t="shared" si="94"/>
        <v>#VALUE!</v>
      </c>
      <c r="N772" s="16" t="e">
        <f t="shared" si="90"/>
        <v>#VALUE!</v>
      </c>
      <c r="O772" s="16" t="str">
        <f t="shared" si="91"/>
        <v>Other</v>
      </c>
      <c r="P772" s="16" t="str">
        <f t="shared" si="95"/>
        <v/>
      </c>
      <c r="S772" s="27" t="str">
        <v/>
      </c>
    </row>
    <row r="773" spans="11:19" ht="25.05" customHeight="1" x14ac:dyDescent="0.45">
      <c r="K773" s="15" t="e">
        <f t="shared" si="92"/>
        <v>#VALUE!</v>
      </c>
      <c r="L773" s="15" t="e">
        <f t="shared" si="93"/>
        <v>#VALUE!</v>
      </c>
      <c r="M773" s="16" t="e">
        <f t="shared" si="94"/>
        <v>#VALUE!</v>
      </c>
      <c r="N773" s="16" t="e">
        <f t="shared" si="90"/>
        <v>#VALUE!</v>
      </c>
      <c r="O773" s="16" t="str">
        <f t="shared" si="91"/>
        <v>Other</v>
      </c>
      <c r="P773" s="16" t="str">
        <f t="shared" si="95"/>
        <v/>
      </c>
      <c r="S773" s="27" t="str">
        <v/>
      </c>
    </row>
    <row r="774" spans="11:19" ht="25.05" customHeight="1" x14ac:dyDescent="0.45">
      <c r="K774" s="15" t="e">
        <f t="shared" si="92"/>
        <v>#VALUE!</v>
      </c>
      <c r="L774" s="15" t="e">
        <f t="shared" si="93"/>
        <v>#VALUE!</v>
      </c>
      <c r="M774" s="16" t="e">
        <f t="shared" si="94"/>
        <v>#VALUE!</v>
      </c>
      <c r="N774" s="16" t="e">
        <f t="shared" si="90"/>
        <v>#VALUE!</v>
      </c>
      <c r="O774" s="16" t="str">
        <f t="shared" si="91"/>
        <v>Other</v>
      </c>
      <c r="P774" s="16" t="str">
        <f t="shared" si="95"/>
        <v/>
      </c>
      <c r="S774" s="27" t="str">
        <v/>
      </c>
    </row>
    <row r="775" spans="11:19" ht="25.05" customHeight="1" x14ac:dyDescent="0.45">
      <c r="K775" s="15" t="e">
        <f t="shared" si="92"/>
        <v>#VALUE!</v>
      </c>
      <c r="L775" s="15" t="e">
        <f t="shared" si="93"/>
        <v>#VALUE!</v>
      </c>
      <c r="M775" s="16" t="e">
        <f t="shared" si="94"/>
        <v>#VALUE!</v>
      </c>
      <c r="N775" s="16" t="e">
        <f t="shared" si="90"/>
        <v>#VALUE!</v>
      </c>
      <c r="O775" s="16" t="str">
        <f t="shared" si="91"/>
        <v>Other</v>
      </c>
      <c r="P775" s="16" t="str">
        <f t="shared" si="95"/>
        <v/>
      </c>
      <c r="S775" s="27" t="str">
        <v/>
      </c>
    </row>
    <row r="776" spans="11:19" ht="25.05" customHeight="1" x14ac:dyDescent="0.45">
      <c r="K776" s="15" t="e">
        <f t="shared" si="92"/>
        <v>#VALUE!</v>
      </c>
      <c r="L776" s="15" t="e">
        <f t="shared" si="93"/>
        <v>#VALUE!</v>
      </c>
      <c r="M776" s="16" t="e">
        <f t="shared" si="94"/>
        <v>#VALUE!</v>
      </c>
      <c r="N776" s="16" t="e">
        <f t="shared" si="90"/>
        <v>#VALUE!</v>
      </c>
      <c r="O776" s="16" t="str">
        <f t="shared" si="91"/>
        <v>Other</v>
      </c>
      <c r="P776" s="16" t="str">
        <f t="shared" si="95"/>
        <v/>
      </c>
      <c r="S776" s="27" t="str">
        <v/>
      </c>
    </row>
    <row r="777" spans="11:19" ht="25.05" customHeight="1" x14ac:dyDescent="0.45">
      <c r="K777" s="15" t="e">
        <f t="shared" si="92"/>
        <v>#VALUE!</v>
      </c>
      <c r="L777" s="15" t="e">
        <f t="shared" si="93"/>
        <v>#VALUE!</v>
      </c>
      <c r="M777" s="16" t="e">
        <f t="shared" si="94"/>
        <v>#VALUE!</v>
      </c>
      <c r="N777" s="16" t="e">
        <f t="shared" si="90"/>
        <v>#VALUE!</v>
      </c>
      <c r="O777" s="16" t="str">
        <f t="shared" si="91"/>
        <v>Other</v>
      </c>
      <c r="P777" s="16" t="str">
        <f t="shared" si="95"/>
        <v/>
      </c>
      <c r="S777" s="27" t="str">
        <v/>
      </c>
    </row>
    <row r="778" spans="11:19" ht="25.05" customHeight="1" x14ac:dyDescent="0.45">
      <c r="K778" s="15" t="e">
        <f t="shared" si="92"/>
        <v>#VALUE!</v>
      </c>
      <c r="L778" s="15" t="e">
        <f t="shared" si="93"/>
        <v>#VALUE!</v>
      </c>
      <c r="M778" s="16" t="e">
        <f t="shared" si="94"/>
        <v>#VALUE!</v>
      </c>
      <c r="N778" s="16" t="e">
        <f t="shared" si="90"/>
        <v>#VALUE!</v>
      </c>
      <c r="O778" s="16" t="str">
        <f t="shared" si="91"/>
        <v>Other</v>
      </c>
      <c r="P778" s="16" t="str">
        <f t="shared" si="95"/>
        <v/>
      </c>
      <c r="S778" s="27" t="str">
        <v/>
      </c>
    </row>
    <row r="779" spans="11:19" ht="25.05" customHeight="1" x14ac:dyDescent="0.45">
      <c r="K779" s="15" t="e">
        <f t="shared" si="92"/>
        <v>#VALUE!</v>
      </c>
      <c r="L779" s="15" t="e">
        <f t="shared" si="93"/>
        <v>#VALUE!</v>
      </c>
      <c r="M779" s="16" t="e">
        <f t="shared" si="94"/>
        <v>#VALUE!</v>
      </c>
      <c r="N779" s="16" t="e">
        <f t="shared" si="90"/>
        <v>#VALUE!</v>
      </c>
      <c r="O779" s="16" t="str">
        <f t="shared" si="91"/>
        <v>Other</v>
      </c>
      <c r="P779" s="16" t="str">
        <f t="shared" si="95"/>
        <v/>
      </c>
      <c r="S779" s="27" t="str">
        <v/>
      </c>
    </row>
    <row r="780" spans="11:19" ht="25.05" customHeight="1" x14ac:dyDescent="0.45">
      <c r="K780" s="15" t="e">
        <f t="shared" si="92"/>
        <v>#VALUE!</v>
      </c>
      <c r="L780" s="15" t="e">
        <f t="shared" si="93"/>
        <v>#VALUE!</v>
      </c>
      <c r="M780" s="16" t="e">
        <f t="shared" si="94"/>
        <v>#VALUE!</v>
      </c>
      <c r="N780" s="16" t="e">
        <f t="shared" si="90"/>
        <v>#VALUE!</v>
      </c>
      <c r="O780" s="16" t="str">
        <f t="shared" si="91"/>
        <v>Other</v>
      </c>
      <c r="P780" s="16" t="str">
        <f t="shared" si="95"/>
        <v/>
      </c>
      <c r="S780" s="27" t="str">
        <v/>
      </c>
    </row>
    <row r="781" spans="11:19" ht="25.05" customHeight="1" x14ac:dyDescent="0.45">
      <c r="K781" s="15" t="e">
        <f t="shared" si="92"/>
        <v>#VALUE!</v>
      </c>
      <c r="L781" s="15" t="e">
        <f t="shared" si="93"/>
        <v>#VALUE!</v>
      </c>
      <c r="M781" s="16" t="e">
        <f t="shared" si="94"/>
        <v>#VALUE!</v>
      </c>
      <c r="N781" s="16" t="e">
        <f t="shared" si="90"/>
        <v>#VALUE!</v>
      </c>
      <c r="O781" s="16" t="str">
        <f t="shared" si="91"/>
        <v>Other</v>
      </c>
      <c r="P781" s="16" t="str">
        <f t="shared" si="95"/>
        <v/>
      </c>
      <c r="S781" s="27" t="str">
        <v/>
      </c>
    </row>
    <row r="782" spans="11:19" ht="25.05" customHeight="1" x14ac:dyDescent="0.45">
      <c r="K782" s="15" t="e">
        <f t="shared" si="92"/>
        <v>#VALUE!</v>
      </c>
      <c r="L782" s="15" t="e">
        <f t="shared" si="93"/>
        <v>#VALUE!</v>
      </c>
      <c r="M782" s="16" t="e">
        <f t="shared" si="94"/>
        <v>#VALUE!</v>
      </c>
      <c r="N782" s="16" t="e">
        <f t="shared" si="90"/>
        <v>#VALUE!</v>
      </c>
      <c r="O782" s="16" t="str">
        <f t="shared" si="91"/>
        <v>Other</v>
      </c>
      <c r="P782" s="16" t="str">
        <f t="shared" si="95"/>
        <v/>
      </c>
      <c r="S782" s="27" t="str">
        <v/>
      </c>
    </row>
    <row r="783" spans="11:19" ht="25.05" customHeight="1" x14ac:dyDescent="0.45">
      <c r="K783" s="15" t="e">
        <f t="shared" si="92"/>
        <v>#VALUE!</v>
      </c>
      <c r="L783" s="15" t="e">
        <f t="shared" si="93"/>
        <v>#VALUE!</v>
      </c>
      <c r="M783" s="16" t="e">
        <f t="shared" si="94"/>
        <v>#VALUE!</v>
      </c>
      <c r="N783" s="16" t="e">
        <f t="shared" si="90"/>
        <v>#VALUE!</v>
      </c>
      <c r="O783" s="16" t="str">
        <f t="shared" si="91"/>
        <v>Other</v>
      </c>
      <c r="P783" s="16" t="str">
        <f t="shared" si="95"/>
        <v/>
      </c>
      <c r="S783" s="27" t="str">
        <v/>
      </c>
    </row>
    <row r="784" spans="11:19" ht="25.05" customHeight="1" x14ac:dyDescent="0.45">
      <c r="K784" s="15" t="e">
        <f t="shared" si="92"/>
        <v>#VALUE!</v>
      </c>
      <c r="L784" s="15" t="e">
        <f t="shared" si="93"/>
        <v>#VALUE!</v>
      </c>
      <c r="M784" s="16" t="e">
        <f t="shared" si="94"/>
        <v>#VALUE!</v>
      </c>
      <c r="N784" s="16" t="e">
        <f t="shared" si="90"/>
        <v>#VALUE!</v>
      </c>
      <c r="O784" s="16" t="str">
        <f t="shared" si="91"/>
        <v>Other</v>
      </c>
      <c r="P784" s="16" t="str">
        <f t="shared" si="95"/>
        <v/>
      </c>
      <c r="S784" s="27" t="str">
        <v/>
      </c>
    </row>
    <row r="785" spans="11:19" ht="25.05" customHeight="1" x14ac:dyDescent="0.45">
      <c r="K785" s="15" t="e">
        <f t="shared" si="92"/>
        <v>#VALUE!</v>
      </c>
      <c r="L785" s="15" t="e">
        <f t="shared" si="93"/>
        <v>#VALUE!</v>
      </c>
      <c r="M785" s="16" t="e">
        <f t="shared" si="94"/>
        <v>#VALUE!</v>
      </c>
      <c r="N785" s="16" t="e">
        <f t="shared" si="90"/>
        <v>#VALUE!</v>
      </c>
      <c r="O785" s="16" t="str">
        <f t="shared" si="91"/>
        <v>Other</v>
      </c>
      <c r="P785" s="16" t="str">
        <f t="shared" si="95"/>
        <v/>
      </c>
      <c r="S785" s="27" t="str">
        <v/>
      </c>
    </row>
    <row r="786" spans="11:19" ht="25.05" customHeight="1" x14ac:dyDescent="0.45">
      <c r="K786" s="15" t="e">
        <f t="shared" si="92"/>
        <v>#VALUE!</v>
      </c>
      <c r="L786" s="15" t="e">
        <f t="shared" si="93"/>
        <v>#VALUE!</v>
      </c>
      <c r="M786" s="16" t="e">
        <f t="shared" si="94"/>
        <v>#VALUE!</v>
      </c>
      <c r="N786" s="16" t="e">
        <f t="shared" si="90"/>
        <v>#VALUE!</v>
      </c>
      <c r="O786" s="16" t="str">
        <f t="shared" si="91"/>
        <v>Other</v>
      </c>
      <c r="P786" s="16" t="str">
        <f t="shared" si="95"/>
        <v/>
      </c>
      <c r="S786" s="27" t="str">
        <v/>
      </c>
    </row>
    <row r="787" spans="11:19" ht="25.05" customHeight="1" x14ac:dyDescent="0.45">
      <c r="K787" s="15" t="e">
        <f t="shared" si="92"/>
        <v>#VALUE!</v>
      </c>
      <c r="L787" s="15" t="e">
        <f t="shared" si="93"/>
        <v>#VALUE!</v>
      </c>
      <c r="M787" s="16" t="e">
        <f t="shared" si="94"/>
        <v>#VALUE!</v>
      </c>
      <c r="N787" s="16" t="e">
        <f t="shared" si="90"/>
        <v>#VALUE!</v>
      </c>
      <c r="O787" s="16" t="str">
        <f t="shared" si="91"/>
        <v>Other</v>
      </c>
      <c r="P787" s="16" t="str">
        <f t="shared" si="95"/>
        <v/>
      </c>
      <c r="S787" s="27" t="str">
        <v/>
      </c>
    </row>
    <row r="788" spans="11:19" ht="25.05" customHeight="1" x14ac:dyDescent="0.45">
      <c r="K788" s="15" t="e">
        <f t="shared" si="92"/>
        <v>#VALUE!</v>
      </c>
      <c r="L788" s="15" t="e">
        <f t="shared" si="93"/>
        <v>#VALUE!</v>
      </c>
      <c r="M788" s="16" t="e">
        <f t="shared" si="94"/>
        <v>#VALUE!</v>
      </c>
      <c r="N788" s="16" t="e">
        <f t="shared" si="90"/>
        <v>#VALUE!</v>
      </c>
      <c r="O788" s="16" t="str">
        <f t="shared" si="91"/>
        <v>Other</v>
      </c>
      <c r="P788" s="16" t="str">
        <f t="shared" si="95"/>
        <v/>
      </c>
      <c r="S788" s="27" t="str">
        <v/>
      </c>
    </row>
    <row r="789" spans="11:19" ht="25.05" customHeight="1" x14ac:dyDescent="0.45">
      <c r="K789" s="15" t="e">
        <f t="shared" si="92"/>
        <v>#VALUE!</v>
      </c>
      <c r="L789" s="15" t="e">
        <f t="shared" si="93"/>
        <v>#VALUE!</v>
      </c>
      <c r="M789" s="16" t="e">
        <f t="shared" si="94"/>
        <v>#VALUE!</v>
      </c>
      <c r="N789" s="16" t="e">
        <f t="shared" si="90"/>
        <v>#VALUE!</v>
      </c>
      <c r="O789" s="16" t="str">
        <f t="shared" si="91"/>
        <v>Other</v>
      </c>
      <c r="P789" s="16" t="str">
        <f t="shared" si="95"/>
        <v/>
      </c>
      <c r="S789" s="27" t="str">
        <v/>
      </c>
    </row>
    <row r="790" spans="11:19" ht="25.05" customHeight="1" x14ac:dyDescent="0.45">
      <c r="K790" s="15" t="e">
        <f t="shared" si="92"/>
        <v>#VALUE!</v>
      </c>
      <c r="L790" s="15" t="e">
        <f t="shared" si="93"/>
        <v>#VALUE!</v>
      </c>
      <c r="M790" s="16" t="e">
        <f t="shared" si="94"/>
        <v>#VALUE!</v>
      </c>
      <c r="N790" s="16" t="e">
        <f t="shared" si="90"/>
        <v>#VALUE!</v>
      </c>
      <c r="O790" s="16" t="str">
        <f t="shared" si="91"/>
        <v>Other</v>
      </c>
      <c r="P790" s="16" t="str">
        <f t="shared" si="95"/>
        <v/>
      </c>
      <c r="S790" s="27" t="str">
        <v/>
      </c>
    </row>
    <row r="791" spans="11:19" ht="25.05" customHeight="1" x14ac:dyDescent="0.45">
      <c r="K791" s="15" t="e">
        <f t="shared" si="92"/>
        <v>#VALUE!</v>
      </c>
      <c r="L791" s="15" t="e">
        <f t="shared" si="93"/>
        <v>#VALUE!</v>
      </c>
      <c r="M791" s="16" t="e">
        <f t="shared" si="94"/>
        <v>#VALUE!</v>
      </c>
      <c r="N791" s="16" t="e">
        <f t="shared" si="90"/>
        <v>#VALUE!</v>
      </c>
      <c r="O791" s="16" t="str">
        <f t="shared" si="91"/>
        <v>Other</v>
      </c>
      <c r="P791" s="16" t="str">
        <f t="shared" si="95"/>
        <v/>
      </c>
      <c r="S791" s="27" t="str">
        <v/>
      </c>
    </row>
    <row r="792" spans="11:19" ht="25.05" customHeight="1" x14ac:dyDescent="0.45">
      <c r="K792" s="15" t="e">
        <f t="shared" si="92"/>
        <v>#VALUE!</v>
      </c>
      <c r="L792" s="15" t="e">
        <f t="shared" si="93"/>
        <v>#VALUE!</v>
      </c>
      <c r="M792" s="16" t="e">
        <f t="shared" si="94"/>
        <v>#VALUE!</v>
      </c>
      <c r="N792" s="16" t="e">
        <f t="shared" si="90"/>
        <v>#VALUE!</v>
      </c>
      <c r="O792" s="16" t="str">
        <f t="shared" si="91"/>
        <v>Other</v>
      </c>
      <c r="P792" s="16" t="str">
        <f t="shared" si="95"/>
        <v/>
      </c>
      <c r="S792" s="27" t="str">
        <v/>
      </c>
    </row>
    <row r="793" spans="11:19" ht="25.05" customHeight="1" x14ac:dyDescent="0.45">
      <c r="K793" s="15" t="e">
        <f t="shared" si="92"/>
        <v>#VALUE!</v>
      </c>
      <c r="L793" s="15" t="e">
        <f t="shared" si="93"/>
        <v>#VALUE!</v>
      </c>
      <c r="M793" s="16" t="e">
        <f t="shared" si="94"/>
        <v>#VALUE!</v>
      </c>
      <c r="N793" s="16" t="e">
        <f t="shared" si="90"/>
        <v>#VALUE!</v>
      </c>
      <c r="O793" s="16" t="str">
        <f t="shared" si="91"/>
        <v>Other</v>
      </c>
      <c r="P793" s="16" t="str">
        <f t="shared" si="95"/>
        <v/>
      </c>
      <c r="S793" s="27" t="str">
        <v/>
      </c>
    </row>
    <row r="794" spans="11:19" ht="25.05" customHeight="1" x14ac:dyDescent="0.45">
      <c r="K794" s="15" t="e">
        <f t="shared" si="92"/>
        <v>#VALUE!</v>
      </c>
      <c r="L794" s="15" t="e">
        <f t="shared" si="93"/>
        <v>#VALUE!</v>
      </c>
      <c r="M794" s="16" t="e">
        <f t="shared" si="94"/>
        <v>#VALUE!</v>
      </c>
      <c r="N794" s="16" t="e">
        <f t="shared" si="90"/>
        <v>#VALUE!</v>
      </c>
      <c r="O794" s="16" t="str">
        <f t="shared" si="91"/>
        <v>Other</v>
      </c>
      <c r="P794" s="16" t="str">
        <f t="shared" si="95"/>
        <v/>
      </c>
      <c r="S794" s="27" t="str">
        <v/>
      </c>
    </row>
    <row r="795" spans="11:19" ht="25.05" customHeight="1" x14ac:dyDescent="0.45">
      <c r="K795" s="15" t="e">
        <f t="shared" si="92"/>
        <v>#VALUE!</v>
      </c>
      <c r="L795" s="15" t="e">
        <f t="shared" si="93"/>
        <v>#VALUE!</v>
      </c>
      <c r="M795" s="16" t="e">
        <f t="shared" si="94"/>
        <v>#VALUE!</v>
      </c>
      <c r="N795" s="16" t="e">
        <f t="shared" si="90"/>
        <v>#VALUE!</v>
      </c>
      <c r="O795" s="16" t="str">
        <f t="shared" si="91"/>
        <v>Other</v>
      </c>
      <c r="P795" s="16" t="str">
        <f t="shared" si="95"/>
        <v/>
      </c>
      <c r="S795" s="27" t="str">
        <v/>
      </c>
    </row>
    <row r="796" spans="11:19" ht="25.05" customHeight="1" x14ac:dyDescent="0.45">
      <c r="K796" s="15" t="e">
        <f t="shared" si="92"/>
        <v>#VALUE!</v>
      </c>
      <c r="L796" s="15" t="e">
        <f t="shared" si="93"/>
        <v>#VALUE!</v>
      </c>
      <c r="M796" s="16" t="e">
        <f t="shared" si="94"/>
        <v>#VALUE!</v>
      </c>
      <c r="N796" s="16" t="e">
        <f t="shared" si="90"/>
        <v>#VALUE!</v>
      </c>
      <c r="O796" s="16" t="str">
        <f t="shared" si="91"/>
        <v>Other</v>
      </c>
      <c r="P796" s="16" t="str">
        <f t="shared" si="95"/>
        <v/>
      </c>
      <c r="S796" s="27" t="str">
        <v/>
      </c>
    </row>
    <row r="797" spans="11:19" ht="25.05" customHeight="1" x14ac:dyDescent="0.45">
      <c r="K797" s="15" t="e">
        <f t="shared" si="92"/>
        <v>#VALUE!</v>
      </c>
      <c r="L797" s="15" t="e">
        <f t="shared" si="93"/>
        <v>#VALUE!</v>
      </c>
      <c r="M797" s="16" t="e">
        <f t="shared" si="94"/>
        <v>#VALUE!</v>
      </c>
      <c r="N797" s="16" t="e">
        <f t="shared" si="90"/>
        <v>#VALUE!</v>
      </c>
      <c r="O797" s="16" t="str">
        <f t="shared" si="91"/>
        <v>Other</v>
      </c>
      <c r="P797" s="16" t="str">
        <f t="shared" si="95"/>
        <v/>
      </c>
      <c r="S797" s="27" t="str">
        <v/>
      </c>
    </row>
    <row r="798" spans="11:19" ht="25.05" customHeight="1" x14ac:dyDescent="0.45">
      <c r="K798" s="15" t="e">
        <f t="shared" si="92"/>
        <v>#VALUE!</v>
      </c>
      <c r="L798" s="15" t="e">
        <f t="shared" si="93"/>
        <v>#VALUE!</v>
      </c>
      <c r="M798" s="16" t="e">
        <f t="shared" si="94"/>
        <v>#VALUE!</v>
      </c>
      <c r="N798" s="16" t="e">
        <f t="shared" si="90"/>
        <v>#VALUE!</v>
      </c>
      <c r="O798" s="16" t="str">
        <f t="shared" si="91"/>
        <v>Other</v>
      </c>
      <c r="P798" s="16" t="str">
        <f t="shared" si="95"/>
        <v/>
      </c>
      <c r="S798" s="27" t="str">
        <v/>
      </c>
    </row>
    <row r="799" spans="11:19" ht="25.05" customHeight="1" x14ac:dyDescent="0.45">
      <c r="K799" s="15" t="e">
        <f t="shared" si="92"/>
        <v>#VALUE!</v>
      </c>
      <c r="L799" s="15" t="e">
        <f t="shared" si="93"/>
        <v>#VALUE!</v>
      </c>
      <c r="M799" s="16" t="e">
        <f t="shared" si="94"/>
        <v>#VALUE!</v>
      </c>
      <c r="N799" s="16" t="e">
        <f t="shared" si="90"/>
        <v>#VALUE!</v>
      </c>
      <c r="O799" s="16" t="str">
        <f t="shared" si="91"/>
        <v>Other</v>
      </c>
      <c r="P799" s="16" t="str">
        <f t="shared" si="95"/>
        <v/>
      </c>
      <c r="S799" s="27" t="str">
        <v/>
      </c>
    </row>
    <row r="800" spans="11:19" ht="25.05" customHeight="1" x14ac:dyDescent="0.45">
      <c r="K800" s="15" t="e">
        <f t="shared" si="92"/>
        <v>#VALUE!</v>
      </c>
      <c r="L800" s="15" t="e">
        <f t="shared" si="93"/>
        <v>#VALUE!</v>
      </c>
      <c r="M800" s="16" t="e">
        <f t="shared" si="94"/>
        <v>#VALUE!</v>
      </c>
      <c r="N800" s="16" t="e">
        <f t="shared" si="90"/>
        <v>#VALUE!</v>
      </c>
      <c r="O800" s="16" t="str">
        <f t="shared" si="91"/>
        <v>Other</v>
      </c>
      <c r="P800" s="16" t="str">
        <f t="shared" si="95"/>
        <v/>
      </c>
      <c r="S800" s="27" t="str">
        <v/>
      </c>
    </row>
    <row r="801" spans="11:19" ht="25.05" customHeight="1" x14ac:dyDescent="0.45">
      <c r="K801" s="15" t="e">
        <f t="shared" si="92"/>
        <v>#VALUE!</v>
      </c>
      <c r="L801" s="15" t="e">
        <f t="shared" si="93"/>
        <v>#VALUE!</v>
      </c>
      <c r="M801" s="16" t="e">
        <f t="shared" si="94"/>
        <v>#VALUE!</v>
      </c>
      <c r="N801" s="16" t="e">
        <f t="shared" si="90"/>
        <v>#VALUE!</v>
      </c>
      <c r="O801" s="16" t="str">
        <f t="shared" si="91"/>
        <v>Other</v>
      </c>
      <c r="P801" s="16" t="str">
        <f t="shared" si="95"/>
        <v/>
      </c>
      <c r="S801" s="27" t="str">
        <v/>
      </c>
    </row>
    <row r="802" spans="11:19" ht="25.05" customHeight="1" x14ac:dyDescent="0.45">
      <c r="K802" s="15" t="e">
        <f t="shared" si="92"/>
        <v>#VALUE!</v>
      </c>
      <c r="L802" s="15" t="e">
        <f t="shared" si="93"/>
        <v>#VALUE!</v>
      </c>
      <c r="M802" s="16" t="e">
        <f t="shared" si="94"/>
        <v>#VALUE!</v>
      </c>
      <c r="N802" s="16" t="e">
        <f t="shared" ref="N802:N865" si="96">K802 &amp; " &lt;&gt; " &amp; L802</f>
        <v>#VALUE!</v>
      </c>
      <c r="O802" s="16" t="str">
        <f t="shared" si="91"/>
        <v>Other</v>
      </c>
      <c r="P802" s="16" t="str">
        <f t="shared" si="95"/>
        <v/>
      </c>
      <c r="S802" s="27" t="str">
        <v/>
      </c>
    </row>
    <row r="803" spans="11:19" ht="25.05" customHeight="1" x14ac:dyDescent="0.45">
      <c r="K803" s="15" t="e">
        <f t="shared" si="92"/>
        <v>#VALUE!</v>
      </c>
      <c r="L803" s="15" t="e">
        <f t="shared" si="93"/>
        <v>#VALUE!</v>
      </c>
      <c r="M803" s="16" t="e">
        <f t="shared" si="94"/>
        <v>#VALUE!</v>
      </c>
      <c r="N803" s="16" t="e">
        <f t="shared" si="96"/>
        <v>#VALUE!</v>
      </c>
      <c r="O803" s="16" t="str">
        <f t="shared" si="91"/>
        <v>Other</v>
      </c>
      <c r="P803" s="16" t="str">
        <f t="shared" si="95"/>
        <v/>
      </c>
      <c r="S803" s="27" t="str">
        <v/>
      </c>
    </row>
    <row r="804" spans="11:19" ht="25.05" customHeight="1" x14ac:dyDescent="0.45">
      <c r="K804" s="15" t="e">
        <f t="shared" si="92"/>
        <v>#VALUE!</v>
      </c>
      <c r="L804" s="15" t="e">
        <f t="shared" si="93"/>
        <v>#VALUE!</v>
      </c>
      <c r="M804" s="16" t="e">
        <f t="shared" si="94"/>
        <v>#VALUE!</v>
      </c>
      <c r="N804" s="16" t="e">
        <f t="shared" si="96"/>
        <v>#VALUE!</v>
      </c>
      <c r="O804" s="16" t="str">
        <f t="shared" si="91"/>
        <v>Other</v>
      </c>
      <c r="P804" s="16" t="str">
        <f t="shared" si="95"/>
        <v/>
      </c>
      <c r="S804" s="27" t="str">
        <v/>
      </c>
    </row>
    <row r="805" spans="11:19" ht="25.05" customHeight="1" x14ac:dyDescent="0.45">
      <c r="K805" s="15" t="e">
        <f t="shared" si="92"/>
        <v>#VALUE!</v>
      </c>
      <c r="L805" s="15" t="e">
        <f t="shared" si="93"/>
        <v>#VALUE!</v>
      </c>
      <c r="M805" s="16" t="e">
        <f t="shared" si="94"/>
        <v>#VALUE!</v>
      </c>
      <c r="N805" s="16" t="e">
        <f t="shared" si="96"/>
        <v>#VALUE!</v>
      </c>
      <c r="O805" s="16" t="str">
        <f t="shared" si="91"/>
        <v>Other</v>
      </c>
      <c r="P805" s="16" t="str">
        <f t="shared" si="95"/>
        <v/>
      </c>
      <c r="S805" s="27" t="str">
        <v/>
      </c>
    </row>
    <row r="806" spans="11:19" ht="25.05" customHeight="1" x14ac:dyDescent="0.45">
      <c r="K806" s="15" t="e">
        <f t="shared" si="92"/>
        <v>#VALUE!</v>
      </c>
      <c r="L806" s="15" t="e">
        <f t="shared" si="93"/>
        <v>#VALUE!</v>
      </c>
      <c r="M806" s="16" t="e">
        <f t="shared" si="94"/>
        <v>#VALUE!</v>
      </c>
      <c r="N806" s="16" t="e">
        <f t="shared" si="96"/>
        <v>#VALUE!</v>
      </c>
      <c r="O806" s="16" t="str">
        <f t="shared" ref="O806:O869" si="97">IF(LEFT(E806, 6)="TenGig", "10G (Ten Gig)", IF(LEFT(E806, 10)="HundredGig", "100G (Hundred Gig)", "Other"))</f>
        <v>Other</v>
      </c>
      <c r="P806" s="16" t="str">
        <f t="shared" si="95"/>
        <v/>
      </c>
      <c r="S806" s="27" t="str">
        <v/>
      </c>
    </row>
    <row r="807" spans="11:19" ht="25.05" customHeight="1" x14ac:dyDescent="0.45">
      <c r="K807" s="15" t="e">
        <f t="shared" ref="K807:K870" si="98">LEFT(A807, FIND("-", A807)-1)</f>
        <v>#VALUE!</v>
      </c>
      <c r="L807" s="15" t="e">
        <f t="shared" si="93"/>
        <v>#VALUE!</v>
      </c>
      <c r="M807" s="16" t="e">
        <f t="shared" si="94"/>
        <v>#VALUE!</v>
      </c>
      <c r="N807" s="16" t="e">
        <f t="shared" si="96"/>
        <v>#VALUE!</v>
      </c>
      <c r="O807" s="16" t="str">
        <f t="shared" si="97"/>
        <v>Other</v>
      </c>
      <c r="P807" s="16" t="str">
        <f t="shared" si="95"/>
        <v/>
      </c>
      <c r="S807" s="27" t="str">
        <v/>
      </c>
    </row>
    <row r="808" spans="11:19" ht="25.05" customHeight="1" x14ac:dyDescent="0.45">
      <c r="K808" s="15" t="e">
        <f t="shared" si="98"/>
        <v>#VALUE!</v>
      </c>
      <c r="L808" s="15" t="e">
        <f t="shared" si="93"/>
        <v>#VALUE!</v>
      </c>
      <c r="M808" s="16" t="e">
        <f t="shared" si="94"/>
        <v>#VALUE!</v>
      </c>
      <c r="N808" s="16" t="e">
        <f t="shared" si="96"/>
        <v>#VALUE!</v>
      </c>
      <c r="O808" s="16" t="str">
        <f t="shared" si="97"/>
        <v>Other</v>
      </c>
      <c r="P808" s="16" t="str">
        <f t="shared" si="95"/>
        <v/>
      </c>
      <c r="S808" s="27" t="str">
        <v/>
      </c>
    </row>
    <row r="809" spans="11:19" ht="25.05" customHeight="1" x14ac:dyDescent="0.45">
      <c r="K809" s="15" t="e">
        <f t="shared" si="98"/>
        <v>#VALUE!</v>
      </c>
      <c r="L809" s="15" t="e">
        <f t="shared" ref="L809:L872" si="99">LEFT(C809, FIND("-", C809)-1)</f>
        <v>#VALUE!</v>
      </c>
      <c r="M809" s="16" t="e">
        <f t="shared" si="94"/>
        <v>#VALUE!</v>
      </c>
      <c r="N809" s="16" t="e">
        <f t="shared" si="96"/>
        <v>#VALUE!</v>
      </c>
      <c r="O809" s="16" t="str">
        <f t="shared" si="97"/>
        <v>Other</v>
      </c>
      <c r="P809" s="16" t="str">
        <f t="shared" si="95"/>
        <v/>
      </c>
      <c r="S809" s="27" t="str">
        <v/>
      </c>
    </row>
    <row r="810" spans="11:19" ht="25.05" customHeight="1" x14ac:dyDescent="0.45">
      <c r="K810" s="15" t="e">
        <f t="shared" si="98"/>
        <v>#VALUE!</v>
      </c>
      <c r="L810" s="15" t="e">
        <f t="shared" si="99"/>
        <v>#VALUE!</v>
      </c>
      <c r="M810" s="16" t="e">
        <f t="shared" si="94"/>
        <v>#VALUE!</v>
      </c>
      <c r="N810" s="16" t="e">
        <f t="shared" si="96"/>
        <v>#VALUE!</v>
      </c>
      <c r="O810" s="16" t="str">
        <f t="shared" si="97"/>
        <v>Other</v>
      </c>
      <c r="P810" s="16" t="str">
        <f t="shared" si="95"/>
        <v/>
      </c>
      <c r="S810" s="27" t="str">
        <v/>
      </c>
    </row>
    <row r="811" spans="11:19" ht="25.05" customHeight="1" x14ac:dyDescent="0.45">
      <c r="K811" s="15" t="e">
        <f t="shared" si="98"/>
        <v>#VALUE!</v>
      </c>
      <c r="L811" s="15" t="e">
        <f t="shared" si="99"/>
        <v>#VALUE!</v>
      </c>
      <c r="M811" s="16" t="e">
        <f t="shared" si="94"/>
        <v>#VALUE!</v>
      </c>
      <c r="N811" s="16" t="e">
        <f t="shared" si="96"/>
        <v>#VALUE!</v>
      </c>
      <c r="O811" s="16" t="str">
        <f t="shared" si="97"/>
        <v>Other</v>
      </c>
      <c r="P811" s="16" t="str">
        <f t="shared" si="95"/>
        <v/>
      </c>
      <c r="S811" s="27" t="str">
        <v/>
      </c>
    </row>
    <row r="812" spans="11:19" ht="25.05" customHeight="1" x14ac:dyDescent="0.45">
      <c r="K812" s="15" t="e">
        <f t="shared" si="98"/>
        <v>#VALUE!</v>
      </c>
      <c r="L812" s="15" t="e">
        <f t="shared" si="99"/>
        <v>#VALUE!</v>
      </c>
      <c r="M812" s="16" t="e">
        <f t="shared" si="94"/>
        <v>#VALUE!</v>
      </c>
      <c r="N812" s="16" t="e">
        <f t="shared" si="96"/>
        <v>#VALUE!</v>
      </c>
      <c r="O812" s="16" t="str">
        <f t="shared" si="97"/>
        <v>Other</v>
      </c>
      <c r="P812" s="16" t="str">
        <f t="shared" si="95"/>
        <v/>
      </c>
      <c r="S812" s="27" t="str">
        <v/>
      </c>
    </row>
    <row r="813" spans="11:19" ht="25.05" customHeight="1" x14ac:dyDescent="0.45">
      <c r="K813" s="15" t="e">
        <f t="shared" si="98"/>
        <v>#VALUE!</v>
      </c>
      <c r="L813" s="15" t="e">
        <f t="shared" si="99"/>
        <v>#VALUE!</v>
      </c>
      <c r="M813" s="16" t="e">
        <f t="shared" si="94"/>
        <v>#VALUE!</v>
      </c>
      <c r="N813" s="16" t="e">
        <f t="shared" si="96"/>
        <v>#VALUE!</v>
      </c>
      <c r="O813" s="16" t="str">
        <f t="shared" si="97"/>
        <v>Other</v>
      </c>
      <c r="P813" s="16" t="str">
        <f t="shared" si="95"/>
        <v/>
      </c>
      <c r="S813" s="27" t="str">
        <v/>
      </c>
    </row>
    <row r="814" spans="11:19" ht="25.05" customHeight="1" x14ac:dyDescent="0.45">
      <c r="K814" s="15" t="e">
        <f t="shared" si="98"/>
        <v>#VALUE!</v>
      </c>
      <c r="L814" s="15" t="e">
        <f t="shared" si="99"/>
        <v>#VALUE!</v>
      </c>
      <c r="M814" s="16" t="e">
        <f t="shared" si="94"/>
        <v>#VALUE!</v>
      </c>
      <c r="N814" s="16" t="e">
        <f t="shared" si="96"/>
        <v>#VALUE!</v>
      </c>
      <c r="O814" s="16" t="str">
        <f t="shared" si="97"/>
        <v>Other</v>
      </c>
      <c r="P814" s="16" t="str">
        <f t="shared" si="95"/>
        <v/>
      </c>
      <c r="S814" s="27" t="str">
        <v/>
      </c>
    </row>
    <row r="815" spans="11:19" ht="25.05" customHeight="1" x14ac:dyDescent="0.45">
      <c r="K815" s="15" t="e">
        <f t="shared" si="98"/>
        <v>#VALUE!</v>
      </c>
      <c r="L815" s="15" t="e">
        <f t="shared" si="99"/>
        <v>#VALUE!</v>
      </c>
      <c r="M815" s="16" t="e">
        <f t="shared" si="94"/>
        <v>#VALUE!</v>
      </c>
      <c r="N815" s="16" t="e">
        <f t="shared" si="96"/>
        <v>#VALUE!</v>
      </c>
      <c r="O815" s="16" t="str">
        <f t="shared" si="97"/>
        <v>Other</v>
      </c>
      <c r="P815" s="16" t="str">
        <f t="shared" si="95"/>
        <v/>
      </c>
      <c r="S815" s="27" t="str">
        <v/>
      </c>
    </row>
    <row r="816" spans="11:19" ht="25.05" customHeight="1" x14ac:dyDescent="0.45">
      <c r="K816" s="15" t="e">
        <f t="shared" si="98"/>
        <v>#VALUE!</v>
      </c>
      <c r="L816" s="15" t="e">
        <f t="shared" si="99"/>
        <v>#VALUE!</v>
      </c>
      <c r="M816" s="16" t="e">
        <f t="shared" si="94"/>
        <v>#VALUE!</v>
      </c>
      <c r="N816" s="16" t="e">
        <f t="shared" si="96"/>
        <v>#VALUE!</v>
      </c>
      <c r="O816" s="16" t="str">
        <f t="shared" si="97"/>
        <v>Other</v>
      </c>
      <c r="P816" s="16" t="str">
        <f t="shared" si="95"/>
        <v/>
      </c>
      <c r="S816" s="27" t="str">
        <v/>
      </c>
    </row>
    <row r="817" spans="11:19" ht="25.05" customHeight="1" x14ac:dyDescent="0.45">
      <c r="K817" s="15" t="e">
        <f t="shared" si="98"/>
        <v>#VALUE!</v>
      </c>
      <c r="L817" s="15" t="e">
        <f t="shared" si="99"/>
        <v>#VALUE!</v>
      </c>
      <c r="M817" s="16" t="e">
        <f t="shared" si="94"/>
        <v>#VALUE!</v>
      </c>
      <c r="N817" s="16" t="e">
        <f t="shared" si="96"/>
        <v>#VALUE!</v>
      </c>
      <c r="O817" s="16" t="str">
        <f t="shared" si="97"/>
        <v>Other</v>
      </c>
      <c r="P817" s="16" t="str">
        <f t="shared" si="95"/>
        <v/>
      </c>
      <c r="S817" s="27" t="str">
        <v/>
      </c>
    </row>
    <row r="818" spans="11:19" ht="25.05" customHeight="1" x14ac:dyDescent="0.45">
      <c r="K818" s="15" t="e">
        <f t="shared" si="98"/>
        <v>#VALUE!</v>
      </c>
      <c r="L818" s="15" t="e">
        <f t="shared" si="99"/>
        <v>#VALUE!</v>
      </c>
      <c r="M818" s="16" t="e">
        <f t="shared" si="94"/>
        <v>#VALUE!</v>
      </c>
      <c r="N818" s="16" t="e">
        <f t="shared" si="96"/>
        <v>#VALUE!</v>
      </c>
      <c r="O818" s="16" t="str">
        <f t="shared" si="97"/>
        <v>Other</v>
      </c>
      <c r="P818" s="16" t="str">
        <f t="shared" si="95"/>
        <v/>
      </c>
      <c r="S818" s="27" t="str">
        <v/>
      </c>
    </row>
    <row r="819" spans="11:19" ht="25.05" customHeight="1" x14ac:dyDescent="0.45">
      <c r="K819" s="15" t="e">
        <f t="shared" si="98"/>
        <v>#VALUE!</v>
      </c>
      <c r="L819" s="15" t="e">
        <f t="shared" si="99"/>
        <v>#VALUE!</v>
      </c>
      <c r="M819" s="16" t="e">
        <f t="shared" si="94"/>
        <v>#VALUE!</v>
      </c>
      <c r="N819" s="16" t="e">
        <f t="shared" si="96"/>
        <v>#VALUE!</v>
      </c>
      <c r="O819" s="16" t="str">
        <f t="shared" si="97"/>
        <v>Other</v>
      </c>
      <c r="P819" s="16" t="str">
        <f t="shared" si="95"/>
        <v/>
      </c>
      <c r="S819" s="27" t="str">
        <v/>
      </c>
    </row>
    <row r="820" spans="11:19" ht="25.05" customHeight="1" x14ac:dyDescent="0.45">
      <c r="K820" s="15" t="e">
        <f t="shared" si="98"/>
        <v>#VALUE!</v>
      </c>
      <c r="L820" s="15" t="e">
        <f t="shared" si="99"/>
        <v>#VALUE!</v>
      </c>
      <c r="M820" s="16" t="e">
        <f t="shared" si="94"/>
        <v>#VALUE!</v>
      </c>
      <c r="N820" s="16" t="e">
        <f t="shared" si="96"/>
        <v>#VALUE!</v>
      </c>
      <c r="O820" s="16" t="str">
        <f t="shared" si="97"/>
        <v>Other</v>
      </c>
      <c r="P820" s="16" t="str">
        <f t="shared" si="95"/>
        <v/>
      </c>
      <c r="S820" s="27" t="str">
        <v/>
      </c>
    </row>
    <row r="821" spans="11:19" ht="25.05" customHeight="1" x14ac:dyDescent="0.45">
      <c r="K821" s="15" t="e">
        <f t="shared" si="98"/>
        <v>#VALUE!</v>
      </c>
      <c r="L821" s="15" t="e">
        <f t="shared" si="99"/>
        <v>#VALUE!</v>
      </c>
      <c r="M821" s="16" t="e">
        <f t="shared" si="94"/>
        <v>#VALUE!</v>
      </c>
      <c r="N821" s="16" t="e">
        <f t="shared" si="96"/>
        <v>#VALUE!</v>
      </c>
      <c r="O821" s="16" t="str">
        <f t="shared" si="97"/>
        <v>Other</v>
      </c>
      <c r="P821" s="16" t="str">
        <f t="shared" si="95"/>
        <v/>
      </c>
      <c r="S821" s="27" t="str">
        <v/>
      </c>
    </row>
    <row r="822" spans="11:19" ht="25.05" customHeight="1" x14ac:dyDescent="0.45">
      <c r="K822" s="15" t="e">
        <f t="shared" si="98"/>
        <v>#VALUE!</v>
      </c>
      <c r="L822" s="15" t="e">
        <f t="shared" si="99"/>
        <v>#VALUE!</v>
      </c>
      <c r="M822" s="16" t="e">
        <f t="shared" si="94"/>
        <v>#VALUE!</v>
      </c>
      <c r="N822" s="16" t="e">
        <f t="shared" si="96"/>
        <v>#VALUE!</v>
      </c>
      <c r="O822" s="16" t="str">
        <f t="shared" si="97"/>
        <v>Other</v>
      </c>
      <c r="P822" s="16" t="str">
        <f t="shared" si="95"/>
        <v/>
      </c>
      <c r="S822" s="27" t="str">
        <v/>
      </c>
    </row>
    <row r="823" spans="11:19" ht="25.05" customHeight="1" x14ac:dyDescent="0.45">
      <c r="K823" s="15" t="e">
        <f t="shared" si="98"/>
        <v>#VALUE!</v>
      </c>
      <c r="L823" s="15" t="e">
        <f t="shared" si="99"/>
        <v>#VALUE!</v>
      </c>
      <c r="M823" s="16" t="e">
        <f t="shared" si="94"/>
        <v>#VALUE!</v>
      </c>
      <c r="N823" s="16" t="e">
        <f t="shared" si="96"/>
        <v>#VALUE!</v>
      </c>
      <c r="O823" s="16" t="str">
        <f t="shared" si="97"/>
        <v>Other</v>
      </c>
      <c r="P823" s="16" t="str">
        <f t="shared" si="95"/>
        <v/>
      </c>
      <c r="S823" s="27" t="str">
        <v/>
      </c>
    </row>
    <row r="824" spans="11:19" ht="25.05" customHeight="1" x14ac:dyDescent="0.45">
      <c r="K824" s="15" t="e">
        <f t="shared" si="98"/>
        <v>#VALUE!</v>
      </c>
      <c r="L824" s="15" t="e">
        <f t="shared" si="99"/>
        <v>#VALUE!</v>
      </c>
      <c r="M824" s="16" t="e">
        <f t="shared" si="94"/>
        <v>#VALUE!</v>
      </c>
      <c r="N824" s="16" t="e">
        <f t="shared" si="96"/>
        <v>#VALUE!</v>
      </c>
      <c r="O824" s="16" t="str">
        <f t="shared" si="97"/>
        <v>Other</v>
      </c>
      <c r="P824" s="16" t="str">
        <f t="shared" si="95"/>
        <v/>
      </c>
      <c r="S824" s="27" t="str">
        <v/>
      </c>
    </row>
    <row r="825" spans="11:19" ht="25.05" customHeight="1" x14ac:dyDescent="0.45">
      <c r="K825" s="15" t="e">
        <f t="shared" si="98"/>
        <v>#VALUE!</v>
      </c>
      <c r="L825" s="15" t="e">
        <f t="shared" si="99"/>
        <v>#VALUE!</v>
      </c>
      <c r="M825" s="16" t="e">
        <f t="shared" si="94"/>
        <v>#VALUE!</v>
      </c>
      <c r="N825" s="16" t="e">
        <f t="shared" si="96"/>
        <v>#VALUE!</v>
      </c>
      <c r="O825" s="16" t="str">
        <f t="shared" si="97"/>
        <v>Other</v>
      </c>
      <c r="P825" s="16" t="str">
        <f t="shared" si="95"/>
        <v/>
      </c>
      <c r="S825" s="27" t="str">
        <v/>
      </c>
    </row>
    <row r="826" spans="11:19" ht="25.05" customHeight="1" x14ac:dyDescent="0.45">
      <c r="K826" s="15" t="e">
        <f t="shared" si="98"/>
        <v>#VALUE!</v>
      </c>
      <c r="L826" s="15" t="e">
        <f t="shared" si="99"/>
        <v>#VALUE!</v>
      </c>
      <c r="M826" s="16" t="e">
        <f t="shared" si="94"/>
        <v>#VALUE!</v>
      </c>
      <c r="N826" s="16" t="e">
        <f t="shared" si="96"/>
        <v>#VALUE!</v>
      </c>
      <c r="O826" s="16" t="str">
        <f t="shared" si="97"/>
        <v>Other</v>
      </c>
      <c r="P826" s="16" t="str">
        <f t="shared" si="95"/>
        <v/>
      </c>
      <c r="S826" s="27" t="str">
        <v/>
      </c>
    </row>
    <row r="827" spans="11:19" ht="25.05" customHeight="1" x14ac:dyDescent="0.45">
      <c r="K827" s="15" t="e">
        <f t="shared" si="98"/>
        <v>#VALUE!</v>
      </c>
      <c r="L827" s="15" t="e">
        <f t="shared" si="99"/>
        <v>#VALUE!</v>
      </c>
      <c r="M827" s="16" t="e">
        <f t="shared" si="94"/>
        <v>#VALUE!</v>
      </c>
      <c r="N827" s="16" t="e">
        <f t="shared" si="96"/>
        <v>#VALUE!</v>
      </c>
      <c r="O827" s="16" t="str">
        <f t="shared" si="97"/>
        <v>Other</v>
      </c>
      <c r="P827" s="16" t="str">
        <f t="shared" si="95"/>
        <v/>
      </c>
      <c r="S827" s="27" t="str">
        <v/>
      </c>
    </row>
    <row r="828" spans="11:19" ht="25.05" customHeight="1" x14ac:dyDescent="0.45">
      <c r="K828" s="15" t="e">
        <f t="shared" si="98"/>
        <v>#VALUE!</v>
      </c>
      <c r="L828" s="15" t="e">
        <f t="shared" si="99"/>
        <v>#VALUE!</v>
      </c>
      <c r="M828" s="16" t="e">
        <f t="shared" si="94"/>
        <v>#VALUE!</v>
      </c>
      <c r="N828" s="16" t="e">
        <f t="shared" si="96"/>
        <v>#VALUE!</v>
      </c>
      <c r="O828" s="16" t="str">
        <f t="shared" si="97"/>
        <v>Other</v>
      </c>
      <c r="P828" s="16" t="str">
        <f t="shared" si="95"/>
        <v/>
      </c>
      <c r="S828" s="27" t="str">
        <v/>
      </c>
    </row>
    <row r="829" spans="11:19" ht="25.05" customHeight="1" x14ac:dyDescent="0.45">
      <c r="K829" s="15" t="e">
        <f t="shared" si="98"/>
        <v>#VALUE!</v>
      </c>
      <c r="L829" s="15" t="e">
        <f t="shared" si="99"/>
        <v>#VALUE!</v>
      </c>
      <c r="M829" s="16" t="e">
        <f t="shared" si="94"/>
        <v>#VALUE!</v>
      </c>
      <c r="N829" s="16" t="e">
        <f t="shared" si="96"/>
        <v>#VALUE!</v>
      </c>
      <c r="O829" s="16" t="str">
        <f t="shared" si="97"/>
        <v>Other</v>
      </c>
      <c r="P829" s="16" t="str">
        <f t="shared" si="95"/>
        <v/>
      </c>
      <c r="S829" s="27" t="str">
        <v/>
      </c>
    </row>
    <row r="830" spans="11:19" ht="25.05" customHeight="1" x14ac:dyDescent="0.45">
      <c r="K830" s="15" t="e">
        <f t="shared" si="98"/>
        <v>#VALUE!</v>
      </c>
      <c r="L830" s="15" t="e">
        <f t="shared" si="99"/>
        <v>#VALUE!</v>
      </c>
      <c r="M830" s="16" t="e">
        <f t="shared" si="94"/>
        <v>#VALUE!</v>
      </c>
      <c r="N830" s="16" t="e">
        <f t="shared" si="96"/>
        <v>#VALUE!</v>
      </c>
      <c r="O830" s="16" t="str">
        <f t="shared" si="97"/>
        <v>Other</v>
      </c>
      <c r="P830" s="16" t="str">
        <f t="shared" si="95"/>
        <v/>
      </c>
      <c r="S830" s="27" t="str">
        <v/>
      </c>
    </row>
    <row r="831" spans="11:19" ht="25.05" customHeight="1" x14ac:dyDescent="0.45">
      <c r="K831" s="15" t="e">
        <f t="shared" si="98"/>
        <v>#VALUE!</v>
      </c>
      <c r="L831" s="15" t="e">
        <f t="shared" si="99"/>
        <v>#VALUE!</v>
      </c>
      <c r="M831" s="16" t="e">
        <f t="shared" si="94"/>
        <v>#VALUE!</v>
      </c>
      <c r="N831" s="16" t="e">
        <f t="shared" si="96"/>
        <v>#VALUE!</v>
      </c>
      <c r="O831" s="16" t="str">
        <f t="shared" si="97"/>
        <v>Other</v>
      </c>
      <c r="P831" s="16" t="str">
        <f t="shared" si="95"/>
        <v/>
      </c>
      <c r="S831" s="27" t="str">
        <v/>
      </c>
    </row>
    <row r="832" spans="11:19" ht="25.05" customHeight="1" x14ac:dyDescent="0.45">
      <c r="K832" s="15" t="e">
        <f t="shared" si="98"/>
        <v>#VALUE!</v>
      </c>
      <c r="L832" s="15" t="e">
        <f t="shared" si="99"/>
        <v>#VALUE!</v>
      </c>
      <c r="M832" s="16" t="e">
        <f t="shared" si="94"/>
        <v>#VALUE!</v>
      </c>
      <c r="N832" s="16" t="e">
        <f t="shared" si="96"/>
        <v>#VALUE!</v>
      </c>
      <c r="O832" s="16" t="str">
        <f t="shared" si="97"/>
        <v>Other</v>
      </c>
      <c r="P832" s="16" t="str">
        <f t="shared" si="95"/>
        <v/>
      </c>
      <c r="S832" s="27" t="str">
        <v/>
      </c>
    </row>
    <row r="833" spans="11:19" ht="25.05" customHeight="1" x14ac:dyDescent="0.45">
      <c r="K833" s="15" t="e">
        <f t="shared" si="98"/>
        <v>#VALUE!</v>
      </c>
      <c r="L833" s="15" t="e">
        <f t="shared" si="99"/>
        <v>#VALUE!</v>
      </c>
      <c r="M833" s="16" t="e">
        <f t="shared" si="94"/>
        <v>#VALUE!</v>
      </c>
      <c r="N833" s="16" t="e">
        <f t="shared" si="96"/>
        <v>#VALUE!</v>
      </c>
      <c r="O833" s="16" t="str">
        <f t="shared" si="97"/>
        <v>Other</v>
      </c>
      <c r="P833" s="16" t="str">
        <f t="shared" si="95"/>
        <v/>
      </c>
      <c r="S833" s="27" t="str">
        <v/>
      </c>
    </row>
    <row r="834" spans="11:19" ht="25.05" customHeight="1" x14ac:dyDescent="0.45">
      <c r="K834" s="15" t="e">
        <f t="shared" si="98"/>
        <v>#VALUE!</v>
      </c>
      <c r="L834" s="15" t="e">
        <f t="shared" si="99"/>
        <v>#VALUE!</v>
      </c>
      <c r="M834" s="16" t="e">
        <f t="shared" ref="M834:M897" si="100">MID(G834,FIND("LR-",G834)+3,FIND("-",G834,FIND("LR-",G834)+3)-FIND("LR-",G834)-3)</f>
        <v>#VALUE!</v>
      </c>
      <c r="N834" s="16" t="e">
        <f t="shared" si="96"/>
        <v>#VALUE!</v>
      </c>
      <c r="O834" s="16" t="str">
        <f t="shared" si="97"/>
        <v>Other</v>
      </c>
      <c r="P834" s="16" t="str">
        <f t="shared" ref="P834:P897" si="101">IF(S834&lt;&gt;"",IF(LEFT(S834,FIND(" &lt;&gt; ",S834)-1) &lt; MID(S834,FIND(" &lt;&gt; ",S834)+4,LEN(S834)),LEFT(S834,FIND(" &lt;&gt; ",S834)-1) &amp; " &lt;&gt; " &amp; MID(S834,FIND(" &lt;&gt; ",S834)+4,LEN(S834)),MID(S834,FIND(" &lt;&gt; ",S834)+4,LEN(S834)) &amp; " &lt;&gt; " &amp; LEFT(S834,FIND(" &lt;&gt; ",S834)-1)),"")</f>
        <v/>
      </c>
      <c r="S834" s="27" t="str">
        <v/>
      </c>
    </row>
    <row r="835" spans="11:19" ht="25.05" customHeight="1" x14ac:dyDescent="0.45">
      <c r="K835" s="15" t="e">
        <f t="shared" si="98"/>
        <v>#VALUE!</v>
      </c>
      <c r="L835" s="15" t="e">
        <f t="shared" si="99"/>
        <v>#VALUE!</v>
      </c>
      <c r="M835" s="16" t="e">
        <f t="shared" si="100"/>
        <v>#VALUE!</v>
      </c>
      <c r="N835" s="16" t="e">
        <f t="shared" si="96"/>
        <v>#VALUE!</v>
      </c>
      <c r="O835" s="16" t="str">
        <f t="shared" si="97"/>
        <v>Other</v>
      </c>
      <c r="P835" s="16" t="str">
        <f t="shared" si="101"/>
        <v/>
      </c>
      <c r="S835" s="27" t="str">
        <v/>
      </c>
    </row>
    <row r="836" spans="11:19" ht="25.05" customHeight="1" x14ac:dyDescent="0.45">
      <c r="K836" s="15" t="e">
        <f t="shared" si="98"/>
        <v>#VALUE!</v>
      </c>
      <c r="L836" s="15" t="e">
        <f t="shared" si="99"/>
        <v>#VALUE!</v>
      </c>
      <c r="M836" s="16" t="e">
        <f t="shared" si="100"/>
        <v>#VALUE!</v>
      </c>
      <c r="N836" s="16" t="e">
        <f t="shared" si="96"/>
        <v>#VALUE!</v>
      </c>
      <c r="O836" s="16" t="str">
        <f t="shared" si="97"/>
        <v>Other</v>
      </c>
      <c r="P836" s="16" t="str">
        <f t="shared" si="101"/>
        <v/>
      </c>
      <c r="S836" s="27" t="str">
        <v/>
      </c>
    </row>
    <row r="837" spans="11:19" ht="25.05" customHeight="1" x14ac:dyDescent="0.45">
      <c r="K837" s="15" t="e">
        <f t="shared" si="98"/>
        <v>#VALUE!</v>
      </c>
      <c r="L837" s="15" t="e">
        <f t="shared" si="99"/>
        <v>#VALUE!</v>
      </c>
      <c r="M837" s="16" t="e">
        <f t="shared" si="100"/>
        <v>#VALUE!</v>
      </c>
      <c r="N837" s="16" t="e">
        <f t="shared" si="96"/>
        <v>#VALUE!</v>
      </c>
      <c r="O837" s="16" t="str">
        <f t="shared" si="97"/>
        <v>Other</v>
      </c>
      <c r="P837" s="16" t="str">
        <f t="shared" si="101"/>
        <v/>
      </c>
      <c r="S837" s="27" t="str">
        <v/>
      </c>
    </row>
    <row r="838" spans="11:19" ht="25.05" customHeight="1" x14ac:dyDescent="0.45">
      <c r="K838" s="15" t="e">
        <f t="shared" si="98"/>
        <v>#VALUE!</v>
      </c>
      <c r="L838" s="15" t="e">
        <f t="shared" si="99"/>
        <v>#VALUE!</v>
      </c>
      <c r="M838" s="16" t="e">
        <f t="shared" si="100"/>
        <v>#VALUE!</v>
      </c>
      <c r="N838" s="16" t="e">
        <f t="shared" si="96"/>
        <v>#VALUE!</v>
      </c>
      <c r="O838" s="16" t="str">
        <f t="shared" si="97"/>
        <v>Other</v>
      </c>
      <c r="P838" s="16" t="str">
        <f t="shared" si="101"/>
        <v/>
      </c>
      <c r="S838" s="27" t="str">
        <v/>
      </c>
    </row>
    <row r="839" spans="11:19" ht="25.05" customHeight="1" x14ac:dyDescent="0.45">
      <c r="K839" s="15" t="e">
        <f t="shared" si="98"/>
        <v>#VALUE!</v>
      </c>
      <c r="L839" s="15" t="e">
        <f t="shared" si="99"/>
        <v>#VALUE!</v>
      </c>
      <c r="M839" s="16" t="e">
        <f t="shared" si="100"/>
        <v>#VALUE!</v>
      </c>
      <c r="N839" s="16" t="e">
        <f t="shared" si="96"/>
        <v>#VALUE!</v>
      </c>
      <c r="O839" s="16" t="str">
        <f t="shared" si="97"/>
        <v>Other</v>
      </c>
      <c r="P839" s="16" t="str">
        <f t="shared" si="101"/>
        <v/>
      </c>
      <c r="S839" s="27" t="str">
        <v/>
      </c>
    </row>
    <row r="840" spans="11:19" ht="25.05" customHeight="1" x14ac:dyDescent="0.45">
      <c r="K840" s="15" t="e">
        <f t="shared" si="98"/>
        <v>#VALUE!</v>
      </c>
      <c r="L840" s="15" t="e">
        <f t="shared" si="99"/>
        <v>#VALUE!</v>
      </c>
      <c r="M840" s="16" t="e">
        <f t="shared" si="100"/>
        <v>#VALUE!</v>
      </c>
      <c r="N840" s="16" t="e">
        <f t="shared" si="96"/>
        <v>#VALUE!</v>
      </c>
      <c r="O840" s="16" t="str">
        <f t="shared" si="97"/>
        <v>Other</v>
      </c>
      <c r="P840" s="16" t="str">
        <f t="shared" si="101"/>
        <v/>
      </c>
      <c r="S840" s="27" t="str">
        <v/>
      </c>
    </row>
    <row r="841" spans="11:19" ht="25.05" customHeight="1" x14ac:dyDescent="0.45">
      <c r="K841" s="15" t="e">
        <f t="shared" si="98"/>
        <v>#VALUE!</v>
      </c>
      <c r="L841" s="15" t="e">
        <f t="shared" si="99"/>
        <v>#VALUE!</v>
      </c>
      <c r="M841" s="16" t="e">
        <f t="shared" si="100"/>
        <v>#VALUE!</v>
      </c>
      <c r="N841" s="16" t="e">
        <f t="shared" si="96"/>
        <v>#VALUE!</v>
      </c>
      <c r="O841" s="16" t="str">
        <f t="shared" si="97"/>
        <v>Other</v>
      </c>
      <c r="P841" s="16" t="str">
        <f t="shared" si="101"/>
        <v/>
      </c>
      <c r="S841" s="27" t="str">
        <v/>
      </c>
    </row>
    <row r="842" spans="11:19" ht="25.05" customHeight="1" x14ac:dyDescent="0.45">
      <c r="K842" s="15" t="e">
        <f t="shared" si="98"/>
        <v>#VALUE!</v>
      </c>
      <c r="L842" s="15" t="e">
        <f t="shared" si="99"/>
        <v>#VALUE!</v>
      </c>
      <c r="M842" s="16" t="e">
        <f t="shared" si="100"/>
        <v>#VALUE!</v>
      </c>
      <c r="N842" s="16" t="e">
        <f t="shared" si="96"/>
        <v>#VALUE!</v>
      </c>
      <c r="O842" s="16" t="str">
        <f t="shared" si="97"/>
        <v>Other</v>
      </c>
      <c r="P842" s="16" t="str">
        <f t="shared" si="101"/>
        <v/>
      </c>
      <c r="S842" s="27" t="str">
        <v/>
      </c>
    </row>
    <row r="843" spans="11:19" ht="25.05" customHeight="1" x14ac:dyDescent="0.45">
      <c r="K843" s="15" t="e">
        <f t="shared" si="98"/>
        <v>#VALUE!</v>
      </c>
      <c r="L843" s="15" t="e">
        <f t="shared" si="99"/>
        <v>#VALUE!</v>
      </c>
      <c r="M843" s="16" t="e">
        <f t="shared" si="100"/>
        <v>#VALUE!</v>
      </c>
      <c r="N843" s="16" t="e">
        <f t="shared" si="96"/>
        <v>#VALUE!</v>
      </c>
      <c r="O843" s="16" t="str">
        <f t="shared" si="97"/>
        <v>Other</v>
      </c>
      <c r="P843" s="16" t="str">
        <f t="shared" si="101"/>
        <v/>
      </c>
      <c r="S843" s="27" t="str">
        <v/>
      </c>
    </row>
    <row r="844" spans="11:19" ht="25.05" customHeight="1" x14ac:dyDescent="0.45">
      <c r="K844" s="15" t="e">
        <f t="shared" si="98"/>
        <v>#VALUE!</v>
      </c>
      <c r="L844" s="15" t="e">
        <f t="shared" si="99"/>
        <v>#VALUE!</v>
      </c>
      <c r="M844" s="16" t="e">
        <f t="shared" si="100"/>
        <v>#VALUE!</v>
      </c>
      <c r="N844" s="16" t="e">
        <f t="shared" si="96"/>
        <v>#VALUE!</v>
      </c>
      <c r="O844" s="16" t="str">
        <f t="shared" si="97"/>
        <v>Other</v>
      </c>
      <c r="P844" s="16" t="str">
        <f t="shared" si="101"/>
        <v/>
      </c>
      <c r="S844" s="27" t="str">
        <v/>
      </c>
    </row>
    <row r="845" spans="11:19" ht="25.05" customHeight="1" x14ac:dyDescent="0.45">
      <c r="K845" s="15" t="e">
        <f t="shared" si="98"/>
        <v>#VALUE!</v>
      </c>
      <c r="L845" s="15" t="e">
        <f t="shared" si="99"/>
        <v>#VALUE!</v>
      </c>
      <c r="M845" s="16" t="e">
        <f t="shared" si="100"/>
        <v>#VALUE!</v>
      </c>
      <c r="N845" s="16" t="e">
        <f t="shared" si="96"/>
        <v>#VALUE!</v>
      </c>
      <c r="O845" s="16" t="str">
        <f t="shared" si="97"/>
        <v>Other</v>
      </c>
      <c r="P845" s="16" t="str">
        <f t="shared" si="101"/>
        <v/>
      </c>
      <c r="S845" s="27" t="str">
        <v/>
      </c>
    </row>
    <row r="846" spans="11:19" ht="25.05" customHeight="1" x14ac:dyDescent="0.45">
      <c r="K846" s="15" t="e">
        <f t="shared" si="98"/>
        <v>#VALUE!</v>
      </c>
      <c r="L846" s="15" t="e">
        <f t="shared" si="99"/>
        <v>#VALUE!</v>
      </c>
      <c r="M846" s="16" t="e">
        <f t="shared" si="100"/>
        <v>#VALUE!</v>
      </c>
      <c r="N846" s="16" t="e">
        <f t="shared" si="96"/>
        <v>#VALUE!</v>
      </c>
      <c r="O846" s="16" t="str">
        <f t="shared" si="97"/>
        <v>Other</v>
      </c>
      <c r="P846" s="16" t="str">
        <f t="shared" si="101"/>
        <v/>
      </c>
      <c r="S846" s="27" t="str">
        <v/>
      </c>
    </row>
    <row r="847" spans="11:19" ht="25.05" customHeight="1" x14ac:dyDescent="0.45">
      <c r="K847" s="15" t="e">
        <f t="shared" si="98"/>
        <v>#VALUE!</v>
      </c>
      <c r="L847" s="15" t="e">
        <f t="shared" si="99"/>
        <v>#VALUE!</v>
      </c>
      <c r="M847" s="16" t="e">
        <f t="shared" si="100"/>
        <v>#VALUE!</v>
      </c>
      <c r="N847" s="16" t="e">
        <f t="shared" si="96"/>
        <v>#VALUE!</v>
      </c>
      <c r="O847" s="16" t="str">
        <f t="shared" si="97"/>
        <v>Other</v>
      </c>
      <c r="P847" s="16" t="str">
        <f t="shared" si="101"/>
        <v/>
      </c>
      <c r="S847" s="27" t="str">
        <v/>
      </c>
    </row>
    <row r="848" spans="11:19" ht="25.05" customHeight="1" x14ac:dyDescent="0.45">
      <c r="K848" s="15" t="e">
        <f t="shared" si="98"/>
        <v>#VALUE!</v>
      </c>
      <c r="L848" s="15" t="e">
        <f t="shared" si="99"/>
        <v>#VALUE!</v>
      </c>
      <c r="M848" s="16" t="e">
        <f t="shared" si="100"/>
        <v>#VALUE!</v>
      </c>
      <c r="N848" s="16" t="e">
        <f t="shared" si="96"/>
        <v>#VALUE!</v>
      </c>
      <c r="O848" s="16" t="str">
        <f t="shared" si="97"/>
        <v>Other</v>
      </c>
      <c r="P848" s="16" t="str">
        <f t="shared" si="101"/>
        <v/>
      </c>
      <c r="S848" s="27" t="str">
        <v/>
      </c>
    </row>
    <row r="849" spans="11:19" ht="25.05" customHeight="1" x14ac:dyDescent="0.45">
      <c r="K849" s="15" t="e">
        <f t="shared" si="98"/>
        <v>#VALUE!</v>
      </c>
      <c r="L849" s="15" t="e">
        <f t="shared" si="99"/>
        <v>#VALUE!</v>
      </c>
      <c r="M849" s="16" t="e">
        <f t="shared" si="100"/>
        <v>#VALUE!</v>
      </c>
      <c r="N849" s="16" t="e">
        <f t="shared" si="96"/>
        <v>#VALUE!</v>
      </c>
      <c r="O849" s="16" t="str">
        <f t="shared" si="97"/>
        <v>Other</v>
      </c>
      <c r="P849" s="16" t="str">
        <f t="shared" si="101"/>
        <v/>
      </c>
      <c r="S849" s="27" t="str">
        <v/>
      </c>
    </row>
    <row r="850" spans="11:19" ht="25.05" customHeight="1" x14ac:dyDescent="0.45">
      <c r="K850" s="15" t="e">
        <f t="shared" si="98"/>
        <v>#VALUE!</v>
      </c>
      <c r="L850" s="15" t="e">
        <f t="shared" si="99"/>
        <v>#VALUE!</v>
      </c>
      <c r="M850" s="16" t="e">
        <f t="shared" si="100"/>
        <v>#VALUE!</v>
      </c>
      <c r="N850" s="16" t="e">
        <f t="shared" si="96"/>
        <v>#VALUE!</v>
      </c>
      <c r="O850" s="16" t="str">
        <f t="shared" si="97"/>
        <v>Other</v>
      </c>
      <c r="P850" s="16" t="str">
        <f t="shared" si="101"/>
        <v/>
      </c>
      <c r="S850" s="27" t="str">
        <v/>
      </c>
    </row>
    <row r="851" spans="11:19" ht="25.05" customHeight="1" x14ac:dyDescent="0.45">
      <c r="K851" s="15" t="e">
        <f t="shared" si="98"/>
        <v>#VALUE!</v>
      </c>
      <c r="L851" s="15" t="e">
        <f t="shared" si="99"/>
        <v>#VALUE!</v>
      </c>
      <c r="M851" s="16" t="e">
        <f t="shared" si="100"/>
        <v>#VALUE!</v>
      </c>
      <c r="N851" s="16" t="e">
        <f t="shared" si="96"/>
        <v>#VALUE!</v>
      </c>
      <c r="O851" s="16" t="str">
        <f t="shared" si="97"/>
        <v>Other</v>
      </c>
      <c r="P851" s="16" t="str">
        <f t="shared" si="101"/>
        <v/>
      </c>
      <c r="S851" s="27" t="str">
        <v/>
      </c>
    </row>
    <row r="852" spans="11:19" ht="25.05" customHeight="1" x14ac:dyDescent="0.45">
      <c r="K852" s="15" t="e">
        <f t="shared" si="98"/>
        <v>#VALUE!</v>
      </c>
      <c r="L852" s="15" t="e">
        <f t="shared" si="99"/>
        <v>#VALUE!</v>
      </c>
      <c r="M852" s="16" t="e">
        <f t="shared" si="100"/>
        <v>#VALUE!</v>
      </c>
      <c r="N852" s="16" t="e">
        <f t="shared" si="96"/>
        <v>#VALUE!</v>
      </c>
      <c r="O852" s="16" t="str">
        <f t="shared" si="97"/>
        <v>Other</v>
      </c>
      <c r="P852" s="16" t="str">
        <f t="shared" si="101"/>
        <v/>
      </c>
      <c r="S852" s="27" t="str">
        <v/>
      </c>
    </row>
    <row r="853" spans="11:19" ht="25.05" customHeight="1" x14ac:dyDescent="0.45">
      <c r="K853" s="15" t="e">
        <f t="shared" si="98"/>
        <v>#VALUE!</v>
      </c>
      <c r="L853" s="15" t="e">
        <f t="shared" si="99"/>
        <v>#VALUE!</v>
      </c>
      <c r="M853" s="16" t="e">
        <f t="shared" si="100"/>
        <v>#VALUE!</v>
      </c>
      <c r="N853" s="16" t="e">
        <f t="shared" si="96"/>
        <v>#VALUE!</v>
      </c>
      <c r="O853" s="16" t="str">
        <f t="shared" si="97"/>
        <v>Other</v>
      </c>
      <c r="P853" s="16" t="str">
        <f t="shared" si="101"/>
        <v/>
      </c>
      <c r="S853" s="27" t="str">
        <v/>
      </c>
    </row>
    <row r="854" spans="11:19" ht="25.05" customHeight="1" x14ac:dyDescent="0.45">
      <c r="K854" s="15" t="e">
        <f t="shared" si="98"/>
        <v>#VALUE!</v>
      </c>
      <c r="L854" s="15" t="e">
        <f t="shared" si="99"/>
        <v>#VALUE!</v>
      </c>
      <c r="M854" s="16" t="e">
        <f t="shared" si="100"/>
        <v>#VALUE!</v>
      </c>
      <c r="N854" s="16" t="e">
        <f t="shared" si="96"/>
        <v>#VALUE!</v>
      </c>
      <c r="O854" s="16" t="str">
        <f t="shared" si="97"/>
        <v>Other</v>
      </c>
      <c r="P854" s="16" t="str">
        <f t="shared" si="101"/>
        <v/>
      </c>
      <c r="S854" s="27" t="str">
        <v/>
      </c>
    </row>
    <row r="855" spans="11:19" ht="25.05" customHeight="1" x14ac:dyDescent="0.45">
      <c r="K855" s="15" t="e">
        <f t="shared" si="98"/>
        <v>#VALUE!</v>
      </c>
      <c r="L855" s="15" t="e">
        <f t="shared" si="99"/>
        <v>#VALUE!</v>
      </c>
      <c r="M855" s="16" t="e">
        <f t="shared" si="100"/>
        <v>#VALUE!</v>
      </c>
      <c r="N855" s="16" t="e">
        <f t="shared" si="96"/>
        <v>#VALUE!</v>
      </c>
      <c r="O855" s="16" t="str">
        <f t="shared" si="97"/>
        <v>Other</v>
      </c>
      <c r="P855" s="16" t="str">
        <f t="shared" si="101"/>
        <v/>
      </c>
      <c r="S855" s="27" t="str">
        <v/>
      </c>
    </row>
    <row r="856" spans="11:19" ht="25.05" customHeight="1" x14ac:dyDescent="0.45">
      <c r="K856" s="15" t="e">
        <f t="shared" si="98"/>
        <v>#VALUE!</v>
      </c>
      <c r="L856" s="15" t="e">
        <f t="shared" si="99"/>
        <v>#VALUE!</v>
      </c>
      <c r="M856" s="16" t="e">
        <f t="shared" si="100"/>
        <v>#VALUE!</v>
      </c>
      <c r="N856" s="16" t="e">
        <f t="shared" si="96"/>
        <v>#VALUE!</v>
      </c>
      <c r="O856" s="16" t="str">
        <f t="shared" si="97"/>
        <v>Other</v>
      </c>
      <c r="P856" s="16" t="str">
        <f t="shared" si="101"/>
        <v/>
      </c>
      <c r="S856" s="27" t="str">
        <v/>
      </c>
    </row>
    <row r="857" spans="11:19" ht="25.05" customHeight="1" x14ac:dyDescent="0.45">
      <c r="K857" s="15" t="e">
        <f t="shared" si="98"/>
        <v>#VALUE!</v>
      </c>
      <c r="L857" s="15" t="e">
        <f t="shared" si="99"/>
        <v>#VALUE!</v>
      </c>
      <c r="M857" s="16" t="e">
        <f t="shared" si="100"/>
        <v>#VALUE!</v>
      </c>
      <c r="N857" s="16" t="e">
        <f t="shared" si="96"/>
        <v>#VALUE!</v>
      </c>
      <c r="O857" s="16" t="str">
        <f t="shared" si="97"/>
        <v>Other</v>
      </c>
      <c r="P857" s="16" t="str">
        <f t="shared" si="101"/>
        <v/>
      </c>
      <c r="S857" s="27" t="str">
        <v/>
      </c>
    </row>
    <row r="858" spans="11:19" ht="25.05" customHeight="1" x14ac:dyDescent="0.45">
      <c r="K858" s="15" t="e">
        <f t="shared" si="98"/>
        <v>#VALUE!</v>
      </c>
      <c r="L858" s="15" t="e">
        <f t="shared" si="99"/>
        <v>#VALUE!</v>
      </c>
      <c r="M858" s="16" t="e">
        <f t="shared" si="100"/>
        <v>#VALUE!</v>
      </c>
      <c r="N858" s="16" t="e">
        <f t="shared" si="96"/>
        <v>#VALUE!</v>
      </c>
      <c r="O858" s="16" t="str">
        <f t="shared" si="97"/>
        <v>Other</v>
      </c>
      <c r="P858" s="16" t="str">
        <f t="shared" si="101"/>
        <v/>
      </c>
      <c r="S858" s="27" t="str">
        <v/>
      </c>
    </row>
    <row r="859" spans="11:19" ht="25.05" customHeight="1" x14ac:dyDescent="0.45">
      <c r="K859" s="15" t="e">
        <f t="shared" si="98"/>
        <v>#VALUE!</v>
      </c>
      <c r="L859" s="15" t="e">
        <f t="shared" si="99"/>
        <v>#VALUE!</v>
      </c>
      <c r="M859" s="16" t="e">
        <f t="shared" si="100"/>
        <v>#VALUE!</v>
      </c>
      <c r="N859" s="16" t="e">
        <f t="shared" si="96"/>
        <v>#VALUE!</v>
      </c>
      <c r="O859" s="16" t="str">
        <f t="shared" si="97"/>
        <v>Other</v>
      </c>
      <c r="P859" s="16" t="str">
        <f t="shared" si="101"/>
        <v/>
      </c>
      <c r="S859" s="27" t="str">
        <v/>
      </c>
    </row>
    <row r="860" spans="11:19" ht="25.05" customHeight="1" x14ac:dyDescent="0.45">
      <c r="K860" s="15" t="e">
        <f t="shared" si="98"/>
        <v>#VALUE!</v>
      </c>
      <c r="L860" s="15" t="e">
        <f t="shared" si="99"/>
        <v>#VALUE!</v>
      </c>
      <c r="M860" s="16" t="e">
        <f t="shared" si="100"/>
        <v>#VALUE!</v>
      </c>
      <c r="N860" s="16" t="e">
        <f t="shared" si="96"/>
        <v>#VALUE!</v>
      </c>
      <c r="O860" s="16" t="str">
        <f t="shared" si="97"/>
        <v>Other</v>
      </c>
      <c r="P860" s="16" t="str">
        <f t="shared" si="101"/>
        <v/>
      </c>
      <c r="S860" s="27" t="str">
        <v/>
      </c>
    </row>
    <row r="861" spans="11:19" ht="25.05" customHeight="1" x14ac:dyDescent="0.45">
      <c r="K861" s="15" t="e">
        <f t="shared" si="98"/>
        <v>#VALUE!</v>
      </c>
      <c r="L861" s="15" t="e">
        <f t="shared" si="99"/>
        <v>#VALUE!</v>
      </c>
      <c r="M861" s="16" t="e">
        <f t="shared" si="100"/>
        <v>#VALUE!</v>
      </c>
      <c r="N861" s="16" t="e">
        <f t="shared" si="96"/>
        <v>#VALUE!</v>
      </c>
      <c r="O861" s="16" t="str">
        <f t="shared" si="97"/>
        <v>Other</v>
      </c>
      <c r="P861" s="16" t="str">
        <f t="shared" si="101"/>
        <v/>
      </c>
      <c r="S861" s="27" t="str">
        <v/>
      </c>
    </row>
    <row r="862" spans="11:19" ht="25.05" customHeight="1" x14ac:dyDescent="0.45">
      <c r="K862" s="15" t="e">
        <f t="shared" si="98"/>
        <v>#VALUE!</v>
      </c>
      <c r="L862" s="15" t="e">
        <f t="shared" si="99"/>
        <v>#VALUE!</v>
      </c>
      <c r="M862" s="16" t="e">
        <f t="shared" si="100"/>
        <v>#VALUE!</v>
      </c>
      <c r="N862" s="16" t="e">
        <f t="shared" si="96"/>
        <v>#VALUE!</v>
      </c>
      <c r="O862" s="16" t="str">
        <f t="shared" si="97"/>
        <v>Other</v>
      </c>
      <c r="P862" s="16" t="str">
        <f t="shared" si="101"/>
        <v/>
      </c>
      <c r="S862" s="27" t="str">
        <v/>
      </c>
    </row>
    <row r="863" spans="11:19" ht="25.05" customHeight="1" x14ac:dyDescent="0.45">
      <c r="K863" s="15" t="e">
        <f t="shared" si="98"/>
        <v>#VALUE!</v>
      </c>
      <c r="L863" s="15" t="e">
        <f t="shared" si="99"/>
        <v>#VALUE!</v>
      </c>
      <c r="M863" s="16" t="e">
        <f t="shared" si="100"/>
        <v>#VALUE!</v>
      </c>
      <c r="N863" s="16" t="e">
        <f t="shared" si="96"/>
        <v>#VALUE!</v>
      </c>
      <c r="O863" s="16" t="str">
        <f t="shared" si="97"/>
        <v>Other</v>
      </c>
      <c r="P863" s="16" t="str">
        <f t="shared" si="101"/>
        <v/>
      </c>
      <c r="S863" s="27" t="str">
        <v/>
      </c>
    </row>
    <row r="864" spans="11:19" ht="25.05" customHeight="1" x14ac:dyDescent="0.45">
      <c r="K864" s="15" t="e">
        <f t="shared" si="98"/>
        <v>#VALUE!</v>
      </c>
      <c r="L864" s="15" t="e">
        <f t="shared" si="99"/>
        <v>#VALUE!</v>
      </c>
      <c r="M864" s="16" t="e">
        <f t="shared" si="100"/>
        <v>#VALUE!</v>
      </c>
      <c r="N864" s="16" t="e">
        <f t="shared" si="96"/>
        <v>#VALUE!</v>
      </c>
      <c r="O864" s="16" t="str">
        <f t="shared" si="97"/>
        <v>Other</v>
      </c>
      <c r="P864" s="16" t="str">
        <f t="shared" si="101"/>
        <v/>
      </c>
      <c r="S864" s="27" t="str">
        <v/>
      </c>
    </row>
    <row r="865" spans="11:19" ht="25.05" customHeight="1" x14ac:dyDescent="0.45">
      <c r="K865" s="15" t="e">
        <f t="shared" si="98"/>
        <v>#VALUE!</v>
      </c>
      <c r="L865" s="15" t="e">
        <f t="shared" si="99"/>
        <v>#VALUE!</v>
      </c>
      <c r="M865" s="16" t="e">
        <f t="shared" si="100"/>
        <v>#VALUE!</v>
      </c>
      <c r="N865" s="16" t="e">
        <f t="shared" si="96"/>
        <v>#VALUE!</v>
      </c>
      <c r="O865" s="16" t="str">
        <f t="shared" si="97"/>
        <v>Other</v>
      </c>
      <c r="P865" s="16" t="str">
        <f t="shared" si="101"/>
        <v/>
      </c>
      <c r="S865" s="27" t="str">
        <v/>
      </c>
    </row>
    <row r="866" spans="11:19" ht="25.05" customHeight="1" x14ac:dyDescent="0.45">
      <c r="K866" s="15" t="e">
        <f t="shared" si="98"/>
        <v>#VALUE!</v>
      </c>
      <c r="L866" s="15" t="e">
        <f t="shared" si="99"/>
        <v>#VALUE!</v>
      </c>
      <c r="M866" s="16" t="e">
        <f t="shared" si="100"/>
        <v>#VALUE!</v>
      </c>
      <c r="N866" s="16" t="e">
        <f t="shared" ref="N866:N929" si="102">K866 &amp; " &lt;&gt; " &amp; L866</f>
        <v>#VALUE!</v>
      </c>
      <c r="O866" s="16" t="str">
        <f t="shared" si="97"/>
        <v>Other</v>
      </c>
      <c r="P866" s="16" t="str">
        <f t="shared" si="101"/>
        <v/>
      </c>
      <c r="S866" s="27" t="str">
        <v/>
      </c>
    </row>
    <row r="867" spans="11:19" ht="25.05" customHeight="1" x14ac:dyDescent="0.45">
      <c r="K867" s="15" t="e">
        <f t="shared" si="98"/>
        <v>#VALUE!</v>
      </c>
      <c r="L867" s="15" t="e">
        <f t="shared" si="99"/>
        <v>#VALUE!</v>
      </c>
      <c r="M867" s="16" t="e">
        <f t="shared" si="100"/>
        <v>#VALUE!</v>
      </c>
      <c r="N867" s="16" t="e">
        <f t="shared" si="102"/>
        <v>#VALUE!</v>
      </c>
      <c r="O867" s="16" t="str">
        <f t="shared" si="97"/>
        <v>Other</v>
      </c>
      <c r="P867" s="16" t="str">
        <f t="shared" si="101"/>
        <v/>
      </c>
      <c r="S867" s="27" t="str">
        <v/>
      </c>
    </row>
    <row r="868" spans="11:19" ht="25.05" customHeight="1" x14ac:dyDescent="0.45">
      <c r="K868" s="15" t="e">
        <f t="shared" si="98"/>
        <v>#VALUE!</v>
      </c>
      <c r="L868" s="15" t="e">
        <f t="shared" si="99"/>
        <v>#VALUE!</v>
      </c>
      <c r="M868" s="16" t="e">
        <f t="shared" si="100"/>
        <v>#VALUE!</v>
      </c>
      <c r="N868" s="16" t="e">
        <f t="shared" si="102"/>
        <v>#VALUE!</v>
      </c>
      <c r="O868" s="16" t="str">
        <f t="shared" si="97"/>
        <v>Other</v>
      </c>
      <c r="P868" s="16" t="str">
        <f t="shared" si="101"/>
        <v/>
      </c>
      <c r="S868" s="27" t="str">
        <v/>
      </c>
    </row>
    <row r="869" spans="11:19" ht="25.05" customHeight="1" x14ac:dyDescent="0.45">
      <c r="K869" s="15" t="e">
        <f t="shared" si="98"/>
        <v>#VALUE!</v>
      </c>
      <c r="L869" s="15" t="e">
        <f t="shared" si="99"/>
        <v>#VALUE!</v>
      </c>
      <c r="M869" s="16" t="e">
        <f t="shared" si="100"/>
        <v>#VALUE!</v>
      </c>
      <c r="N869" s="16" t="e">
        <f t="shared" si="102"/>
        <v>#VALUE!</v>
      </c>
      <c r="O869" s="16" t="str">
        <f t="shared" si="97"/>
        <v>Other</v>
      </c>
      <c r="P869" s="16" t="str">
        <f t="shared" si="101"/>
        <v/>
      </c>
      <c r="S869" s="27" t="str">
        <v/>
      </c>
    </row>
    <row r="870" spans="11:19" ht="25.05" customHeight="1" x14ac:dyDescent="0.45">
      <c r="K870" s="15" t="e">
        <f t="shared" si="98"/>
        <v>#VALUE!</v>
      </c>
      <c r="L870" s="15" t="e">
        <f t="shared" si="99"/>
        <v>#VALUE!</v>
      </c>
      <c r="M870" s="16" t="e">
        <f t="shared" si="100"/>
        <v>#VALUE!</v>
      </c>
      <c r="N870" s="16" t="e">
        <f t="shared" si="102"/>
        <v>#VALUE!</v>
      </c>
      <c r="O870" s="16" t="str">
        <f t="shared" ref="O870:O933" si="103">IF(LEFT(E870, 6)="TenGig", "10G (Ten Gig)", IF(LEFT(E870, 10)="HundredGig", "100G (Hundred Gig)", "Other"))</f>
        <v>Other</v>
      </c>
      <c r="P870" s="16" t="str">
        <f t="shared" si="101"/>
        <v/>
      </c>
      <c r="S870" s="27" t="str">
        <v/>
      </c>
    </row>
    <row r="871" spans="11:19" ht="25.05" customHeight="1" x14ac:dyDescent="0.45">
      <c r="K871" s="15" t="e">
        <f t="shared" ref="K871:K934" si="104">LEFT(A871, FIND("-", A871)-1)</f>
        <v>#VALUE!</v>
      </c>
      <c r="L871" s="15" t="e">
        <f t="shared" si="99"/>
        <v>#VALUE!</v>
      </c>
      <c r="M871" s="16" t="e">
        <f t="shared" si="100"/>
        <v>#VALUE!</v>
      </c>
      <c r="N871" s="16" t="e">
        <f t="shared" si="102"/>
        <v>#VALUE!</v>
      </c>
      <c r="O871" s="16" t="str">
        <f t="shared" si="103"/>
        <v>Other</v>
      </c>
      <c r="P871" s="16" t="str">
        <f t="shared" si="101"/>
        <v/>
      </c>
      <c r="S871" s="27" t="str">
        <v/>
      </c>
    </row>
    <row r="872" spans="11:19" ht="25.05" customHeight="1" x14ac:dyDescent="0.45">
      <c r="K872" s="15" t="e">
        <f t="shared" si="104"/>
        <v>#VALUE!</v>
      </c>
      <c r="L872" s="15" t="e">
        <f t="shared" si="99"/>
        <v>#VALUE!</v>
      </c>
      <c r="M872" s="16" t="e">
        <f t="shared" si="100"/>
        <v>#VALUE!</v>
      </c>
      <c r="N872" s="16" t="e">
        <f t="shared" si="102"/>
        <v>#VALUE!</v>
      </c>
      <c r="O872" s="16" t="str">
        <f t="shared" si="103"/>
        <v>Other</v>
      </c>
      <c r="P872" s="16" t="str">
        <f t="shared" si="101"/>
        <v/>
      </c>
      <c r="S872" s="27" t="str">
        <v/>
      </c>
    </row>
    <row r="873" spans="11:19" ht="25.05" customHeight="1" x14ac:dyDescent="0.45">
      <c r="K873" s="15" t="e">
        <f t="shared" si="104"/>
        <v>#VALUE!</v>
      </c>
      <c r="L873" s="15" t="e">
        <f t="shared" ref="L873:L936" si="105">LEFT(C873, FIND("-", C873)-1)</f>
        <v>#VALUE!</v>
      </c>
      <c r="M873" s="16" t="e">
        <f t="shared" si="100"/>
        <v>#VALUE!</v>
      </c>
      <c r="N873" s="16" t="e">
        <f t="shared" si="102"/>
        <v>#VALUE!</v>
      </c>
      <c r="O873" s="16" t="str">
        <f t="shared" si="103"/>
        <v>Other</v>
      </c>
      <c r="P873" s="16" t="str">
        <f t="shared" si="101"/>
        <v/>
      </c>
      <c r="S873" s="27" t="str">
        <v/>
      </c>
    </row>
    <row r="874" spans="11:19" ht="25.05" customHeight="1" x14ac:dyDescent="0.45">
      <c r="K874" s="15" t="e">
        <f t="shared" si="104"/>
        <v>#VALUE!</v>
      </c>
      <c r="L874" s="15" t="e">
        <f t="shared" si="105"/>
        <v>#VALUE!</v>
      </c>
      <c r="M874" s="16" t="e">
        <f t="shared" si="100"/>
        <v>#VALUE!</v>
      </c>
      <c r="N874" s="16" t="e">
        <f t="shared" si="102"/>
        <v>#VALUE!</v>
      </c>
      <c r="O874" s="16" t="str">
        <f t="shared" si="103"/>
        <v>Other</v>
      </c>
      <c r="P874" s="16" t="str">
        <f t="shared" si="101"/>
        <v/>
      </c>
      <c r="S874" s="27" t="str">
        <v/>
      </c>
    </row>
    <row r="875" spans="11:19" ht="25.05" customHeight="1" x14ac:dyDescent="0.45">
      <c r="K875" s="15" t="e">
        <f t="shared" si="104"/>
        <v>#VALUE!</v>
      </c>
      <c r="L875" s="15" t="e">
        <f t="shared" si="105"/>
        <v>#VALUE!</v>
      </c>
      <c r="M875" s="16" t="e">
        <f t="shared" si="100"/>
        <v>#VALUE!</v>
      </c>
      <c r="N875" s="16" t="e">
        <f t="shared" si="102"/>
        <v>#VALUE!</v>
      </c>
      <c r="O875" s="16" t="str">
        <f t="shared" si="103"/>
        <v>Other</v>
      </c>
      <c r="P875" s="16" t="str">
        <f t="shared" si="101"/>
        <v/>
      </c>
      <c r="S875" s="27" t="str">
        <v/>
      </c>
    </row>
    <row r="876" spans="11:19" ht="25.05" customHeight="1" x14ac:dyDescent="0.45">
      <c r="K876" s="15" t="e">
        <f t="shared" si="104"/>
        <v>#VALUE!</v>
      </c>
      <c r="L876" s="15" t="e">
        <f t="shared" si="105"/>
        <v>#VALUE!</v>
      </c>
      <c r="M876" s="16" t="e">
        <f t="shared" si="100"/>
        <v>#VALUE!</v>
      </c>
      <c r="N876" s="16" t="e">
        <f t="shared" si="102"/>
        <v>#VALUE!</v>
      </c>
      <c r="O876" s="16" t="str">
        <f t="shared" si="103"/>
        <v>Other</v>
      </c>
      <c r="P876" s="16" t="str">
        <f t="shared" si="101"/>
        <v/>
      </c>
      <c r="S876" s="27" t="str">
        <v/>
      </c>
    </row>
    <row r="877" spans="11:19" ht="25.05" customHeight="1" x14ac:dyDescent="0.45">
      <c r="K877" s="15" t="e">
        <f t="shared" si="104"/>
        <v>#VALUE!</v>
      </c>
      <c r="L877" s="15" t="e">
        <f t="shared" si="105"/>
        <v>#VALUE!</v>
      </c>
      <c r="M877" s="16" t="e">
        <f t="shared" si="100"/>
        <v>#VALUE!</v>
      </c>
      <c r="N877" s="16" t="e">
        <f t="shared" si="102"/>
        <v>#VALUE!</v>
      </c>
      <c r="O877" s="16" t="str">
        <f t="shared" si="103"/>
        <v>Other</v>
      </c>
      <c r="P877" s="16" t="str">
        <f t="shared" si="101"/>
        <v/>
      </c>
      <c r="S877" s="27" t="str">
        <v/>
      </c>
    </row>
    <row r="878" spans="11:19" ht="25.05" customHeight="1" x14ac:dyDescent="0.45">
      <c r="K878" s="15" t="e">
        <f t="shared" si="104"/>
        <v>#VALUE!</v>
      </c>
      <c r="L878" s="15" t="e">
        <f t="shared" si="105"/>
        <v>#VALUE!</v>
      </c>
      <c r="M878" s="16" t="e">
        <f t="shared" si="100"/>
        <v>#VALUE!</v>
      </c>
      <c r="N878" s="16" t="e">
        <f t="shared" si="102"/>
        <v>#VALUE!</v>
      </c>
      <c r="O878" s="16" t="str">
        <f t="shared" si="103"/>
        <v>Other</v>
      </c>
      <c r="P878" s="16" t="str">
        <f t="shared" si="101"/>
        <v/>
      </c>
      <c r="S878" s="27" t="str">
        <v/>
      </c>
    </row>
    <row r="879" spans="11:19" ht="25.05" customHeight="1" x14ac:dyDescent="0.45">
      <c r="K879" s="15" t="e">
        <f t="shared" si="104"/>
        <v>#VALUE!</v>
      </c>
      <c r="L879" s="15" t="e">
        <f t="shared" si="105"/>
        <v>#VALUE!</v>
      </c>
      <c r="M879" s="16" t="e">
        <f t="shared" si="100"/>
        <v>#VALUE!</v>
      </c>
      <c r="N879" s="16" t="e">
        <f t="shared" si="102"/>
        <v>#VALUE!</v>
      </c>
      <c r="O879" s="16" t="str">
        <f t="shared" si="103"/>
        <v>Other</v>
      </c>
      <c r="P879" s="16" t="str">
        <f t="shared" si="101"/>
        <v/>
      </c>
      <c r="S879" s="27" t="str">
        <v/>
      </c>
    </row>
    <row r="880" spans="11:19" ht="25.05" customHeight="1" x14ac:dyDescent="0.45">
      <c r="K880" s="15" t="e">
        <f t="shared" si="104"/>
        <v>#VALUE!</v>
      </c>
      <c r="L880" s="15" t="e">
        <f t="shared" si="105"/>
        <v>#VALUE!</v>
      </c>
      <c r="M880" s="16" t="e">
        <f t="shared" si="100"/>
        <v>#VALUE!</v>
      </c>
      <c r="N880" s="16" t="e">
        <f t="shared" si="102"/>
        <v>#VALUE!</v>
      </c>
      <c r="O880" s="16" t="str">
        <f t="shared" si="103"/>
        <v>Other</v>
      </c>
      <c r="P880" s="16" t="str">
        <f t="shared" si="101"/>
        <v/>
      </c>
      <c r="S880" s="27" t="str">
        <v/>
      </c>
    </row>
    <row r="881" spans="11:19" ht="25.05" customHeight="1" x14ac:dyDescent="0.45">
      <c r="K881" s="15" t="e">
        <f t="shared" si="104"/>
        <v>#VALUE!</v>
      </c>
      <c r="L881" s="15" t="e">
        <f t="shared" si="105"/>
        <v>#VALUE!</v>
      </c>
      <c r="M881" s="16" t="e">
        <f t="shared" si="100"/>
        <v>#VALUE!</v>
      </c>
      <c r="N881" s="16" t="e">
        <f t="shared" si="102"/>
        <v>#VALUE!</v>
      </c>
      <c r="O881" s="16" t="str">
        <f t="shared" si="103"/>
        <v>Other</v>
      </c>
      <c r="P881" s="16" t="str">
        <f t="shared" si="101"/>
        <v/>
      </c>
      <c r="S881" s="27" t="str">
        <v/>
      </c>
    </row>
    <row r="882" spans="11:19" ht="25.05" customHeight="1" x14ac:dyDescent="0.45">
      <c r="K882" s="15" t="e">
        <f t="shared" si="104"/>
        <v>#VALUE!</v>
      </c>
      <c r="L882" s="15" t="e">
        <f t="shared" si="105"/>
        <v>#VALUE!</v>
      </c>
      <c r="M882" s="16" t="e">
        <f t="shared" si="100"/>
        <v>#VALUE!</v>
      </c>
      <c r="N882" s="16" t="e">
        <f t="shared" si="102"/>
        <v>#VALUE!</v>
      </c>
      <c r="O882" s="16" t="str">
        <f t="shared" si="103"/>
        <v>Other</v>
      </c>
      <c r="P882" s="16" t="str">
        <f t="shared" si="101"/>
        <v/>
      </c>
      <c r="S882" s="27" t="str">
        <v/>
      </c>
    </row>
    <row r="883" spans="11:19" ht="25.05" customHeight="1" x14ac:dyDescent="0.45">
      <c r="K883" s="15" t="e">
        <f t="shared" si="104"/>
        <v>#VALUE!</v>
      </c>
      <c r="L883" s="15" t="e">
        <f t="shared" si="105"/>
        <v>#VALUE!</v>
      </c>
      <c r="M883" s="16" t="e">
        <f t="shared" si="100"/>
        <v>#VALUE!</v>
      </c>
      <c r="N883" s="16" t="e">
        <f t="shared" si="102"/>
        <v>#VALUE!</v>
      </c>
      <c r="O883" s="16" t="str">
        <f t="shared" si="103"/>
        <v>Other</v>
      </c>
      <c r="P883" s="16" t="str">
        <f t="shared" si="101"/>
        <v/>
      </c>
      <c r="S883" s="27" t="str">
        <v/>
      </c>
    </row>
    <row r="884" spans="11:19" ht="25.05" customHeight="1" x14ac:dyDescent="0.45">
      <c r="K884" s="15" t="e">
        <f t="shared" si="104"/>
        <v>#VALUE!</v>
      </c>
      <c r="L884" s="15" t="e">
        <f t="shared" si="105"/>
        <v>#VALUE!</v>
      </c>
      <c r="M884" s="16" t="e">
        <f t="shared" si="100"/>
        <v>#VALUE!</v>
      </c>
      <c r="N884" s="16" t="e">
        <f t="shared" si="102"/>
        <v>#VALUE!</v>
      </c>
      <c r="O884" s="16" t="str">
        <f t="shared" si="103"/>
        <v>Other</v>
      </c>
      <c r="P884" s="16" t="str">
        <f t="shared" si="101"/>
        <v/>
      </c>
      <c r="S884" s="27" t="str">
        <v/>
      </c>
    </row>
    <row r="885" spans="11:19" ht="25.05" customHeight="1" x14ac:dyDescent="0.45">
      <c r="K885" s="15" t="e">
        <f t="shared" si="104"/>
        <v>#VALUE!</v>
      </c>
      <c r="L885" s="15" t="e">
        <f t="shared" si="105"/>
        <v>#VALUE!</v>
      </c>
      <c r="M885" s="16" t="e">
        <f t="shared" si="100"/>
        <v>#VALUE!</v>
      </c>
      <c r="N885" s="16" t="e">
        <f t="shared" si="102"/>
        <v>#VALUE!</v>
      </c>
      <c r="O885" s="16" t="str">
        <f t="shared" si="103"/>
        <v>Other</v>
      </c>
      <c r="P885" s="16" t="str">
        <f t="shared" si="101"/>
        <v/>
      </c>
      <c r="S885" s="27" t="str">
        <v/>
      </c>
    </row>
    <row r="886" spans="11:19" ht="25.05" customHeight="1" x14ac:dyDescent="0.45">
      <c r="K886" s="15" t="e">
        <f t="shared" si="104"/>
        <v>#VALUE!</v>
      </c>
      <c r="L886" s="15" t="e">
        <f t="shared" si="105"/>
        <v>#VALUE!</v>
      </c>
      <c r="M886" s="16" t="e">
        <f t="shared" si="100"/>
        <v>#VALUE!</v>
      </c>
      <c r="N886" s="16" t="e">
        <f t="shared" si="102"/>
        <v>#VALUE!</v>
      </c>
      <c r="O886" s="16" t="str">
        <f t="shared" si="103"/>
        <v>Other</v>
      </c>
      <c r="P886" s="16" t="str">
        <f t="shared" si="101"/>
        <v/>
      </c>
      <c r="S886" s="27" t="str">
        <v/>
      </c>
    </row>
    <row r="887" spans="11:19" ht="25.05" customHeight="1" x14ac:dyDescent="0.45">
      <c r="K887" s="15" t="e">
        <f t="shared" si="104"/>
        <v>#VALUE!</v>
      </c>
      <c r="L887" s="15" t="e">
        <f t="shared" si="105"/>
        <v>#VALUE!</v>
      </c>
      <c r="M887" s="16" t="e">
        <f t="shared" si="100"/>
        <v>#VALUE!</v>
      </c>
      <c r="N887" s="16" t="e">
        <f t="shared" si="102"/>
        <v>#VALUE!</v>
      </c>
      <c r="O887" s="16" t="str">
        <f t="shared" si="103"/>
        <v>Other</v>
      </c>
      <c r="P887" s="16" t="str">
        <f t="shared" si="101"/>
        <v/>
      </c>
      <c r="S887" s="27" t="str">
        <v/>
      </c>
    </row>
    <row r="888" spans="11:19" ht="25.05" customHeight="1" x14ac:dyDescent="0.45">
      <c r="K888" s="15" t="e">
        <f t="shared" si="104"/>
        <v>#VALUE!</v>
      </c>
      <c r="L888" s="15" t="e">
        <f t="shared" si="105"/>
        <v>#VALUE!</v>
      </c>
      <c r="M888" s="16" t="e">
        <f t="shared" si="100"/>
        <v>#VALUE!</v>
      </c>
      <c r="N888" s="16" t="e">
        <f t="shared" si="102"/>
        <v>#VALUE!</v>
      </c>
      <c r="O888" s="16" t="str">
        <f t="shared" si="103"/>
        <v>Other</v>
      </c>
      <c r="P888" s="16" t="str">
        <f t="shared" si="101"/>
        <v/>
      </c>
      <c r="S888" s="27" t="str">
        <v/>
      </c>
    </row>
    <row r="889" spans="11:19" ht="25.05" customHeight="1" x14ac:dyDescent="0.45">
      <c r="K889" s="15" t="e">
        <f t="shared" si="104"/>
        <v>#VALUE!</v>
      </c>
      <c r="L889" s="15" t="e">
        <f t="shared" si="105"/>
        <v>#VALUE!</v>
      </c>
      <c r="M889" s="16" t="e">
        <f t="shared" si="100"/>
        <v>#VALUE!</v>
      </c>
      <c r="N889" s="16" t="e">
        <f t="shared" si="102"/>
        <v>#VALUE!</v>
      </c>
      <c r="O889" s="16" t="str">
        <f t="shared" si="103"/>
        <v>Other</v>
      </c>
      <c r="P889" s="16" t="str">
        <f t="shared" si="101"/>
        <v/>
      </c>
      <c r="S889" s="27" t="str">
        <v/>
      </c>
    </row>
    <row r="890" spans="11:19" ht="25.05" customHeight="1" x14ac:dyDescent="0.45">
      <c r="K890" s="15" t="e">
        <f t="shared" si="104"/>
        <v>#VALUE!</v>
      </c>
      <c r="L890" s="15" t="e">
        <f t="shared" si="105"/>
        <v>#VALUE!</v>
      </c>
      <c r="M890" s="16" t="e">
        <f t="shared" si="100"/>
        <v>#VALUE!</v>
      </c>
      <c r="N890" s="16" t="e">
        <f t="shared" si="102"/>
        <v>#VALUE!</v>
      </c>
      <c r="O890" s="16" t="str">
        <f t="shared" si="103"/>
        <v>Other</v>
      </c>
      <c r="P890" s="16" t="str">
        <f t="shared" si="101"/>
        <v/>
      </c>
      <c r="S890" s="27" t="str">
        <v/>
      </c>
    </row>
    <row r="891" spans="11:19" ht="25.05" customHeight="1" x14ac:dyDescent="0.45">
      <c r="K891" s="15" t="e">
        <f t="shared" si="104"/>
        <v>#VALUE!</v>
      </c>
      <c r="L891" s="15" t="e">
        <f t="shared" si="105"/>
        <v>#VALUE!</v>
      </c>
      <c r="M891" s="16" t="e">
        <f t="shared" si="100"/>
        <v>#VALUE!</v>
      </c>
      <c r="N891" s="16" t="e">
        <f t="shared" si="102"/>
        <v>#VALUE!</v>
      </c>
      <c r="O891" s="16" t="str">
        <f t="shared" si="103"/>
        <v>Other</v>
      </c>
      <c r="P891" s="16" t="str">
        <f t="shared" si="101"/>
        <v/>
      </c>
      <c r="S891" s="27" t="str">
        <v/>
      </c>
    </row>
    <row r="892" spans="11:19" ht="25.05" customHeight="1" x14ac:dyDescent="0.45">
      <c r="K892" s="15" t="e">
        <f t="shared" si="104"/>
        <v>#VALUE!</v>
      </c>
      <c r="L892" s="15" t="e">
        <f t="shared" si="105"/>
        <v>#VALUE!</v>
      </c>
      <c r="M892" s="16" t="e">
        <f t="shared" si="100"/>
        <v>#VALUE!</v>
      </c>
      <c r="N892" s="16" t="e">
        <f t="shared" si="102"/>
        <v>#VALUE!</v>
      </c>
      <c r="O892" s="16" t="str">
        <f t="shared" si="103"/>
        <v>Other</v>
      </c>
      <c r="P892" s="16" t="str">
        <f t="shared" si="101"/>
        <v/>
      </c>
      <c r="S892" s="27" t="str">
        <v/>
      </c>
    </row>
    <row r="893" spans="11:19" ht="25.05" customHeight="1" x14ac:dyDescent="0.45">
      <c r="K893" s="15" t="e">
        <f t="shared" si="104"/>
        <v>#VALUE!</v>
      </c>
      <c r="L893" s="15" t="e">
        <f t="shared" si="105"/>
        <v>#VALUE!</v>
      </c>
      <c r="M893" s="16" t="e">
        <f t="shared" si="100"/>
        <v>#VALUE!</v>
      </c>
      <c r="N893" s="16" t="e">
        <f t="shared" si="102"/>
        <v>#VALUE!</v>
      </c>
      <c r="O893" s="16" t="str">
        <f t="shared" si="103"/>
        <v>Other</v>
      </c>
      <c r="P893" s="16" t="str">
        <f t="shared" si="101"/>
        <v/>
      </c>
      <c r="S893" s="27" t="str">
        <v/>
      </c>
    </row>
    <row r="894" spans="11:19" ht="25.05" customHeight="1" x14ac:dyDescent="0.45">
      <c r="K894" s="15" t="e">
        <f t="shared" si="104"/>
        <v>#VALUE!</v>
      </c>
      <c r="L894" s="15" t="e">
        <f t="shared" si="105"/>
        <v>#VALUE!</v>
      </c>
      <c r="M894" s="16" t="e">
        <f t="shared" si="100"/>
        <v>#VALUE!</v>
      </c>
      <c r="N894" s="16" t="e">
        <f t="shared" si="102"/>
        <v>#VALUE!</v>
      </c>
      <c r="O894" s="16" t="str">
        <f t="shared" si="103"/>
        <v>Other</v>
      </c>
      <c r="P894" s="16" t="str">
        <f t="shared" si="101"/>
        <v/>
      </c>
      <c r="S894" s="27" t="str">
        <v/>
      </c>
    </row>
    <row r="895" spans="11:19" ht="25.05" customHeight="1" x14ac:dyDescent="0.45">
      <c r="K895" s="15" t="e">
        <f t="shared" si="104"/>
        <v>#VALUE!</v>
      </c>
      <c r="L895" s="15" t="e">
        <f t="shared" si="105"/>
        <v>#VALUE!</v>
      </c>
      <c r="M895" s="16" t="e">
        <f t="shared" si="100"/>
        <v>#VALUE!</v>
      </c>
      <c r="N895" s="16" t="e">
        <f t="shared" si="102"/>
        <v>#VALUE!</v>
      </c>
      <c r="O895" s="16" t="str">
        <f t="shared" si="103"/>
        <v>Other</v>
      </c>
      <c r="P895" s="16" t="str">
        <f t="shared" si="101"/>
        <v/>
      </c>
      <c r="S895" s="27" t="str">
        <v/>
      </c>
    </row>
    <row r="896" spans="11:19" ht="25.05" customHeight="1" x14ac:dyDescent="0.45">
      <c r="K896" s="15" t="e">
        <f t="shared" si="104"/>
        <v>#VALUE!</v>
      </c>
      <c r="L896" s="15" t="e">
        <f t="shared" si="105"/>
        <v>#VALUE!</v>
      </c>
      <c r="M896" s="16" t="e">
        <f t="shared" si="100"/>
        <v>#VALUE!</v>
      </c>
      <c r="N896" s="16" t="e">
        <f t="shared" si="102"/>
        <v>#VALUE!</v>
      </c>
      <c r="O896" s="16" t="str">
        <f t="shared" si="103"/>
        <v>Other</v>
      </c>
      <c r="P896" s="16" t="str">
        <f t="shared" si="101"/>
        <v/>
      </c>
      <c r="S896" s="27" t="str">
        <v/>
      </c>
    </row>
    <row r="897" spans="11:19" ht="25.05" customHeight="1" x14ac:dyDescent="0.45">
      <c r="K897" s="15" t="e">
        <f t="shared" si="104"/>
        <v>#VALUE!</v>
      </c>
      <c r="L897" s="15" t="e">
        <f t="shared" si="105"/>
        <v>#VALUE!</v>
      </c>
      <c r="M897" s="16" t="e">
        <f t="shared" si="100"/>
        <v>#VALUE!</v>
      </c>
      <c r="N897" s="16" t="e">
        <f t="shared" si="102"/>
        <v>#VALUE!</v>
      </c>
      <c r="O897" s="16" t="str">
        <f t="shared" si="103"/>
        <v>Other</v>
      </c>
      <c r="P897" s="16" t="str">
        <f t="shared" si="101"/>
        <v/>
      </c>
      <c r="S897" s="27" t="str">
        <v/>
      </c>
    </row>
    <row r="898" spans="11:19" ht="25.05" customHeight="1" x14ac:dyDescent="0.45">
      <c r="K898" s="15" t="e">
        <f t="shared" si="104"/>
        <v>#VALUE!</v>
      </c>
      <c r="L898" s="15" t="e">
        <f t="shared" si="105"/>
        <v>#VALUE!</v>
      </c>
      <c r="M898" s="16" t="e">
        <f t="shared" ref="M898:M961" si="106">MID(G898,FIND("LR-",G898)+3,FIND("-",G898,FIND("LR-",G898)+3)-FIND("LR-",G898)-3)</f>
        <v>#VALUE!</v>
      </c>
      <c r="N898" s="16" t="e">
        <f t="shared" si="102"/>
        <v>#VALUE!</v>
      </c>
      <c r="O898" s="16" t="str">
        <f t="shared" si="103"/>
        <v>Other</v>
      </c>
      <c r="P898" s="16" t="str">
        <f t="shared" ref="P898:P961" si="107">IF(S898&lt;&gt;"",IF(LEFT(S898,FIND(" &lt;&gt; ",S898)-1) &lt; MID(S898,FIND(" &lt;&gt; ",S898)+4,LEN(S898)),LEFT(S898,FIND(" &lt;&gt; ",S898)-1) &amp; " &lt;&gt; " &amp; MID(S898,FIND(" &lt;&gt; ",S898)+4,LEN(S898)),MID(S898,FIND(" &lt;&gt; ",S898)+4,LEN(S898)) &amp; " &lt;&gt; " &amp; LEFT(S898,FIND(" &lt;&gt; ",S898)-1)),"")</f>
        <v/>
      </c>
      <c r="S898" s="27" t="str">
        <v/>
      </c>
    </row>
    <row r="899" spans="11:19" ht="25.05" customHeight="1" x14ac:dyDescent="0.45">
      <c r="K899" s="15" t="e">
        <f t="shared" si="104"/>
        <v>#VALUE!</v>
      </c>
      <c r="L899" s="15" t="e">
        <f t="shared" si="105"/>
        <v>#VALUE!</v>
      </c>
      <c r="M899" s="16" t="e">
        <f t="shared" si="106"/>
        <v>#VALUE!</v>
      </c>
      <c r="N899" s="16" t="e">
        <f t="shared" si="102"/>
        <v>#VALUE!</v>
      </c>
      <c r="O899" s="16" t="str">
        <f t="shared" si="103"/>
        <v>Other</v>
      </c>
      <c r="P899" s="16" t="str">
        <f t="shared" si="107"/>
        <v/>
      </c>
      <c r="S899" s="27" t="str">
        <v/>
      </c>
    </row>
    <row r="900" spans="11:19" ht="25.05" customHeight="1" x14ac:dyDescent="0.45">
      <c r="K900" s="15" t="e">
        <f t="shared" si="104"/>
        <v>#VALUE!</v>
      </c>
      <c r="L900" s="15" t="e">
        <f t="shared" si="105"/>
        <v>#VALUE!</v>
      </c>
      <c r="M900" s="16" t="e">
        <f t="shared" si="106"/>
        <v>#VALUE!</v>
      </c>
      <c r="N900" s="16" t="e">
        <f t="shared" si="102"/>
        <v>#VALUE!</v>
      </c>
      <c r="O900" s="16" t="str">
        <f t="shared" si="103"/>
        <v>Other</v>
      </c>
      <c r="P900" s="16" t="str">
        <f t="shared" si="107"/>
        <v/>
      </c>
      <c r="S900" s="27" t="str">
        <v/>
      </c>
    </row>
    <row r="901" spans="11:19" ht="25.05" customHeight="1" x14ac:dyDescent="0.45">
      <c r="K901" s="15" t="e">
        <f t="shared" si="104"/>
        <v>#VALUE!</v>
      </c>
      <c r="L901" s="15" t="e">
        <f t="shared" si="105"/>
        <v>#VALUE!</v>
      </c>
      <c r="M901" s="16" t="e">
        <f t="shared" si="106"/>
        <v>#VALUE!</v>
      </c>
      <c r="N901" s="16" t="e">
        <f t="shared" si="102"/>
        <v>#VALUE!</v>
      </c>
      <c r="O901" s="16" t="str">
        <f t="shared" si="103"/>
        <v>Other</v>
      </c>
      <c r="P901" s="16" t="str">
        <f t="shared" si="107"/>
        <v/>
      </c>
      <c r="S901" s="27" t="str">
        <v/>
      </c>
    </row>
    <row r="902" spans="11:19" ht="25.05" customHeight="1" x14ac:dyDescent="0.45">
      <c r="K902" s="15" t="e">
        <f t="shared" si="104"/>
        <v>#VALUE!</v>
      </c>
      <c r="L902" s="15" t="e">
        <f t="shared" si="105"/>
        <v>#VALUE!</v>
      </c>
      <c r="M902" s="16" t="e">
        <f t="shared" si="106"/>
        <v>#VALUE!</v>
      </c>
      <c r="N902" s="16" t="e">
        <f t="shared" si="102"/>
        <v>#VALUE!</v>
      </c>
      <c r="O902" s="16" t="str">
        <f t="shared" si="103"/>
        <v>Other</v>
      </c>
      <c r="P902" s="16" t="str">
        <f t="shared" si="107"/>
        <v/>
      </c>
      <c r="S902" s="27" t="str">
        <v/>
      </c>
    </row>
    <row r="903" spans="11:19" ht="25.05" customHeight="1" x14ac:dyDescent="0.45">
      <c r="K903" s="15" t="e">
        <f t="shared" si="104"/>
        <v>#VALUE!</v>
      </c>
      <c r="L903" s="15" t="e">
        <f t="shared" si="105"/>
        <v>#VALUE!</v>
      </c>
      <c r="M903" s="16" t="e">
        <f t="shared" si="106"/>
        <v>#VALUE!</v>
      </c>
      <c r="N903" s="16" t="e">
        <f t="shared" si="102"/>
        <v>#VALUE!</v>
      </c>
      <c r="O903" s="16" t="str">
        <f t="shared" si="103"/>
        <v>Other</v>
      </c>
      <c r="P903" s="16" t="str">
        <f t="shared" si="107"/>
        <v/>
      </c>
      <c r="S903" s="27" t="str">
        <v/>
      </c>
    </row>
    <row r="904" spans="11:19" ht="25.05" customHeight="1" x14ac:dyDescent="0.45">
      <c r="K904" s="15" t="e">
        <f t="shared" si="104"/>
        <v>#VALUE!</v>
      </c>
      <c r="L904" s="15" t="e">
        <f t="shared" si="105"/>
        <v>#VALUE!</v>
      </c>
      <c r="M904" s="16" t="e">
        <f t="shared" si="106"/>
        <v>#VALUE!</v>
      </c>
      <c r="N904" s="16" t="e">
        <f t="shared" si="102"/>
        <v>#VALUE!</v>
      </c>
      <c r="O904" s="16" t="str">
        <f t="shared" si="103"/>
        <v>Other</v>
      </c>
      <c r="P904" s="16" t="str">
        <f t="shared" si="107"/>
        <v/>
      </c>
      <c r="S904" s="27" t="str">
        <v/>
      </c>
    </row>
    <row r="905" spans="11:19" ht="25.05" customHeight="1" x14ac:dyDescent="0.45">
      <c r="K905" s="15" t="e">
        <f t="shared" si="104"/>
        <v>#VALUE!</v>
      </c>
      <c r="L905" s="15" t="e">
        <f t="shared" si="105"/>
        <v>#VALUE!</v>
      </c>
      <c r="M905" s="16" t="e">
        <f t="shared" si="106"/>
        <v>#VALUE!</v>
      </c>
      <c r="N905" s="16" t="e">
        <f t="shared" si="102"/>
        <v>#VALUE!</v>
      </c>
      <c r="O905" s="16" t="str">
        <f t="shared" si="103"/>
        <v>Other</v>
      </c>
      <c r="P905" s="16" t="str">
        <f t="shared" si="107"/>
        <v/>
      </c>
      <c r="S905" s="27" t="str">
        <v/>
      </c>
    </row>
    <row r="906" spans="11:19" ht="25.05" customHeight="1" x14ac:dyDescent="0.45">
      <c r="K906" s="15" t="e">
        <f t="shared" si="104"/>
        <v>#VALUE!</v>
      </c>
      <c r="L906" s="15" t="e">
        <f t="shared" si="105"/>
        <v>#VALUE!</v>
      </c>
      <c r="M906" s="16" t="e">
        <f t="shared" si="106"/>
        <v>#VALUE!</v>
      </c>
      <c r="N906" s="16" t="e">
        <f t="shared" si="102"/>
        <v>#VALUE!</v>
      </c>
      <c r="O906" s="16" t="str">
        <f t="shared" si="103"/>
        <v>Other</v>
      </c>
      <c r="P906" s="16" t="str">
        <f t="shared" si="107"/>
        <v/>
      </c>
      <c r="S906" s="27" t="str">
        <v/>
      </c>
    </row>
    <row r="907" spans="11:19" ht="25.05" customHeight="1" x14ac:dyDescent="0.45">
      <c r="K907" s="15" t="e">
        <f t="shared" si="104"/>
        <v>#VALUE!</v>
      </c>
      <c r="L907" s="15" t="e">
        <f t="shared" si="105"/>
        <v>#VALUE!</v>
      </c>
      <c r="M907" s="16" t="e">
        <f t="shared" si="106"/>
        <v>#VALUE!</v>
      </c>
      <c r="N907" s="16" t="e">
        <f t="shared" si="102"/>
        <v>#VALUE!</v>
      </c>
      <c r="O907" s="16" t="str">
        <f t="shared" si="103"/>
        <v>Other</v>
      </c>
      <c r="P907" s="16" t="str">
        <f t="shared" si="107"/>
        <v/>
      </c>
      <c r="S907" s="27" t="str">
        <v/>
      </c>
    </row>
    <row r="908" spans="11:19" ht="25.05" customHeight="1" x14ac:dyDescent="0.45">
      <c r="K908" s="15" t="e">
        <f t="shared" si="104"/>
        <v>#VALUE!</v>
      </c>
      <c r="L908" s="15" t="e">
        <f t="shared" si="105"/>
        <v>#VALUE!</v>
      </c>
      <c r="M908" s="16" t="e">
        <f t="shared" si="106"/>
        <v>#VALUE!</v>
      </c>
      <c r="N908" s="16" t="e">
        <f t="shared" si="102"/>
        <v>#VALUE!</v>
      </c>
      <c r="O908" s="16" t="str">
        <f t="shared" si="103"/>
        <v>Other</v>
      </c>
      <c r="P908" s="16" t="str">
        <f t="shared" si="107"/>
        <v/>
      </c>
      <c r="S908" s="27" t="str">
        <v/>
      </c>
    </row>
    <row r="909" spans="11:19" ht="25.05" customHeight="1" x14ac:dyDescent="0.45">
      <c r="K909" s="15" t="e">
        <f t="shared" si="104"/>
        <v>#VALUE!</v>
      </c>
      <c r="L909" s="15" t="e">
        <f t="shared" si="105"/>
        <v>#VALUE!</v>
      </c>
      <c r="M909" s="16" t="e">
        <f t="shared" si="106"/>
        <v>#VALUE!</v>
      </c>
      <c r="N909" s="16" t="e">
        <f t="shared" si="102"/>
        <v>#VALUE!</v>
      </c>
      <c r="O909" s="16" t="str">
        <f t="shared" si="103"/>
        <v>Other</v>
      </c>
      <c r="P909" s="16" t="str">
        <f t="shared" si="107"/>
        <v/>
      </c>
      <c r="S909" s="27" t="str">
        <v/>
      </c>
    </row>
    <row r="910" spans="11:19" ht="25.05" customHeight="1" x14ac:dyDescent="0.45">
      <c r="K910" s="15" t="e">
        <f t="shared" si="104"/>
        <v>#VALUE!</v>
      </c>
      <c r="L910" s="15" t="e">
        <f t="shared" si="105"/>
        <v>#VALUE!</v>
      </c>
      <c r="M910" s="16" t="e">
        <f t="shared" si="106"/>
        <v>#VALUE!</v>
      </c>
      <c r="N910" s="16" t="e">
        <f t="shared" si="102"/>
        <v>#VALUE!</v>
      </c>
      <c r="O910" s="16" t="str">
        <f t="shared" si="103"/>
        <v>Other</v>
      </c>
      <c r="P910" s="16" t="str">
        <f t="shared" si="107"/>
        <v/>
      </c>
      <c r="S910" s="27" t="str">
        <v/>
      </c>
    </row>
    <row r="911" spans="11:19" ht="25.05" customHeight="1" x14ac:dyDescent="0.45">
      <c r="K911" s="15" t="e">
        <f t="shared" si="104"/>
        <v>#VALUE!</v>
      </c>
      <c r="L911" s="15" t="e">
        <f t="shared" si="105"/>
        <v>#VALUE!</v>
      </c>
      <c r="M911" s="16" t="e">
        <f t="shared" si="106"/>
        <v>#VALUE!</v>
      </c>
      <c r="N911" s="16" t="e">
        <f t="shared" si="102"/>
        <v>#VALUE!</v>
      </c>
      <c r="O911" s="16" t="str">
        <f t="shared" si="103"/>
        <v>Other</v>
      </c>
      <c r="P911" s="16" t="str">
        <f t="shared" si="107"/>
        <v/>
      </c>
      <c r="S911" s="27" t="str">
        <v/>
      </c>
    </row>
    <row r="912" spans="11:19" ht="25.05" customHeight="1" x14ac:dyDescent="0.45">
      <c r="K912" s="15" t="e">
        <f t="shared" si="104"/>
        <v>#VALUE!</v>
      </c>
      <c r="L912" s="15" t="e">
        <f t="shared" si="105"/>
        <v>#VALUE!</v>
      </c>
      <c r="M912" s="16" t="e">
        <f t="shared" si="106"/>
        <v>#VALUE!</v>
      </c>
      <c r="N912" s="16" t="e">
        <f t="shared" si="102"/>
        <v>#VALUE!</v>
      </c>
      <c r="O912" s="16" t="str">
        <f t="shared" si="103"/>
        <v>Other</v>
      </c>
      <c r="P912" s="16" t="str">
        <f t="shared" si="107"/>
        <v/>
      </c>
      <c r="S912" s="27" t="str">
        <v/>
      </c>
    </row>
    <row r="913" spans="11:19" ht="25.05" customHeight="1" x14ac:dyDescent="0.45">
      <c r="K913" s="15" t="e">
        <f t="shared" si="104"/>
        <v>#VALUE!</v>
      </c>
      <c r="L913" s="15" t="e">
        <f t="shared" si="105"/>
        <v>#VALUE!</v>
      </c>
      <c r="M913" s="16" t="e">
        <f t="shared" si="106"/>
        <v>#VALUE!</v>
      </c>
      <c r="N913" s="16" t="e">
        <f t="shared" si="102"/>
        <v>#VALUE!</v>
      </c>
      <c r="O913" s="16" t="str">
        <f t="shared" si="103"/>
        <v>Other</v>
      </c>
      <c r="P913" s="16" t="str">
        <f t="shared" si="107"/>
        <v/>
      </c>
      <c r="S913" s="27" t="str">
        <v/>
      </c>
    </row>
    <row r="914" spans="11:19" ht="25.05" customHeight="1" x14ac:dyDescent="0.45">
      <c r="K914" s="15" t="e">
        <f t="shared" si="104"/>
        <v>#VALUE!</v>
      </c>
      <c r="L914" s="15" t="e">
        <f t="shared" si="105"/>
        <v>#VALUE!</v>
      </c>
      <c r="M914" s="16" t="e">
        <f t="shared" si="106"/>
        <v>#VALUE!</v>
      </c>
      <c r="N914" s="16" t="e">
        <f t="shared" si="102"/>
        <v>#VALUE!</v>
      </c>
      <c r="O914" s="16" t="str">
        <f t="shared" si="103"/>
        <v>Other</v>
      </c>
      <c r="P914" s="16" t="str">
        <f t="shared" si="107"/>
        <v/>
      </c>
      <c r="S914" s="27" t="str">
        <v/>
      </c>
    </row>
    <row r="915" spans="11:19" ht="25.05" customHeight="1" x14ac:dyDescent="0.45">
      <c r="K915" s="15" t="e">
        <f t="shared" si="104"/>
        <v>#VALUE!</v>
      </c>
      <c r="L915" s="15" t="e">
        <f t="shared" si="105"/>
        <v>#VALUE!</v>
      </c>
      <c r="M915" s="16" t="e">
        <f t="shared" si="106"/>
        <v>#VALUE!</v>
      </c>
      <c r="N915" s="16" t="e">
        <f t="shared" si="102"/>
        <v>#VALUE!</v>
      </c>
      <c r="O915" s="16" t="str">
        <f t="shared" si="103"/>
        <v>Other</v>
      </c>
      <c r="P915" s="16" t="str">
        <f t="shared" si="107"/>
        <v/>
      </c>
      <c r="S915" s="27" t="str">
        <v/>
      </c>
    </row>
    <row r="916" spans="11:19" ht="25.05" customHeight="1" x14ac:dyDescent="0.45">
      <c r="K916" s="15" t="e">
        <f t="shared" si="104"/>
        <v>#VALUE!</v>
      </c>
      <c r="L916" s="15" t="e">
        <f t="shared" si="105"/>
        <v>#VALUE!</v>
      </c>
      <c r="M916" s="16" t="e">
        <f t="shared" si="106"/>
        <v>#VALUE!</v>
      </c>
      <c r="N916" s="16" t="e">
        <f t="shared" si="102"/>
        <v>#VALUE!</v>
      </c>
      <c r="O916" s="16" t="str">
        <f t="shared" si="103"/>
        <v>Other</v>
      </c>
      <c r="P916" s="16" t="str">
        <f t="shared" si="107"/>
        <v/>
      </c>
      <c r="S916" s="27" t="str">
        <v/>
      </c>
    </row>
    <row r="917" spans="11:19" ht="25.05" customHeight="1" x14ac:dyDescent="0.45">
      <c r="K917" s="15" t="e">
        <f t="shared" si="104"/>
        <v>#VALUE!</v>
      </c>
      <c r="L917" s="15" t="e">
        <f t="shared" si="105"/>
        <v>#VALUE!</v>
      </c>
      <c r="M917" s="16" t="e">
        <f t="shared" si="106"/>
        <v>#VALUE!</v>
      </c>
      <c r="N917" s="16" t="e">
        <f t="shared" si="102"/>
        <v>#VALUE!</v>
      </c>
      <c r="O917" s="16" t="str">
        <f t="shared" si="103"/>
        <v>Other</v>
      </c>
      <c r="P917" s="16" t="str">
        <f t="shared" si="107"/>
        <v/>
      </c>
      <c r="S917" s="27" t="str">
        <v/>
      </c>
    </row>
    <row r="918" spans="11:19" ht="25.05" customHeight="1" x14ac:dyDescent="0.45">
      <c r="K918" s="15" t="e">
        <f t="shared" si="104"/>
        <v>#VALUE!</v>
      </c>
      <c r="L918" s="15" t="e">
        <f t="shared" si="105"/>
        <v>#VALUE!</v>
      </c>
      <c r="M918" s="16" t="e">
        <f t="shared" si="106"/>
        <v>#VALUE!</v>
      </c>
      <c r="N918" s="16" t="e">
        <f t="shared" si="102"/>
        <v>#VALUE!</v>
      </c>
      <c r="O918" s="16" t="str">
        <f t="shared" si="103"/>
        <v>Other</v>
      </c>
      <c r="P918" s="16" t="str">
        <f t="shared" si="107"/>
        <v/>
      </c>
      <c r="S918" s="27" t="str">
        <v/>
      </c>
    </row>
    <row r="919" spans="11:19" ht="25.05" customHeight="1" x14ac:dyDescent="0.45">
      <c r="K919" s="15" t="e">
        <f t="shared" si="104"/>
        <v>#VALUE!</v>
      </c>
      <c r="L919" s="15" t="e">
        <f t="shared" si="105"/>
        <v>#VALUE!</v>
      </c>
      <c r="M919" s="16" t="e">
        <f t="shared" si="106"/>
        <v>#VALUE!</v>
      </c>
      <c r="N919" s="16" t="e">
        <f t="shared" si="102"/>
        <v>#VALUE!</v>
      </c>
      <c r="O919" s="16" t="str">
        <f t="shared" si="103"/>
        <v>Other</v>
      </c>
      <c r="P919" s="16" t="str">
        <f t="shared" si="107"/>
        <v/>
      </c>
      <c r="S919" s="27" t="str">
        <v/>
      </c>
    </row>
    <row r="920" spans="11:19" ht="25.05" customHeight="1" x14ac:dyDescent="0.45">
      <c r="K920" s="15" t="e">
        <f t="shared" si="104"/>
        <v>#VALUE!</v>
      </c>
      <c r="L920" s="15" t="e">
        <f t="shared" si="105"/>
        <v>#VALUE!</v>
      </c>
      <c r="M920" s="16" t="e">
        <f t="shared" si="106"/>
        <v>#VALUE!</v>
      </c>
      <c r="N920" s="16" t="e">
        <f t="shared" si="102"/>
        <v>#VALUE!</v>
      </c>
      <c r="O920" s="16" t="str">
        <f t="shared" si="103"/>
        <v>Other</v>
      </c>
      <c r="P920" s="16" t="str">
        <f t="shared" si="107"/>
        <v/>
      </c>
      <c r="S920" s="27" t="str">
        <v/>
      </c>
    </row>
    <row r="921" spans="11:19" ht="25.05" customHeight="1" x14ac:dyDescent="0.45">
      <c r="K921" s="15" t="e">
        <f t="shared" si="104"/>
        <v>#VALUE!</v>
      </c>
      <c r="L921" s="15" t="e">
        <f t="shared" si="105"/>
        <v>#VALUE!</v>
      </c>
      <c r="M921" s="16" t="e">
        <f t="shared" si="106"/>
        <v>#VALUE!</v>
      </c>
      <c r="N921" s="16" t="e">
        <f t="shared" si="102"/>
        <v>#VALUE!</v>
      </c>
      <c r="O921" s="16" t="str">
        <f t="shared" si="103"/>
        <v>Other</v>
      </c>
      <c r="P921" s="16" t="str">
        <f t="shared" si="107"/>
        <v/>
      </c>
      <c r="S921" s="27" t="str">
        <v/>
      </c>
    </row>
    <row r="922" spans="11:19" ht="25.05" customHeight="1" x14ac:dyDescent="0.45">
      <c r="K922" s="15" t="e">
        <f t="shared" si="104"/>
        <v>#VALUE!</v>
      </c>
      <c r="L922" s="15" t="e">
        <f t="shared" si="105"/>
        <v>#VALUE!</v>
      </c>
      <c r="M922" s="16" t="e">
        <f t="shared" si="106"/>
        <v>#VALUE!</v>
      </c>
      <c r="N922" s="16" t="e">
        <f t="shared" si="102"/>
        <v>#VALUE!</v>
      </c>
      <c r="O922" s="16" t="str">
        <f t="shared" si="103"/>
        <v>Other</v>
      </c>
      <c r="P922" s="16" t="str">
        <f t="shared" si="107"/>
        <v/>
      </c>
      <c r="S922" s="27" t="str">
        <v/>
      </c>
    </row>
    <row r="923" spans="11:19" ht="25.05" customHeight="1" x14ac:dyDescent="0.45">
      <c r="K923" s="15" t="e">
        <f t="shared" si="104"/>
        <v>#VALUE!</v>
      </c>
      <c r="L923" s="15" t="e">
        <f t="shared" si="105"/>
        <v>#VALUE!</v>
      </c>
      <c r="M923" s="16" t="e">
        <f t="shared" si="106"/>
        <v>#VALUE!</v>
      </c>
      <c r="N923" s="16" t="e">
        <f t="shared" si="102"/>
        <v>#VALUE!</v>
      </c>
      <c r="O923" s="16" t="str">
        <f t="shared" si="103"/>
        <v>Other</v>
      </c>
      <c r="P923" s="16" t="str">
        <f t="shared" si="107"/>
        <v/>
      </c>
      <c r="S923" s="27" t="str">
        <v/>
      </c>
    </row>
    <row r="924" spans="11:19" ht="25.05" customHeight="1" x14ac:dyDescent="0.45">
      <c r="K924" s="15" t="e">
        <f t="shared" si="104"/>
        <v>#VALUE!</v>
      </c>
      <c r="L924" s="15" t="e">
        <f t="shared" si="105"/>
        <v>#VALUE!</v>
      </c>
      <c r="M924" s="16" t="e">
        <f t="shared" si="106"/>
        <v>#VALUE!</v>
      </c>
      <c r="N924" s="16" t="e">
        <f t="shared" si="102"/>
        <v>#VALUE!</v>
      </c>
      <c r="O924" s="16" t="str">
        <f t="shared" si="103"/>
        <v>Other</v>
      </c>
      <c r="P924" s="16" t="str">
        <f t="shared" si="107"/>
        <v/>
      </c>
      <c r="S924" s="27" t="str">
        <v/>
      </c>
    </row>
    <row r="925" spans="11:19" ht="25.05" customHeight="1" x14ac:dyDescent="0.45">
      <c r="K925" s="15" t="e">
        <f t="shared" si="104"/>
        <v>#VALUE!</v>
      </c>
      <c r="L925" s="15" t="e">
        <f t="shared" si="105"/>
        <v>#VALUE!</v>
      </c>
      <c r="M925" s="16" t="e">
        <f t="shared" si="106"/>
        <v>#VALUE!</v>
      </c>
      <c r="N925" s="16" t="e">
        <f t="shared" si="102"/>
        <v>#VALUE!</v>
      </c>
      <c r="O925" s="16" t="str">
        <f t="shared" si="103"/>
        <v>Other</v>
      </c>
      <c r="P925" s="16" t="str">
        <f t="shared" si="107"/>
        <v/>
      </c>
      <c r="S925" s="27" t="str">
        <v/>
      </c>
    </row>
    <row r="926" spans="11:19" ht="25.05" customHeight="1" x14ac:dyDescent="0.45">
      <c r="K926" s="15" t="e">
        <f t="shared" si="104"/>
        <v>#VALUE!</v>
      </c>
      <c r="L926" s="15" t="e">
        <f t="shared" si="105"/>
        <v>#VALUE!</v>
      </c>
      <c r="M926" s="16" t="e">
        <f t="shared" si="106"/>
        <v>#VALUE!</v>
      </c>
      <c r="N926" s="16" t="e">
        <f t="shared" si="102"/>
        <v>#VALUE!</v>
      </c>
      <c r="O926" s="16" t="str">
        <f t="shared" si="103"/>
        <v>Other</v>
      </c>
      <c r="P926" s="16" t="str">
        <f t="shared" si="107"/>
        <v/>
      </c>
      <c r="S926" s="27" t="str">
        <v/>
      </c>
    </row>
    <row r="927" spans="11:19" ht="25.05" customHeight="1" x14ac:dyDescent="0.45">
      <c r="K927" s="15" t="e">
        <f t="shared" si="104"/>
        <v>#VALUE!</v>
      </c>
      <c r="L927" s="15" t="e">
        <f t="shared" si="105"/>
        <v>#VALUE!</v>
      </c>
      <c r="M927" s="16" t="e">
        <f t="shared" si="106"/>
        <v>#VALUE!</v>
      </c>
      <c r="N927" s="16" t="e">
        <f t="shared" si="102"/>
        <v>#VALUE!</v>
      </c>
      <c r="O927" s="16" t="str">
        <f t="shared" si="103"/>
        <v>Other</v>
      </c>
      <c r="P927" s="16" t="str">
        <f t="shared" si="107"/>
        <v/>
      </c>
      <c r="S927" s="27" t="str">
        <v/>
      </c>
    </row>
    <row r="928" spans="11:19" ht="25.05" customHeight="1" x14ac:dyDescent="0.45">
      <c r="K928" s="15" t="e">
        <f t="shared" si="104"/>
        <v>#VALUE!</v>
      </c>
      <c r="L928" s="15" t="e">
        <f t="shared" si="105"/>
        <v>#VALUE!</v>
      </c>
      <c r="M928" s="16" t="e">
        <f t="shared" si="106"/>
        <v>#VALUE!</v>
      </c>
      <c r="N928" s="16" t="e">
        <f t="shared" si="102"/>
        <v>#VALUE!</v>
      </c>
      <c r="O928" s="16" t="str">
        <f t="shared" si="103"/>
        <v>Other</v>
      </c>
      <c r="P928" s="16" t="str">
        <f t="shared" si="107"/>
        <v/>
      </c>
      <c r="S928" s="27" t="str">
        <v/>
      </c>
    </row>
    <row r="929" spans="11:19" ht="25.05" customHeight="1" x14ac:dyDescent="0.45">
      <c r="K929" s="15" t="e">
        <f t="shared" si="104"/>
        <v>#VALUE!</v>
      </c>
      <c r="L929" s="15" t="e">
        <f t="shared" si="105"/>
        <v>#VALUE!</v>
      </c>
      <c r="M929" s="16" t="e">
        <f t="shared" si="106"/>
        <v>#VALUE!</v>
      </c>
      <c r="N929" s="16" t="e">
        <f t="shared" si="102"/>
        <v>#VALUE!</v>
      </c>
      <c r="O929" s="16" t="str">
        <f t="shared" si="103"/>
        <v>Other</v>
      </c>
      <c r="P929" s="16" t="str">
        <f t="shared" si="107"/>
        <v/>
      </c>
      <c r="S929" s="27" t="str">
        <v/>
      </c>
    </row>
    <row r="930" spans="11:19" ht="25.05" customHeight="1" x14ac:dyDescent="0.45">
      <c r="K930" s="15" t="e">
        <f t="shared" si="104"/>
        <v>#VALUE!</v>
      </c>
      <c r="L930" s="15" t="e">
        <f t="shared" si="105"/>
        <v>#VALUE!</v>
      </c>
      <c r="M930" s="16" t="e">
        <f t="shared" si="106"/>
        <v>#VALUE!</v>
      </c>
      <c r="N930" s="16" t="e">
        <f t="shared" ref="N930:N993" si="108">K930 &amp; " &lt;&gt; " &amp; L930</f>
        <v>#VALUE!</v>
      </c>
      <c r="O930" s="16" t="str">
        <f t="shared" si="103"/>
        <v>Other</v>
      </c>
      <c r="P930" s="16" t="str">
        <f t="shared" si="107"/>
        <v/>
      </c>
      <c r="S930" s="27" t="str">
        <v/>
      </c>
    </row>
    <row r="931" spans="11:19" ht="25.05" customHeight="1" x14ac:dyDescent="0.45">
      <c r="K931" s="15" t="e">
        <f t="shared" si="104"/>
        <v>#VALUE!</v>
      </c>
      <c r="L931" s="15" t="e">
        <f t="shared" si="105"/>
        <v>#VALUE!</v>
      </c>
      <c r="M931" s="16" t="e">
        <f t="shared" si="106"/>
        <v>#VALUE!</v>
      </c>
      <c r="N931" s="16" t="e">
        <f t="shared" si="108"/>
        <v>#VALUE!</v>
      </c>
      <c r="O931" s="16" t="str">
        <f t="shared" si="103"/>
        <v>Other</v>
      </c>
      <c r="P931" s="16" t="str">
        <f t="shared" si="107"/>
        <v/>
      </c>
      <c r="S931" s="27" t="str">
        <v/>
      </c>
    </row>
    <row r="932" spans="11:19" ht="25.05" customHeight="1" x14ac:dyDescent="0.45">
      <c r="K932" s="15" t="e">
        <f t="shared" si="104"/>
        <v>#VALUE!</v>
      </c>
      <c r="L932" s="15" t="e">
        <f t="shared" si="105"/>
        <v>#VALUE!</v>
      </c>
      <c r="M932" s="16" t="e">
        <f t="shared" si="106"/>
        <v>#VALUE!</v>
      </c>
      <c r="N932" s="16" t="e">
        <f t="shared" si="108"/>
        <v>#VALUE!</v>
      </c>
      <c r="O932" s="16" t="str">
        <f t="shared" si="103"/>
        <v>Other</v>
      </c>
      <c r="P932" s="16" t="str">
        <f t="shared" si="107"/>
        <v/>
      </c>
      <c r="S932" s="27" t="str">
        <v/>
      </c>
    </row>
    <row r="933" spans="11:19" ht="25.05" customHeight="1" x14ac:dyDescent="0.45">
      <c r="K933" s="15" t="e">
        <f t="shared" si="104"/>
        <v>#VALUE!</v>
      </c>
      <c r="L933" s="15" t="e">
        <f t="shared" si="105"/>
        <v>#VALUE!</v>
      </c>
      <c r="M933" s="16" t="e">
        <f t="shared" si="106"/>
        <v>#VALUE!</v>
      </c>
      <c r="N933" s="16" t="e">
        <f t="shared" si="108"/>
        <v>#VALUE!</v>
      </c>
      <c r="O933" s="16" t="str">
        <f t="shared" si="103"/>
        <v>Other</v>
      </c>
      <c r="P933" s="16" t="str">
        <f t="shared" si="107"/>
        <v/>
      </c>
      <c r="S933" s="27" t="str">
        <v/>
      </c>
    </row>
    <row r="934" spans="11:19" ht="25.05" customHeight="1" x14ac:dyDescent="0.45">
      <c r="K934" s="15" t="e">
        <f t="shared" si="104"/>
        <v>#VALUE!</v>
      </c>
      <c r="L934" s="15" t="e">
        <f t="shared" si="105"/>
        <v>#VALUE!</v>
      </c>
      <c r="M934" s="16" t="e">
        <f t="shared" si="106"/>
        <v>#VALUE!</v>
      </c>
      <c r="N934" s="16" t="e">
        <f t="shared" si="108"/>
        <v>#VALUE!</v>
      </c>
      <c r="O934" s="16" t="str">
        <f t="shared" ref="O934:O997" si="109">IF(LEFT(E934, 6)="TenGig", "10G (Ten Gig)", IF(LEFT(E934, 10)="HundredGig", "100G (Hundred Gig)", "Other"))</f>
        <v>Other</v>
      </c>
      <c r="P934" s="16" t="str">
        <f t="shared" si="107"/>
        <v/>
      </c>
      <c r="S934" s="27" t="str">
        <v/>
      </c>
    </row>
    <row r="935" spans="11:19" ht="25.05" customHeight="1" x14ac:dyDescent="0.45">
      <c r="K935" s="15" t="e">
        <f t="shared" ref="K935:K998" si="110">LEFT(A935, FIND("-", A935)-1)</f>
        <v>#VALUE!</v>
      </c>
      <c r="L935" s="15" t="e">
        <f t="shared" si="105"/>
        <v>#VALUE!</v>
      </c>
      <c r="M935" s="16" t="e">
        <f t="shared" si="106"/>
        <v>#VALUE!</v>
      </c>
      <c r="N935" s="16" t="e">
        <f t="shared" si="108"/>
        <v>#VALUE!</v>
      </c>
      <c r="O935" s="16" t="str">
        <f t="shared" si="109"/>
        <v>Other</v>
      </c>
      <c r="P935" s="16" t="str">
        <f t="shared" si="107"/>
        <v/>
      </c>
      <c r="S935" s="27" t="str">
        <v/>
      </c>
    </row>
    <row r="936" spans="11:19" ht="25.05" customHeight="1" x14ac:dyDescent="0.45">
      <c r="K936" s="15" t="e">
        <f t="shared" si="110"/>
        <v>#VALUE!</v>
      </c>
      <c r="L936" s="15" t="e">
        <f t="shared" si="105"/>
        <v>#VALUE!</v>
      </c>
      <c r="M936" s="16" t="e">
        <f t="shared" si="106"/>
        <v>#VALUE!</v>
      </c>
      <c r="N936" s="16" t="e">
        <f t="shared" si="108"/>
        <v>#VALUE!</v>
      </c>
      <c r="O936" s="16" t="str">
        <f t="shared" si="109"/>
        <v>Other</v>
      </c>
      <c r="P936" s="16" t="str">
        <f t="shared" si="107"/>
        <v/>
      </c>
      <c r="S936" s="27" t="str">
        <v/>
      </c>
    </row>
    <row r="937" spans="11:19" ht="25.05" customHeight="1" x14ac:dyDescent="0.45">
      <c r="K937" s="15" t="e">
        <f t="shared" si="110"/>
        <v>#VALUE!</v>
      </c>
      <c r="L937" s="15" t="e">
        <f t="shared" ref="L937:L1000" si="111">LEFT(C937, FIND("-", C937)-1)</f>
        <v>#VALUE!</v>
      </c>
      <c r="M937" s="16" t="e">
        <f t="shared" si="106"/>
        <v>#VALUE!</v>
      </c>
      <c r="N937" s="16" t="e">
        <f t="shared" si="108"/>
        <v>#VALUE!</v>
      </c>
      <c r="O937" s="16" t="str">
        <f t="shared" si="109"/>
        <v>Other</v>
      </c>
      <c r="P937" s="16" t="str">
        <f t="shared" si="107"/>
        <v/>
      </c>
      <c r="S937" s="27" t="str">
        <v/>
      </c>
    </row>
    <row r="938" spans="11:19" ht="25.05" customHeight="1" x14ac:dyDescent="0.45">
      <c r="K938" s="15" t="e">
        <f t="shared" si="110"/>
        <v>#VALUE!</v>
      </c>
      <c r="L938" s="15" t="e">
        <f t="shared" si="111"/>
        <v>#VALUE!</v>
      </c>
      <c r="M938" s="16" t="e">
        <f t="shared" si="106"/>
        <v>#VALUE!</v>
      </c>
      <c r="N938" s="16" t="e">
        <f t="shared" si="108"/>
        <v>#VALUE!</v>
      </c>
      <c r="O938" s="16" t="str">
        <f t="shared" si="109"/>
        <v>Other</v>
      </c>
      <c r="P938" s="16" t="str">
        <f t="shared" si="107"/>
        <v/>
      </c>
      <c r="S938" s="27" t="str">
        <v/>
      </c>
    </row>
    <row r="939" spans="11:19" ht="25.05" customHeight="1" x14ac:dyDescent="0.45">
      <c r="K939" s="15" t="e">
        <f t="shared" si="110"/>
        <v>#VALUE!</v>
      </c>
      <c r="L939" s="15" t="e">
        <f t="shared" si="111"/>
        <v>#VALUE!</v>
      </c>
      <c r="M939" s="16" t="e">
        <f t="shared" si="106"/>
        <v>#VALUE!</v>
      </c>
      <c r="N939" s="16" t="e">
        <f t="shared" si="108"/>
        <v>#VALUE!</v>
      </c>
      <c r="O939" s="16" t="str">
        <f t="shared" si="109"/>
        <v>Other</v>
      </c>
      <c r="P939" s="16" t="str">
        <f t="shared" si="107"/>
        <v/>
      </c>
      <c r="S939" s="27" t="str">
        <v/>
      </c>
    </row>
    <row r="940" spans="11:19" ht="25.05" customHeight="1" x14ac:dyDescent="0.45">
      <c r="K940" s="15" t="e">
        <f t="shared" si="110"/>
        <v>#VALUE!</v>
      </c>
      <c r="L940" s="15" t="e">
        <f t="shared" si="111"/>
        <v>#VALUE!</v>
      </c>
      <c r="M940" s="16" t="e">
        <f t="shared" si="106"/>
        <v>#VALUE!</v>
      </c>
      <c r="N940" s="16" t="e">
        <f t="shared" si="108"/>
        <v>#VALUE!</v>
      </c>
      <c r="O940" s="16" t="str">
        <f t="shared" si="109"/>
        <v>Other</v>
      </c>
      <c r="P940" s="16" t="str">
        <f t="shared" si="107"/>
        <v/>
      </c>
      <c r="S940" s="27" t="str">
        <v/>
      </c>
    </row>
    <row r="941" spans="11:19" ht="25.05" customHeight="1" x14ac:dyDescent="0.45">
      <c r="K941" s="15" t="e">
        <f t="shared" si="110"/>
        <v>#VALUE!</v>
      </c>
      <c r="L941" s="15" t="e">
        <f t="shared" si="111"/>
        <v>#VALUE!</v>
      </c>
      <c r="M941" s="16" t="e">
        <f t="shared" si="106"/>
        <v>#VALUE!</v>
      </c>
      <c r="N941" s="16" t="e">
        <f t="shared" si="108"/>
        <v>#VALUE!</v>
      </c>
      <c r="O941" s="16" t="str">
        <f t="shared" si="109"/>
        <v>Other</v>
      </c>
      <c r="P941" s="16" t="str">
        <f t="shared" si="107"/>
        <v/>
      </c>
      <c r="S941" s="27" t="str">
        <v/>
      </c>
    </row>
    <row r="942" spans="11:19" ht="25.05" customHeight="1" x14ac:dyDescent="0.45">
      <c r="K942" s="15" t="e">
        <f t="shared" si="110"/>
        <v>#VALUE!</v>
      </c>
      <c r="L942" s="15" t="e">
        <f t="shared" si="111"/>
        <v>#VALUE!</v>
      </c>
      <c r="M942" s="16" t="e">
        <f t="shared" si="106"/>
        <v>#VALUE!</v>
      </c>
      <c r="N942" s="16" t="e">
        <f t="shared" si="108"/>
        <v>#VALUE!</v>
      </c>
      <c r="O942" s="16" t="str">
        <f t="shared" si="109"/>
        <v>Other</v>
      </c>
      <c r="P942" s="16" t="str">
        <f t="shared" si="107"/>
        <v/>
      </c>
      <c r="S942" s="27" t="str">
        <v/>
      </c>
    </row>
    <row r="943" spans="11:19" ht="25.05" customHeight="1" x14ac:dyDescent="0.45">
      <c r="K943" s="15" t="e">
        <f t="shared" si="110"/>
        <v>#VALUE!</v>
      </c>
      <c r="L943" s="15" t="e">
        <f t="shared" si="111"/>
        <v>#VALUE!</v>
      </c>
      <c r="M943" s="16" t="e">
        <f t="shared" si="106"/>
        <v>#VALUE!</v>
      </c>
      <c r="N943" s="16" t="e">
        <f t="shared" si="108"/>
        <v>#VALUE!</v>
      </c>
      <c r="O943" s="16" t="str">
        <f t="shared" si="109"/>
        <v>Other</v>
      </c>
      <c r="P943" s="16" t="str">
        <f t="shared" si="107"/>
        <v/>
      </c>
      <c r="S943" s="27" t="str">
        <v/>
      </c>
    </row>
    <row r="944" spans="11:19" ht="25.05" customHeight="1" x14ac:dyDescent="0.45">
      <c r="K944" s="15" t="e">
        <f t="shared" si="110"/>
        <v>#VALUE!</v>
      </c>
      <c r="L944" s="15" t="e">
        <f t="shared" si="111"/>
        <v>#VALUE!</v>
      </c>
      <c r="M944" s="16" t="e">
        <f t="shared" si="106"/>
        <v>#VALUE!</v>
      </c>
      <c r="N944" s="16" t="e">
        <f t="shared" si="108"/>
        <v>#VALUE!</v>
      </c>
      <c r="O944" s="16" t="str">
        <f t="shared" si="109"/>
        <v>Other</v>
      </c>
      <c r="P944" s="16" t="str">
        <f t="shared" si="107"/>
        <v/>
      </c>
      <c r="S944" s="27" t="str">
        <v/>
      </c>
    </row>
    <row r="945" spans="11:19" ht="25.05" customHeight="1" x14ac:dyDescent="0.45">
      <c r="K945" s="15" t="e">
        <f t="shared" si="110"/>
        <v>#VALUE!</v>
      </c>
      <c r="L945" s="15" t="e">
        <f t="shared" si="111"/>
        <v>#VALUE!</v>
      </c>
      <c r="M945" s="16" t="e">
        <f t="shared" si="106"/>
        <v>#VALUE!</v>
      </c>
      <c r="N945" s="16" t="e">
        <f t="shared" si="108"/>
        <v>#VALUE!</v>
      </c>
      <c r="O945" s="16" t="str">
        <f t="shared" si="109"/>
        <v>Other</v>
      </c>
      <c r="P945" s="16" t="str">
        <f t="shared" si="107"/>
        <v/>
      </c>
      <c r="S945" s="27" t="str">
        <v/>
      </c>
    </row>
    <row r="946" spans="11:19" ht="25.05" customHeight="1" x14ac:dyDescent="0.45">
      <c r="K946" s="15" t="e">
        <f t="shared" si="110"/>
        <v>#VALUE!</v>
      </c>
      <c r="L946" s="15" t="e">
        <f t="shared" si="111"/>
        <v>#VALUE!</v>
      </c>
      <c r="M946" s="16" t="e">
        <f t="shared" si="106"/>
        <v>#VALUE!</v>
      </c>
      <c r="N946" s="16" t="e">
        <f t="shared" si="108"/>
        <v>#VALUE!</v>
      </c>
      <c r="O946" s="16" t="str">
        <f t="shared" si="109"/>
        <v>Other</v>
      </c>
      <c r="P946" s="16" t="str">
        <f t="shared" si="107"/>
        <v/>
      </c>
      <c r="S946" s="27" t="str">
        <v/>
      </c>
    </row>
    <row r="947" spans="11:19" ht="25.05" customHeight="1" x14ac:dyDescent="0.45">
      <c r="K947" s="15" t="e">
        <f t="shared" si="110"/>
        <v>#VALUE!</v>
      </c>
      <c r="L947" s="15" t="e">
        <f t="shared" si="111"/>
        <v>#VALUE!</v>
      </c>
      <c r="M947" s="16" t="e">
        <f t="shared" si="106"/>
        <v>#VALUE!</v>
      </c>
      <c r="N947" s="16" t="e">
        <f t="shared" si="108"/>
        <v>#VALUE!</v>
      </c>
      <c r="O947" s="16" t="str">
        <f t="shared" si="109"/>
        <v>Other</v>
      </c>
      <c r="P947" s="16" t="str">
        <f t="shared" si="107"/>
        <v/>
      </c>
      <c r="S947" s="27" t="str">
        <v/>
      </c>
    </row>
    <row r="948" spans="11:19" ht="25.05" customHeight="1" x14ac:dyDescent="0.45">
      <c r="K948" s="15" t="e">
        <f t="shared" si="110"/>
        <v>#VALUE!</v>
      </c>
      <c r="L948" s="15" t="e">
        <f t="shared" si="111"/>
        <v>#VALUE!</v>
      </c>
      <c r="M948" s="16" t="e">
        <f t="shared" si="106"/>
        <v>#VALUE!</v>
      </c>
      <c r="N948" s="16" t="e">
        <f t="shared" si="108"/>
        <v>#VALUE!</v>
      </c>
      <c r="O948" s="16" t="str">
        <f t="shared" si="109"/>
        <v>Other</v>
      </c>
      <c r="P948" s="16" t="str">
        <f t="shared" si="107"/>
        <v/>
      </c>
      <c r="S948" s="27" t="str">
        <v/>
      </c>
    </row>
    <row r="949" spans="11:19" ht="25.05" customHeight="1" x14ac:dyDescent="0.45">
      <c r="K949" s="15" t="e">
        <f t="shared" si="110"/>
        <v>#VALUE!</v>
      </c>
      <c r="L949" s="15" t="e">
        <f t="shared" si="111"/>
        <v>#VALUE!</v>
      </c>
      <c r="M949" s="16" t="e">
        <f t="shared" si="106"/>
        <v>#VALUE!</v>
      </c>
      <c r="N949" s="16" t="e">
        <f t="shared" si="108"/>
        <v>#VALUE!</v>
      </c>
      <c r="O949" s="16" t="str">
        <f t="shared" si="109"/>
        <v>Other</v>
      </c>
      <c r="P949" s="16" t="str">
        <f t="shared" si="107"/>
        <v/>
      </c>
      <c r="S949" s="27" t="str">
        <v/>
      </c>
    </row>
    <row r="950" spans="11:19" ht="25.05" customHeight="1" x14ac:dyDescent="0.45">
      <c r="K950" s="15" t="e">
        <f t="shared" si="110"/>
        <v>#VALUE!</v>
      </c>
      <c r="L950" s="15" t="e">
        <f t="shared" si="111"/>
        <v>#VALUE!</v>
      </c>
      <c r="M950" s="16" t="e">
        <f t="shared" si="106"/>
        <v>#VALUE!</v>
      </c>
      <c r="N950" s="16" t="e">
        <f t="shared" si="108"/>
        <v>#VALUE!</v>
      </c>
      <c r="O950" s="16" t="str">
        <f t="shared" si="109"/>
        <v>Other</v>
      </c>
      <c r="P950" s="16" t="str">
        <f t="shared" si="107"/>
        <v/>
      </c>
      <c r="S950" s="27" t="str">
        <v/>
      </c>
    </row>
    <row r="951" spans="11:19" ht="25.05" customHeight="1" x14ac:dyDescent="0.45">
      <c r="K951" s="15" t="e">
        <f t="shared" si="110"/>
        <v>#VALUE!</v>
      </c>
      <c r="L951" s="15" t="e">
        <f t="shared" si="111"/>
        <v>#VALUE!</v>
      </c>
      <c r="M951" s="16" t="e">
        <f t="shared" si="106"/>
        <v>#VALUE!</v>
      </c>
      <c r="N951" s="16" t="e">
        <f t="shared" si="108"/>
        <v>#VALUE!</v>
      </c>
      <c r="O951" s="16" t="str">
        <f t="shared" si="109"/>
        <v>Other</v>
      </c>
      <c r="P951" s="16" t="str">
        <f t="shared" si="107"/>
        <v/>
      </c>
      <c r="S951" s="27" t="str">
        <v/>
      </c>
    </row>
    <row r="952" spans="11:19" ht="25.05" customHeight="1" x14ac:dyDescent="0.45">
      <c r="K952" s="15" t="e">
        <f t="shared" si="110"/>
        <v>#VALUE!</v>
      </c>
      <c r="L952" s="15" t="e">
        <f t="shared" si="111"/>
        <v>#VALUE!</v>
      </c>
      <c r="M952" s="16" t="e">
        <f t="shared" si="106"/>
        <v>#VALUE!</v>
      </c>
      <c r="N952" s="16" t="e">
        <f t="shared" si="108"/>
        <v>#VALUE!</v>
      </c>
      <c r="O952" s="16" t="str">
        <f t="shared" si="109"/>
        <v>Other</v>
      </c>
      <c r="P952" s="16" t="str">
        <f t="shared" si="107"/>
        <v/>
      </c>
      <c r="S952" s="27" t="str">
        <v/>
      </c>
    </row>
    <row r="953" spans="11:19" ht="25.05" customHeight="1" x14ac:dyDescent="0.45">
      <c r="K953" s="15" t="e">
        <f t="shared" si="110"/>
        <v>#VALUE!</v>
      </c>
      <c r="L953" s="15" t="e">
        <f t="shared" si="111"/>
        <v>#VALUE!</v>
      </c>
      <c r="M953" s="16" t="e">
        <f t="shared" si="106"/>
        <v>#VALUE!</v>
      </c>
      <c r="N953" s="16" t="e">
        <f t="shared" si="108"/>
        <v>#VALUE!</v>
      </c>
      <c r="O953" s="16" t="str">
        <f t="shared" si="109"/>
        <v>Other</v>
      </c>
      <c r="P953" s="16" t="str">
        <f t="shared" si="107"/>
        <v/>
      </c>
      <c r="S953" s="27" t="str">
        <v/>
      </c>
    </row>
    <row r="954" spans="11:19" ht="25.05" customHeight="1" x14ac:dyDescent="0.45">
      <c r="K954" s="15" t="e">
        <f t="shared" si="110"/>
        <v>#VALUE!</v>
      </c>
      <c r="L954" s="15" t="e">
        <f t="shared" si="111"/>
        <v>#VALUE!</v>
      </c>
      <c r="M954" s="16" t="e">
        <f t="shared" si="106"/>
        <v>#VALUE!</v>
      </c>
      <c r="N954" s="16" t="e">
        <f t="shared" si="108"/>
        <v>#VALUE!</v>
      </c>
      <c r="O954" s="16" t="str">
        <f t="shared" si="109"/>
        <v>Other</v>
      </c>
      <c r="P954" s="16" t="str">
        <f t="shared" si="107"/>
        <v/>
      </c>
      <c r="S954" s="27" t="str">
        <v/>
      </c>
    </row>
    <row r="955" spans="11:19" ht="25.05" customHeight="1" x14ac:dyDescent="0.45">
      <c r="K955" s="15" t="e">
        <f t="shared" si="110"/>
        <v>#VALUE!</v>
      </c>
      <c r="L955" s="15" t="e">
        <f t="shared" si="111"/>
        <v>#VALUE!</v>
      </c>
      <c r="M955" s="16" t="e">
        <f t="shared" si="106"/>
        <v>#VALUE!</v>
      </c>
      <c r="N955" s="16" t="e">
        <f t="shared" si="108"/>
        <v>#VALUE!</v>
      </c>
      <c r="O955" s="16" t="str">
        <f t="shared" si="109"/>
        <v>Other</v>
      </c>
      <c r="P955" s="16" t="str">
        <f t="shared" si="107"/>
        <v/>
      </c>
      <c r="S955" s="27" t="str">
        <v/>
      </c>
    </row>
    <row r="956" spans="11:19" ht="25.05" customHeight="1" x14ac:dyDescent="0.45">
      <c r="K956" s="15" t="e">
        <f t="shared" si="110"/>
        <v>#VALUE!</v>
      </c>
      <c r="L956" s="15" t="e">
        <f t="shared" si="111"/>
        <v>#VALUE!</v>
      </c>
      <c r="M956" s="16" t="e">
        <f t="shared" si="106"/>
        <v>#VALUE!</v>
      </c>
      <c r="N956" s="16" t="e">
        <f t="shared" si="108"/>
        <v>#VALUE!</v>
      </c>
      <c r="O956" s="16" t="str">
        <f t="shared" si="109"/>
        <v>Other</v>
      </c>
      <c r="P956" s="16" t="str">
        <f t="shared" si="107"/>
        <v/>
      </c>
      <c r="S956" s="27" t="str">
        <v/>
      </c>
    </row>
    <row r="957" spans="11:19" ht="25.05" customHeight="1" x14ac:dyDescent="0.45">
      <c r="K957" s="15" t="e">
        <f t="shared" si="110"/>
        <v>#VALUE!</v>
      </c>
      <c r="L957" s="15" t="e">
        <f t="shared" si="111"/>
        <v>#VALUE!</v>
      </c>
      <c r="M957" s="16" t="e">
        <f t="shared" si="106"/>
        <v>#VALUE!</v>
      </c>
      <c r="N957" s="16" t="e">
        <f t="shared" si="108"/>
        <v>#VALUE!</v>
      </c>
      <c r="O957" s="16" t="str">
        <f t="shared" si="109"/>
        <v>Other</v>
      </c>
      <c r="P957" s="16" t="str">
        <f t="shared" si="107"/>
        <v/>
      </c>
      <c r="S957" s="27" t="str">
        <v/>
      </c>
    </row>
    <row r="958" spans="11:19" ht="25.05" customHeight="1" x14ac:dyDescent="0.45">
      <c r="K958" s="15" t="e">
        <f t="shared" si="110"/>
        <v>#VALUE!</v>
      </c>
      <c r="L958" s="15" t="e">
        <f t="shared" si="111"/>
        <v>#VALUE!</v>
      </c>
      <c r="M958" s="16" t="e">
        <f t="shared" si="106"/>
        <v>#VALUE!</v>
      </c>
      <c r="N958" s="16" t="e">
        <f t="shared" si="108"/>
        <v>#VALUE!</v>
      </c>
      <c r="O958" s="16" t="str">
        <f t="shared" si="109"/>
        <v>Other</v>
      </c>
      <c r="P958" s="16" t="str">
        <f t="shared" si="107"/>
        <v/>
      </c>
      <c r="S958" s="27" t="str">
        <v/>
      </c>
    </row>
    <row r="959" spans="11:19" ht="25.05" customHeight="1" x14ac:dyDescent="0.45">
      <c r="K959" s="15" t="e">
        <f t="shared" si="110"/>
        <v>#VALUE!</v>
      </c>
      <c r="L959" s="15" t="e">
        <f t="shared" si="111"/>
        <v>#VALUE!</v>
      </c>
      <c r="M959" s="16" t="e">
        <f t="shared" si="106"/>
        <v>#VALUE!</v>
      </c>
      <c r="N959" s="16" t="e">
        <f t="shared" si="108"/>
        <v>#VALUE!</v>
      </c>
      <c r="O959" s="16" t="str">
        <f t="shared" si="109"/>
        <v>Other</v>
      </c>
      <c r="P959" s="16" t="str">
        <f t="shared" si="107"/>
        <v/>
      </c>
      <c r="S959" s="27" t="str">
        <v/>
      </c>
    </row>
    <row r="960" spans="11:19" ht="25.05" customHeight="1" x14ac:dyDescent="0.45">
      <c r="K960" s="15" t="e">
        <f t="shared" si="110"/>
        <v>#VALUE!</v>
      </c>
      <c r="L960" s="15" t="e">
        <f t="shared" si="111"/>
        <v>#VALUE!</v>
      </c>
      <c r="M960" s="16" t="e">
        <f t="shared" si="106"/>
        <v>#VALUE!</v>
      </c>
      <c r="N960" s="16" t="e">
        <f t="shared" si="108"/>
        <v>#VALUE!</v>
      </c>
      <c r="O960" s="16" t="str">
        <f t="shared" si="109"/>
        <v>Other</v>
      </c>
      <c r="P960" s="16" t="str">
        <f t="shared" si="107"/>
        <v/>
      </c>
      <c r="S960" s="27" t="str">
        <v/>
      </c>
    </row>
    <row r="961" spans="11:19" ht="25.05" customHeight="1" x14ac:dyDescent="0.45">
      <c r="K961" s="15" t="e">
        <f t="shared" si="110"/>
        <v>#VALUE!</v>
      </c>
      <c r="L961" s="15" t="e">
        <f t="shared" si="111"/>
        <v>#VALUE!</v>
      </c>
      <c r="M961" s="16" t="e">
        <f t="shared" si="106"/>
        <v>#VALUE!</v>
      </c>
      <c r="N961" s="16" t="e">
        <f t="shared" si="108"/>
        <v>#VALUE!</v>
      </c>
      <c r="O961" s="16" t="str">
        <f t="shared" si="109"/>
        <v>Other</v>
      </c>
      <c r="P961" s="16" t="str">
        <f t="shared" si="107"/>
        <v/>
      </c>
      <c r="S961" s="27" t="str">
        <v/>
      </c>
    </row>
    <row r="962" spans="11:19" ht="25.05" customHeight="1" x14ac:dyDescent="0.45">
      <c r="K962" s="15" t="e">
        <f t="shared" si="110"/>
        <v>#VALUE!</v>
      </c>
      <c r="L962" s="15" t="e">
        <f t="shared" si="111"/>
        <v>#VALUE!</v>
      </c>
      <c r="M962" s="16" t="e">
        <f t="shared" ref="M962:M1025" si="112">MID(G962,FIND("LR-",G962)+3,FIND("-",G962,FIND("LR-",G962)+3)-FIND("LR-",G962)-3)</f>
        <v>#VALUE!</v>
      </c>
      <c r="N962" s="16" t="e">
        <f t="shared" si="108"/>
        <v>#VALUE!</v>
      </c>
      <c r="O962" s="16" t="str">
        <f t="shared" si="109"/>
        <v>Other</v>
      </c>
      <c r="P962" s="16" t="str">
        <f t="shared" ref="P962:P1024" si="113">IF(S962&lt;&gt;"",IF(LEFT(S962,FIND(" &lt;&gt; ",S962)-1) &lt; MID(S962,FIND(" &lt;&gt; ",S962)+4,LEN(S962)),LEFT(S962,FIND(" &lt;&gt; ",S962)-1) &amp; " &lt;&gt; " &amp; MID(S962,FIND(" &lt;&gt; ",S962)+4,LEN(S962)),MID(S962,FIND(" &lt;&gt; ",S962)+4,LEN(S962)) &amp; " &lt;&gt; " &amp; LEFT(S962,FIND(" &lt;&gt; ",S962)-1)),"")</f>
        <v/>
      </c>
      <c r="S962" s="27" t="str">
        <v/>
      </c>
    </row>
    <row r="963" spans="11:19" ht="25.05" customHeight="1" x14ac:dyDescent="0.45">
      <c r="K963" s="15" t="e">
        <f t="shared" si="110"/>
        <v>#VALUE!</v>
      </c>
      <c r="L963" s="15" t="e">
        <f t="shared" si="111"/>
        <v>#VALUE!</v>
      </c>
      <c r="M963" s="16" t="e">
        <f t="shared" si="112"/>
        <v>#VALUE!</v>
      </c>
      <c r="N963" s="16" t="e">
        <f t="shared" si="108"/>
        <v>#VALUE!</v>
      </c>
      <c r="O963" s="16" t="str">
        <f t="shared" si="109"/>
        <v>Other</v>
      </c>
      <c r="P963" s="16" t="str">
        <f t="shared" si="113"/>
        <v/>
      </c>
      <c r="S963" s="27" t="str">
        <v/>
      </c>
    </row>
    <row r="964" spans="11:19" ht="25.05" customHeight="1" x14ac:dyDescent="0.45">
      <c r="K964" s="15" t="e">
        <f t="shared" si="110"/>
        <v>#VALUE!</v>
      </c>
      <c r="L964" s="15" t="e">
        <f t="shared" si="111"/>
        <v>#VALUE!</v>
      </c>
      <c r="M964" s="16" t="e">
        <f t="shared" si="112"/>
        <v>#VALUE!</v>
      </c>
      <c r="N964" s="16" t="e">
        <f t="shared" si="108"/>
        <v>#VALUE!</v>
      </c>
      <c r="O964" s="16" t="str">
        <f t="shared" si="109"/>
        <v>Other</v>
      </c>
      <c r="P964" s="16" t="str">
        <f t="shared" si="113"/>
        <v/>
      </c>
      <c r="S964" s="27" t="str">
        <v/>
      </c>
    </row>
    <row r="965" spans="11:19" ht="25.05" customHeight="1" x14ac:dyDescent="0.45">
      <c r="K965" s="15" t="e">
        <f t="shared" si="110"/>
        <v>#VALUE!</v>
      </c>
      <c r="L965" s="15" t="e">
        <f t="shared" si="111"/>
        <v>#VALUE!</v>
      </c>
      <c r="M965" s="16" t="e">
        <f t="shared" si="112"/>
        <v>#VALUE!</v>
      </c>
      <c r="N965" s="16" t="e">
        <f t="shared" si="108"/>
        <v>#VALUE!</v>
      </c>
      <c r="O965" s="16" t="str">
        <f t="shared" si="109"/>
        <v>Other</v>
      </c>
      <c r="P965" s="16" t="str">
        <f t="shared" si="113"/>
        <v/>
      </c>
      <c r="S965" s="27" t="str">
        <v/>
      </c>
    </row>
    <row r="966" spans="11:19" ht="25.05" customHeight="1" x14ac:dyDescent="0.45">
      <c r="K966" s="15" t="e">
        <f t="shared" si="110"/>
        <v>#VALUE!</v>
      </c>
      <c r="L966" s="15" t="e">
        <f t="shared" si="111"/>
        <v>#VALUE!</v>
      </c>
      <c r="M966" s="16" t="e">
        <f t="shared" si="112"/>
        <v>#VALUE!</v>
      </c>
      <c r="N966" s="16" t="e">
        <f t="shared" si="108"/>
        <v>#VALUE!</v>
      </c>
      <c r="O966" s="16" t="str">
        <f t="shared" si="109"/>
        <v>Other</v>
      </c>
      <c r="P966" s="16" t="str">
        <f t="shared" si="113"/>
        <v/>
      </c>
      <c r="S966" s="27" t="str">
        <v/>
      </c>
    </row>
    <row r="967" spans="11:19" ht="25.05" customHeight="1" x14ac:dyDescent="0.45">
      <c r="K967" s="15" t="e">
        <f t="shared" si="110"/>
        <v>#VALUE!</v>
      </c>
      <c r="L967" s="15" t="e">
        <f t="shared" si="111"/>
        <v>#VALUE!</v>
      </c>
      <c r="M967" s="16" t="e">
        <f t="shared" si="112"/>
        <v>#VALUE!</v>
      </c>
      <c r="N967" s="16" t="e">
        <f t="shared" si="108"/>
        <v>#VALUE!</v>
      </c>
      <c r="O967" s="16" t="str">
        <f t="shared" si="109"/>
        <v>Other</v>
      </c>
      <c r="P967" s="16" t="str">
        <f t="shared" si="113"/>
        <v/>
      </c>
      <c r="S967" s="27" t="str">
        <v/>
      </c>
    </row>
    <row r="968" spans="11:19" ht="25.05" customHeight="1" x14ac:dyDescent="0.45">
      <c r="K968" s="15" t="e">
        <f t="shared" si="110"/>
        <v>#VALUE!</v>
      </c>
      <c r="L968" s="15" t="e">
        <f t="shared" si="111"/>
        <v>#VALUE!</v>
      </c>
      <c r="M968" s="16" t="e">
        <f t="shared" si="112"/>
        <v>#VALUE!</v>
      </c>
      <c r="N968" s="16" t="e">
        <f t="shared" si="108"/>
        <v>#VALUE!</v>
      </c>
      <c r="O968" s="16" t="str">
        <f t="shared" si="109"/>
        <v>Other</v>
      </c>
      <c r="P968" s="16" t="str">
        <f t="shared" si="113"/>
        <v/>
      </c>
      <c r="S968" s="27" t="str">
        <v/>
      </c>
    </row>
    <row r="969" spans="11:19" ht="25.05" customHeight="1" x14ac:dyDescent="0.45">
      <c r="K969" s="15" t="e">
        <f t="shared" si="110"/>
        <v>#VALUE!</v>
      </c>
      <c r="L969" s="15" t="e">
        <f t="shared" si="111"/>
        <v>#VALUE!</v>
      </c>
      <c r="M969" s="16" t="e">
        <f t="shared" si="112"/>
        <v>#VALUE!</v>
      </c>
      <c r="N969" s="16" t="e">
        <f t="shared" si="108"/>
        <v>#VALUE!</v>
      </c>
      <c r="O969" s="16" t="str">
        <f t="shared" si="109"/>
        <v>Other</v>
      </c>
      <c r="P969" s="16" t="str">
        <f t="shared" si="113"/>
        <v/>
      </c>
      <c r="S969" s="27" t="str">
        <v/>
      </c>
    </row>
    <row r="970" spans="11:19" ht="25.05" customHeight="1" x14ac:dyDescent="0.45">
      <c r="K970" s="15" t="e">
        <f t="shared" si="110"/>
        <v>#VALUE!</v>
      </c>
      <c r="L970" s="15" t="e">
        <f t="shared" si="111"/>
        <v>#VALUE!</v>
      </c>
      <c r="M970" s="16" t="e">
        <f t="shared" si="112"/>
        <v>#VALUE!</v>
      </c>
      <c r="N970" s="16" t="e">
        <f t="shared" si="108"/>
        <v>#VALUE!</v>
      </c>
      <c r="O970" s="16" t="str">
        <f t="shared" si="109"/>
        <v>Other</v>
      </c>
      <c r="P970" s="16" t="str">
        <f t="shared" si="113"/>
        <v/>
      </c>
      <c r="S970" s="27" t="str">
        <v/>
      </c>
    </row>
    <row r="971" spans="11:19" ht="25.05" customHeight="1" x14ac:dyDescent="0.45">
      <c r="K971" s="15" t="e">
        <f t="shared" si="110"/>
        <v>#VALUE!</v>
      </c>
      <c r="L971" s="15" t="e">
        <f t="shared" si="111"/>
        <v>#VALUE!</v>
      </c>
      <c r="M971" s="16" t="e">
        <f t="shared" si="112"/>
        <v>#VALUE!</v>
      </c>
      <c r="N971" s="16" t="e">
        <f t="shared" si="108"/>
        <v>#VALUE!</v>
      </c>
      <c r="O971" s="16" t="str">
        <f t="shared" si="109"/>
        <v>Other</v>
      </c>
      <c r="P971" s="16" t="str">
        <f t="shared" si="113"/>
        <v/>
      </c>
      <c r="S971" s="27" t="str">
        <v/>
      </c>
    </row>
    <row r="972" spans="11:19" ht="25.05" customHeight="1" x14ac:dyDescent="0.45">
      <c r="K972" s="15" t="e">
        <f t="shared" si="110"/>
        <v>#VALUE!</v>
      </c>
      <c r="L972" s="15" t="e">
        <f t="shared" si="111"/>
        <v>#VALUE!</v>
      </c>
      <c r="M972" s="16" t="e">
        <f t="shared" si="112"/>
        <v>#VALUE!</v>
      </c>
      <c r="N972" s="16" t="e">
        <f t="shared" si="108"/>
        <v>#VALUE!</v>
      </c>
      <c r="O972" s="16" t="str">
        <f t="shared" si="109"/>
        <v>Other</v>
      </c>
      <c r="P972" s="16" t="str">
        <f t="shared" si="113"/>
        <v/>
      </c>
      <c r="S972" s="27" t="str">
        <v/>
      </c>
    </row>
    <row r="973" spans="11:19" ht="25.05" customHeight="1" x14ac:dyDescent="0.45">
      <c r="K973" s="15" t="e">
        <f t="shared" si="110"/>
        <v>#VALUE!</v>
      </c>
      <c r="L973" s="15" t="e">
        <f t="shared" si="111"/>
        <v>#VALUE!</v>
      </c>
      <c r="M973" s="16" t="e">
        <f t="shared" si="112"/>
        <v>#VALUE!</v>
      </c>
      <c r="N973" s="16" t="e">
        <f t="shared" si="108"/>
        <v>#VALUE!</v>
      </c>
      <c r="O973" s="16" t="str">
        <f t="shared" si="109"/>
        <v>Other</v>
      </c>
      <c r="P973" s="16" t="str">
        <f t="shared" si="113"/>
        <v/>
      </c>
      <c r="S973" s="27" t="str">
        <v/>
      </c>
    </row>
    <row r="974" spans="11:19" ht="25.05" customHeight="1" x14ac:dyDescent="0.45">
      <c r="K974" s="15" t="e">
        <f t="shared" si="110"/>
        <v>#VALUE!</v>
      </c>
      <c r="L974" s="15" t="e">
        <f t="shared" si="111"/>
        <v>#VALUE!</v>
      </c>
      <c r="M974" s="16" t="e">
        <f t="shared" si="112"/>
        <v>#VALUE!</v>
      </c>
      <c r="N974" s="16" t="e">
        <f t="shared" si="108"/>
        <v>#VALUE!</v>
      </c>
      <c r="O974" s="16" t="str">
        <f t="shared" si="109"/>
        <v>Other</v>
      </c>
      <c r="P974" s="16" t="str">
        <f t="shared" si="113"/>
        <v/>
      </c>
      <c r="S974" s="27" t="str">
        <v/>
      </c>
    </row>
    <row r="975" spans="11:19" ht="25.05" customHeight="1" x14ac:dyDescent="0.45">
      <c r="K975" s="15" t="e">
        <f t="shared" si="110"/>
        <v>#VALUE!</v>
      </c>
      <c r="L975" s="15" t="e">
        <f t="shared" si="111"/>
        <v>#VALUE!</v>
      </c>
      <c r="M975" s="16" t="e">
        <f t="shared" si="112"/>
        <v>#VALUE!</v>
      </c>
      <c r="N975" s="16" t="e">
        <f t="shared" si="108"/>
        <v>#VALUE!</v>
      </c>
      <c r="O975" s="16" t="str">
        <f t="shared" si="109"/>
        <v>Other</v>
      </c>
      <c r="P975" s="16" t="str">
        <f t="shared" si="113"/>
        <v/>
      </c>
      <c r="S975" s="27" t="str">
        <v/>
      </c>
    </row>
    <row r="976" spans="11:19" ht="25.05" customHeight="1" x14ac:dyDescent="0.45">
      <c r="K976" s="15" t="e">
        <f t="shared" si="110"/>
        <v>#VALUE!</v>
      </c>
      <c r="L976" s="15" t="e">
        <f t="shared" si="111"/>
        <v>#VALUE!</v>
      </c>
      <c r="M976" s="16" t="e">
        <f t="shared" si="112"/>
        <v>#VALUE!</v>
      </c>
      <c r="N976" s="16" t="e">
        <f t="shared" si="108"/>
        <v>#VALUE!</v>
      </c>
      <c r="O976" s="16" t="str">
        <f t="shared" si="109"/>
        <v>Other</v>
      </c>
      <c r="P976" s="16" t="str">
        <f t="shared" si="113"/>
        <v/>
      </c>
      <c r="S976" s="27" t="str">
        <v/>
      </c>
    </row>
    <row r="977" spans="11:19" ht="25.05" customHeight="1" x14ac:dyDescent="0.45">
      <c r="K977" s="15" t="e">
        <f t="shared" si="110"/>
        <v>#VALUE!</v>
      </c>
      <c r="L977" s="15" t="e">
        <f t="shared" si="111"/>
        <v>#VALUE!</v>
      </c>
      <c r="M977" s="16" t="e">
        <f t="shared" si="112"/>
        <v>#VALUE!</v>
      </c>
      <c r="N977" s="16" t="e">
        <f t="shared" si="108"/>
        <v>#VALUE!</v>
      </c>
      <c r="O977" s="16" t="str">
        <f t="shared" si="109"/>
        <v>Other</v>
      </c>
      <c r="P977" s="16" t="str">
        <f t="shared" si="113"/>
        <v/>
      </c>
      <c r="S977" s="27" t="str">
        <v/>
      </c>
    </row>
    <row r="978" spans="11:19" ht="25.05" customHeight="1" x14ac:dyDescent="0.45">
      <c r="K978" s="15" t="e">
        <f t="shared" si="110"/>
        <v>#VALUE!</v>
      </c>
      <c r="L978" s="15" t="e">
        <f t="shared" si="111"/>
        <v>#VALUE!</v>
      </c>
      <c r="M978" s="16" t="e">
        <f t="shared" si="112"/>
        <v>#VALUE!</v>
      </c>
      <c r="N978" s="16" t="e">
        <f t="shared" si="108"/>
        <v>#VALUE!</v>
      </c>
      <c r="O978" s="16" t="str">
        <f t="shared" si="109"/>
        <v>Other</v>
      </c>
      <c r="P978" s="16" t="str">
        <f t="shared" si="113"/>
        <v/>
      </c>
      <c r="S978" s="27" t="str">
        <v/>
      </c>
    </row>
    <row r="979" spans="11:19" ht="25.05" customHeight="1" x14ac:dyDescent="0.45">
      <c r="K979" s="15" t="e">
        <f t="shared" si="110"/>
        <v>#VALUE!</v>
      </c>
      <c r="L979" s="15" t="e">
        <f t="shared" si="111"/>
        <v>#VALUE!</v>
      </c>
      <c r="M979" s="16" t="e">
        <f t="shared" si="112"/>
        <v>#VALUE!</v>
      </c>
      <c r="N979" s="16" t="e">
        <f t="shared" si="108"/>
        <v>#VALUE!</v>
      </c>
      <c r="O979" s="16" t="str">
        <f t="shared" si="109"/>
        <v>Other</v>
      </c>
      <c r="P979" s="16" t="str">
        <f t="shared" si="113"/>
        <v/>
      </c>
      <c r="S979" s="27" t="str">
        <v/>
      </c>
    </row>
    <row r="980" spans="11:19" ht="25.05" customHeight="1" x14ac:dyDescent="0.45">
      <c r="K980" s="15" t="e">
        <f t="shared" si="110"/>
        <v>#VALUE!</v>
      </c>
      <c r="L980" s="15" t="e">
        <f t="shared" si="111"/>
        <v>#VALUE!</v>
      </c>
      <c r="M980" s="16" t="e">
        <f t="shared" si="112"/>
        <v>#VALUE!</v>
      </c>
      <c r="N980" s="16" t="e">
        <f t="shared" si="108"/>
        <v>#VALUE!</v>
      </c>
      <c r="O980" s="16" t="str">
        <f t="shared" si="109"/>
        <v>Other</v>
      </c>
      <c r="P980" s="16" t="str">
        <f t="shared" si="113"/>
        <v/>
      </c>
      <c r="S980" s="27" t="str">
        <v/>
      </c>
    </row>
    <row r="981" spans="11:19" ht="25.05" customHeight="1" x14ac:dyDescent="0.45">
      <c r="K981" s="15" t="e">
        <f t="shared" si="110"/>
        <v>#VALUE!</v>
      </c>
      <c r="L981" s="15" t="e">
        <f t="shared" si="111"/>
        <v>#VALUE!</v>
      </c>
      <c r="M981" s="16" t="e">
        <f t="shared" si="112"/>
        <v>#VALUE!</v>
      </c>
      <c r="N981" s="16" t="e">
        <f t="shared" si="108"/>
        <v>#VALUE!</v>
      </c>
      <c r="O981" s="16" t="str">
        <f t="shared" si="109"/>
        <v>Other</v>
      </c>
      <c r="P981" s="16" t="str">
        <f t="shared" si="113"/>
        <v/>
      </c>
      <c r="S981" s="27" t="str">
        <v/>
      </c>
    </row>
    <row r="982" spans="11:19" ht="25.05" customHeight="1" x14ac:dyDescent="0.45">
      <c r="K982" s="15" t="e">
        <f t="shared" si="110"/>
        <v>#VALUE!</v>
      </c>
      <c r="L982" s="15" t="e">
        <f t="shared" si="111"/>
        <v>#VALUE!</v>
      </c>
      <c r="M982" s="16" t="e">
        <f t="shared" si="112"/>
        <v>#VALUE!</v>
      </c>
      <c r="N982" s="16" t="e">
        <f t="shared" si="108"/>
        <v>#VALUE!</v>
      </c>
      <c r="O982" s="16" t="str">
        <f t="shared" si="109"/>
        <v>Other</v>
      </c>
      <c r="P982" s="16" t="str">
        <f t="shared" si="113"/>
        <v/>
      </c>
      <c r="S982" s="27" t="str">
        <v/>
      </c>
    </row>
    <row r="983" spans="11:19" ht="25.05" customHeight="1" x14ac:dyDescent="0.45">
      <c r="K983" s="15" t="e">
        <f t="shared" si="110"/>
        <v>#VALUE!</v>
      </c>
      <c r="L983" s="15" t="e">
        <f t="shared" si="111"/>
        <v>#VALUE!</v>
      </c>
      <c r="M983" s="16" t="e">
        <f t="shared" si="112"/>
        <v>#VALUE!</v>
      </c>
      <c r="N983" s="16" t="e">
        <f t="shared" si="108"/>
        <v>#VALUE!</v>
      </c>
      <c r="O983" s="16" t="str">
        <f t="shared" si="109"/>
        <v>Other</v>
      </c>
      <c r="P983" s="16" t="str">
        <f t="shared" si="113"/>
        <v/>
      </c>
      <c r="S983" s="27" t="str">
        <v/>
      </c>
    </row>
    <row r="984" spans="11:19" ht="25.05" customHeight="1" x14ac:dyDescent="0.45">
      <c r="K984" s="15" t="e">
        <f t="shared" si="110"/>
        <v>#VALUE!</v>
      </c>
      <c r="L984" s="15" t="e">
        <f t="shared" si="111"/>
        <v>#VALUE!</v>
      </c>
      <c r="M984" s="16" t="e">
        <f t="shared" si="112"/>
        <v>#VALUE!</v>
      </c>
      <c r="N984" s="16" t="e">
        <f t="shared" si="108"/>
        <v>#VALUE!</v>
      </c>
      <c r="O984" s="16" t="str">
        <f t="shared" si="109"/>
        <v>Other</v>
      </c>
      <c r="P984" s="16" t="str">
        <f t="shared" si="113"/>
        <v/>
      </c>
      <c r="S984" s="27" t="str">
        <v/>
      </c>
    </row>
    <row r="985" spans="11:19" ht="25.05" customHeight="1" x14ac:dyDescent="0.45">
      <c r="K985" s="15" t="e">
        <f t="shared" si="110"/>
        <v>#VALUE!</v>
      </c>
      <c r="L985" s="15" t="e">
        <f t="shared" si="111"/>
        <v>#VALUE!</v>
      </c>
      <c r="M985" s="16" t="e">
        <f t="shared" si="112"/>
        <v>#VALUE!</v>
      </c>
      <c r="N985" s="16" t="e">
        <f t="shared" si="108"/>
        <v>#VALUE!</v>
      </c>
      <c r="O985" s="16" t="str">
        <f t="shared" si="109"/>
        <v>Other</v>
      </c>
      <c r="P985" s="16" t="str">
        <f t="shared" si="113"/>
        <v/>
      </c>
      <c r="S985" s="27" t="str">
        <v/>
      </c>
    </row>
    <row r="986" spans="11:19" ht="25.05" customHeight="1" x14ac:dyDescent="0.45">
      <c r="K986" s="15" t="e">
        <f t="shared" si="110"/>
        <v>#VALUE!</v>
      </c>
      <c r="L986" s="15" t="e">
        <f t="shared" si="111"/>
        <v>#VALUE!</v>
      </c>
      <c r="M986" s="16" t="e">
        <f t="shared" si="112"/>
        <v>#VALUE!</v>
      </c>
      <c r="N986" s="16" t="e">
        <f t="shared" si="108"/>
        <v>#VALUE!</v>
      </c>
      <c r="O986" s="16" t="str">
        <f t="shared" si="109"/>
        <v>Other</v>
      </c>
      <c r="P986" s="16" t="str">
        <f t="shared" si="113"/>
        <v/>
      </c>
      <c r="S986" s="27" t="str">
        <v/>
      </c>
    </row>
    <row r="987" spans="11:19" ht="25.05" customHeight="1" x14ac:dyDescent="0.45">
      <c r="K987" s="15" t="e">
        <f t="shared" si="110"/>
        <v>#VALUE!</v>
      </c>
      <c r="L987" s="15" t="e">
        <f t="shared" si="111"/>
        <v>#VALUE!</v>
      </c>
      <c r="M987" s="16" t="e">
        <f t="shared" si="112"/>
        <v>#VALUE!</v>
      </c>
      <c r="N987" s="16" t="e">
        <f t="shared" si="108"/>
        <v>#VALUE!</v>
      </c>
      <c r="O987" s="16" t="str">
        <f t="shared" si="109"/>
        <v>Other</v>
      </c>
      <c r="P987" s="16" t="str">
        <f t="shared" si="113"/>
        <v/>
      </c>
      <c r="S987" s="27" t="str">
        <v/>
      </c>
    </row>
    <row r="988" spans="11:19" ht="25.05" customHeight="1" x14ac:dyDescent="0.45">
      <c r="K988" s="15" t="e">
        <f t="shared" si="110"/>
        <v>#VALUE!</v>
      </c>
      <c r="L988" s="15" t="e">
        <f t="shared" si="111"/>
        <v>#VALUE!</v>
      </c>
      <c r="M988" s="16" t="e">
        <f t="shared" si="112"/>
        <v>#VALUE!</v>
      </c>
      <c r="N988" s="16" t="e">
        <f t="shared" si="108"/>
        <v>#VALUE!</v>
      </c>
      <c r="O988" s="16" t="str">
        <f t="shared" si="109"/>
        <v>Other</v>
      </c>
      <c r="P988" s="16" t="str">
        <f t="shared" si="113"/>
        <v/>
      </c>
      <c r="S988" s="27" t="str">
        <v/>
      </c>
    </row>
    <row r="989" spans="11:19" ht="25.05" customHeight="1" x14ac:dyDescent="0.45">
      <c r="K989" s="15" t="e">
        <f t="shared" si="110"/>
        <v>#VALUE!</v>
      </c>
      <c r="L989" s="15" t="e">
        <f t="shared" si="111"/>
        <v>#VALUE!</v>
      </c>
      <c r="M989" s="16" t="e">
        <f t="shared" si="112"/>
        <v>#VALUE!</v>
      </c>
      <c r="N989" s="16" t="e">
        <f t="shared" si="108"/>
        <v>#VALUE!</v>
      </c>
      <c r="O989" s="16" t="str">
        <f t="shared" si="109"/>
        <v>Other</v>
      </c>
      <c r="P989" s="16" t="str">
        <f t="shared" si="113"/>
        <v/>
      </c>
      <c r="S989" s="27" t="str">
        <v/>
      </c>
    </row>
    <row r="990" spans="11:19" ht="25.05" customHeight="1" x14ac:dyDescent="0.45">
      <c r="K990" s="15" t="e">
        <f t="shared" si="110"/>
        <v>#VALUE!</v>
      </c>
      <c r="L990" s="15" t="e">
        <f t="shared" si="111"/>
        <v>#VALUE!</v>
      </c>
      <c r="M990" s="16" t="e">
        <f t="shared" si="112"/>
        <v>#VALUE!</v>
      </c>
      <c r="N990" s="16" t="e">
        <f t="shared" si="108"/>
        <v>#VALUE!</v>
      </c>
      <c r="O990" s="16" t="str">
        <f t="shared" si="109"/>
        <v>Other</v>
      </c>
      <c r="P990" s="16" t="str">
        <f t="shared" si="113"/>
        <v/>
      </c>
      <c r="S990" s="27" t="str">
        <v/>
      </c>
    </row>
    <row r="991" spans="11:19" ht="25.05" customHeight="1" x14ac:dyDescent="0.45">
      <c r="K991" s="15" t="e">
        <f t="shared" si="110"/>
        <v>#VALUE!</v>
      </c>
      <c r="L991" s="15" t="e">
        <f t="shared" si="111"/>
        <v>#VALUE!</v>
      </c>
      <c r="M991" s="16" t="e">
        <f t="shared" si="112"/>
        <v>#VALUE!</v>
      </c>
      <c r="N991" s="16" t="e">
        <f t="shared" si="108"/>
        <v>#VALUE!</v>
      </c>
      <c r="O991" s="16" t="str">
        <f t="shared" si="109"/>
        <v>Other</v>
      </c>
      <c r="P991" s="16" t="str">
        <f t="shared" si="113"/>
        <v/>
      </c>
      <c r="S991" s="27" t="str">
        <v/>
      </c>
    </row>
    <row r="992" spans="11:19" ht="25.05" customHeight="1" x14ac:dyDescent="0.45">
      <c r="K992" s="15" t="e">
        <f t="shared" si="110"/>
        <v>#VALUE!</v>
      </c>
      <c r="L992" s="15" t="e">
        <f t="shared" si="111"/>
        <v>#VALUE!</v>
      </c>
      <c r="M992" s="16" t="e">
        <f t="shared" si="112"/>
        <v>#VALUE!</v>
      </c>
      <c r="N992" s="16" t="e">
        <f t="shared" si="108"/>
        <v>#VALUE!</v>
      </c>
      <c r="O992" s="16" t="str">
        <f t="shared" si="109"/>
        <v>Other</v>
      </c>
      <c r="P992" s="16" t="str">
        <f t="shared" si="113"/>
        <v/>
      </c>
      <c r="S992" s="27" t="str">
        <v/>
      </c>
    </row>
    <row r="993" spans="11:19" ht="25.05" customHeight="1" x14ac:dyDescent="0.45">
      <c r="K993" s="15" t="e">
        <f t="shared" si="110"/>
        <v>#VALUE!</v>
      </c>
      <c r="L993" s="15" t="e">
        <f t="shared" si="111"/>
        <v>#VALUE!</v>
      </c>
      <c r="M993" s="16" t="e">
        <f t="shared" si="112"/>
        <v>#VALUE!</v>
      </c>
      <c r="N993" s="16" t="e">
        <f t="shared" si="108"/>
        <v>#VALUE!</v>
      </c>
      <c r="O993" s="16" t="str">
        <f t="shared" si="109"/>
        <v>Other</v>
      </c>
      <c r="P993" s="16" t="str">
        <f t="shared" si="113"/>
        <v/>
      </c>
      <c r="S993" s="27" t="str">
        <v/>
      </c>
    </row>
    <row r="994" spans="11:19" ht="25.05" customHeight="1" x14ac:dyDescent="0.45">
      <c r="K994" s="15" t="e">
        <f t="shared" si="110"/>
        <v>#VALUE!</v>
      </c>
      <c r="L994" s="15" t="e">
        <f t="shared" si="111"/>
        <v>#VALUE!</v>
      </c>
      <c r="M994" s="16" t="e">
        <f t="shared" si="112"/>
        <v>#VALUE!</v>
      </c>
      <c r="N994" s="16" t="e">
        <f t="shared" ref="N994:N1057" si="114">K994 &amp; " &lt;&gt; " &amp; L994</f>
        <v>#VALUE!</v>
      </c>
      <c r="O994" s="16" t="str">
        <f t="shared" si="109"/>
        <v>Other</v>
      </c>
      <c r="P994" s="16" t="str">
        <f t="shared" si="113"/>
        <v/>
      </c>
      <c r="S994" s="27" t="str">
        <v/>
      </c>
    </row>
    <row r="995" spans="11:19" ht="25.05" customHeight="1" x14ac:dyDescent="0.45">
      <c r="K995" s="15" t="e">
        <f t="shared" si="110"/>
        <v>#VALUE!</v>
      </c>
      <c r="L995" s="15" t="e">
        <f t="shared" si="111"/>
        <v>#VALUE!</v>
      </c>
      <c r="M995" s="16" t="e">
        <f t="shared" si="112"/>
        <v>#VALUE!</v>
      </c>
      <c r="N995" s="16" t="e">
        <f t="shared" si="114"/>
        <v>#VALUE!</v>
      </c>
      <c r="O995" s="16" t="str">
        <f t="shared" si="109"/>
        <v>Other</v>
      </c>
      <c r="P995" s="16" t="str">
        <f t="shared" si="113"/>
        <v/>
      </c>
      <c r="S995" s="27" t="str">
        <v/>
      </c>
    </row>
    <row r="996" spans="11:19" ht="25.05" customHeight="1" x14ac:dyDescent="0.45">
      <c r="K996" s="15" t="e">
        <f t="shared" si="110"/>
        <v>#VALUE!</v>
      </c>
      <c r="L996" s="15" t="e">
        <f t="shared" si="111"/>
        <v>#VALUE!</v>
      </c>
      <c r="M996" s="16" t="e">
        <f t="shared" si="112"/>
        <v>#VALUE!</v>
      </c>
      <c r="N996" s="16" t="e">
        <f t="shared" si="114"/>
        <v>#VALUE!</v>
      </c>
      <c r="O996" s="16" t="str">
        <f t="shared" si="109"/>
        <v>Other</v>
      </c>
      <c r="P996" s="16" t="str">
        <f t="shared" si="113"/>
        <v/>
      </c>
      <c r="S996" s="27" t="str">
        <v/>
      </c>
    </row>
    <row r="997" spans="11:19" ht="25.05" customHeight="1" x14ac:dyDescent="0.45">
      <c r="K997" s="15" t="e">
        <f t="shared" si="110"/>
        <v>#VALUE!</v>
      </c>
      <c r="L997" s="15" t="e">
        <f t="shared" si="111"/>
        <v>#VALUE!</v>
      </c>
      <c r="M997" s="16" t="e">
        <f t="shared" si="112"/>
        <v>#VALUE!</v>
      </c>
      <c r="N997" s="16" t="e">
        <f t="shared" si="114"/>
        <v>#VALUE!</v>
      </c>
      <c r="O997" s="16" t="str">
        <f t="shared" si="109"/>
        <v>Other</v>
      </c>
      <c r="P997" s="16" t="str">
        <f t="shared" si="113"/>
        <v/>
      </c>
      <c r="S997" s="27" t="str">
        <v/>
      </c>
    </row>
    <row r="998" spans="11:19" ht="25.05" customHeight="1" x14ac:dyDescent="0.45">
      <c r="K998" s="15" t="e">
        <f t="shared" si="110"/>
        <v>#VALUE!</v>
      </c>
      <c r="L998" s="15" t="e">
        <f t="shared" si="111"/>
        <v>#VALUE!</v>
      </c>
      <c r="M998" s="16" t="e">
        <f t="shared" si="112"/>
        <v>#VALUE!</v>
      </c>
      <c r="N998" s="16" t="e">
        <f t="shared" si="114"/>
        <v>#VALUE!</v>
      </c>
      <c r="O998" s="16" t="str">
        <f t="shared" ref="O998:O1061" si="115">IF(LEFT(E998, 6)="TenGig", "10G (Ten Gig)", IF(LEFT(E998, 10)="HundredGig", "100G (Hundred Gig)", "Other"))</f>
        <v>Other</v>
      </c>
      <c r="P998" s="16" t="str">
        <f t="shared" si="113"/>
        <v/>
      </c>
      <c r="S998" s="27" t="str">
        <v/>
      </c>
    </row>
    <row r="999" spans="11:19" ht="25.05" customHeight="1" x14ac:dyDescent="0.45">
      <c r="K999" s="15" t="e">
        <f t="shared" ref="K999:K1062" si="116">LEFT(A999, FIND("-", A999)-1)</f>
        <v>#VALUE!</v>
      </c>
      <c r="L999" s="15" t="e">
        <f t="shared" si="111"/>
        <v>#VALUE!</v>
      </c>
      <c r="M999" s="16" t="e">
        <f t="shared" si="112"/>
        <v>#VALUE!</v>
      </c>
      <c r="N999" s="16" t="e">
        <f t="shared" si="114"/>
        <v>#VALUE!</v>
      </c>
      <c r="O999" s="16" t="str">
        <f t="shared" si="115"/>
        <v>Other</v>
      </c>
      <c r="P999" s="16" t="str">
        <f t="shared" si="113"/>
        <v/>
      </c>
      <c r="S999" s="27" t="str">
        <v/>
      </c>
    </row>
    <row r="1000" spans="11:19" ht="25.05" customHeight="1" x14ac:dyDescent="0.45">
      <c r="K1000" s="15" t="e">
        <f t="shared" si="116"/>
        <v>#VALUE!</v>
      </c>
      <c r="L1000" s="15" t="e">
        <f t="shared" si="111"/>
        <v>#VALUE!</v>
      </c>
      <c r="M1000" s="16" t="e">
        <f t="shared" si="112"/>
        <v>#VALUE!</v>
      </c>
      <c r="N1000" s="16" t="e">
        <f t="shared" si="114"/>
        <v>#VALUE!</v>
      </c>
      <c r="O1000" s="16" t="str">
        <f t="shared" si="115"/>
        <v>Other</v>
      </c>
      <c r="P1000" s="16" t="str">
        <f t="shared" si="113"/>
        <v/>
      </c>
      <c r="S1000" s="27" t="str">
        <v/>
      </c>
    </row>
    <row r="1001" spans="11:19" ht="25.05" customHeight="1" x14ac:dyDescent="0.45">
      <c r="K1001" s="15" t="e">
        <f t="shared" si="116"/>
        <v>#VALUE!</v>
      </c>
      <c r="L1001" s="15" t="e">
        <f t="shared" ref="L1001:L1064" si="117">LEFT(C1001, FIND("-", C1001)-1)</f>
        <v>#VALUE!</v>
      </c>
      <c r="M1001" s="16" t="e">
        <f t="shared" si="112"/>
        <v>#VALUE!</v>
      </c>
      <c r="N1001" s="16" t="e">
        <f t="shared" si="114"/>
        <v>#VALUE!</v>
      </c>
      <c r="O1001" s="16" t="str">
        <f t="shared" si="115"/>
        <v>Other</v>
      </c>
      <c r="P1001" s="16" t="str">
        <f t="shared" si="113"/>
        <v/>
      </c>
    </row>
    <row r="1002" spans="11:19" ht="25.05" customHeight="1" x14ac:dyDescent="0.45">
      <c r="K1002" s="15" t="e">
        <f t="shared" si="116"/>
        <v>#VALUE!</v>
      </c>
      <c r="L1002" s="15" t="e">
        <f t="shared" si="117"/>
        <v>#VALUE!</v>
      </c>
      <c r="M1002" s="16" t="e">
        <f t="shared" si="112"/>
        <v>#VALUE!</v>
      </c>
      <c r="N1002" s="16" t="e">
        <f t="shared" si="114"/>
        <v>#VALUE!</v>
      </c>
      <c r="O1002" s="16" t="str">
        <f t="shared" si="115"/>
        <v>Other</v>
      </c>
      <c r="P1002" s="16" t="str">
        <f t="shared" si="113"/>
        <v/>
      </c>
    </row>
    <row r="1003" spans="11:19" ht="25.05" customHeight="1" x14ac:dyDescent="0.45">
      <c r="K1003" s="15" t="e">
        <f t="shared" si="116"/>
        <v>#VALUE!</v>
      </c>
      <c r="L1003" s="15" t="e">
        <f t="shared" si="117"/>
        <v>#VALUE!</v>
      </c>
      <c r="M1003" s="16" t="e">
        <f t="shared" si="112"/>
        <v>#VALUE!</v>
      </c>
      <c r="N1003" s="16" t="e">
        <f t="shared" si="114"/>
        <v>#VALUE!</v>
      </c>
      <c r="O1003" s="16" t="str">
        <f t="shared" si="115"/>
        <v>Other</v>
      </c>
      <c r="P1003" s="16" t="str">
        <f t="shared" si="113"/>
        <v/>
      </c>
    </row>
    <row r="1004" spans="11:19" ht="25.05" customHeight="1" x14ac:dyDescent="0.45">
      <c r="K1004" s="15" t="e">
        <f t="shared" si="116"/>
        <v>#VALUE!</v>
      </c>
      <c r="L1004" s="15" t="e">
        <f t="shared" si="117"/>
        <v>#VALUE!</v>
      </c>
      <c r="M1004" s="16" t="e">
        <f t="shared" si="112"/>
        <v>#VALUE!</v>
      </c>
      <c r="N1004" s="16" t="e">
        <f t="shared" si="114"/>
        <v>#VALUE!</v>
      </c>
      <c r="O1004" s="16" t="str">
        <f t="shared" si="115"/>
        <v>Other</v>
      </c>
      <c r="P1004" s="16" t="str">
        <f t="shared" si="113"/>
        <v/>
      </c>
    </row>
    <row r="1005" spans="11:19" ht="25.05" customHeight="1" x14ac:dyDescent="0.45">
      <c r="K1005" s="15" t="e">
        <f t="shared" si="116"/>
        <v>#VALUE!</v>
      </c>
      <c r="L1005" s="15" t="e">
        <f t="shared" si="117"/>
        <v>#VALUE!</v>
      </c>
      <c r="M1005" s="16" t="e">
        <f t="shared" si="112"/>
        <v>#VALUE!</v>
      </c>
      <c r="N1005" s="16" t="e">
        <f t="shared" si="114"/>
        <v>#VALUE!</v>
      </c>
      <c r="O1005" s="16" t="str">
        <f t="shared" si="115"/>
        <v>Other</v>
      </c>
      <c r="P1005" s="16" t="str">
        <f t="shared" si="113"/>
        <v/>
      </c>
    </row>
    <row r="1006" spans="11:19" ht="25.05" customHeight="1" x14ac:dyDescent="0.45">
      <c r="K1006" s="15" t="e">
        <f t="shared" si="116"/>
        <v>#VALUE!</v>
      </c>
      <c r="L1006" s="15" t="e">
        <f t="shared" si="117"/>
        <v>#VALUE!</v>
      </c>
      <c r="M1006" s="16" t="e">
        <f t="shared" si="112"/>
        <v>#VALUE!</v>
      </c>
      <c r="N1006" s="16" t="e">
        <f t="shared" si="114"/>
        <v>#VALUE!</v>
      </c>
      <c r="O1006" s="16" t="str">
        <f t="shared" si="115"/>
        <v>Other</v>
      </c>
      <c r="P1006" s="16" t="str">
        <f t="shared" si="113"/>
        <v/>
      </c>
    </row>
    <row r="1007" spans="11:19" ht="25.05" customHeight="1" x14ac:dyDescent="0.45">
      <c r="K1007" s="15" t="e">
        <f t="shared" si="116"/>
        <v>#VALUE!</v>
      </c>
      <c r="L1007" s="15" t="e">
        <f t="shared" si="117"/>
        <v>#VALUE!</v>
      </c>
      <c r="M1007" s="16" t="e">
        <f t="shared" si="112"/>
        <v>#VALUE!</v>
      </c>
      <c r="N1007" s="16" t="e">
        <f t="shared" si="114"/>
        <v>#VALUE!</v>
      </c>
      <c r="O1007" s="16" t="str">
        <f t="shared" si="115"/>
        <v>Other</v>
      </c>
      <c r="P1007" s="16" t="str">
        <f t="shared" si="113"/>
        <v/>
      </c>
    </row>
    <row r="1008" spans="11:19" ht="25.05" customHeight="1" x14ac:dyDescent="0.45">
      <c r="K1008" s="15" t="e">
        <f t="shared" si="116"/>
        <v>#VALUE!</v>
      </c>
      <c r="L1008" s="15" t="e">
        <f t="shared" si="117"/>
        <v>#VALUE!</v>
      </c>
      <c r="M1008" s="16" t="e">
        <f t="shared" si="112"/>
        <v>#VALUE!</v>
      </c>
      <c r="N1008" s="16" t="e">
        <f t="shared" si="114"/>
        <v>#VALUE!</v>
      </c>
      <c r="O1008" s="16" t="str">
        <f t="shared" si="115"/>
        <v>Other</v>
      </c>
      <c r="P1008" s="16" t="str">
        <f t="shared" si="113"/>
        <v/>
      </c>
    </row>
    <row r="1009" spans="11:16" ht="25.05" customHeight="1" x14ac:dyDescent="0.45">
      <c r="K1009" s="15" t="e">
        <f t="shared" si="116"/>
        <v>#VALUE!</v>
      </c>
      <c r="L1009" s="15" t="e">
        <f t="shared" si="117"/>
        <v>#VALUE!</v>
      </c>
      <c r="M1009" s="16" t="e">
        <f t="shared" si="112"/>
        <v>#VALUE!</v>
      </c>
      <c r="N1009" s="16" t="e">
        <f t="shared" si="114"/>
        <v>#VALUE!</v>
      </c>
      <c r="O1009" s="16" t="str">
        <f t="shared" si="115"/>
        <v>Other</v>
      </c>
      <c r="P1009" s="16" t="str">
        <f t="shared" si="113"/>
        <v/>
      </c>
    </row>
    <row r="1010" spans="11:16" ht="25.05" customHeight="1" x14ac:dyDescent="0.45">
      <c r="K1010" s="15" t="e">
        <f t="shared" si="116"/>
        <v>#VALUE!</v>
      </c>
      <c r="L1010" s="15" t="e">
        <f t="shared" si="117"/>
        <v>#VALUE!</v>
      </c>
      <c r="M1010" s="16" t="e">
        <f t="shared" si="112"/>
        <v>#VALUE!</v>
      </c>
      <c r="N1010" s="16" t="e">
        <f t="shared" si="114"/>
        <v>#VALUE!</v>
      </c>
      <c r="O1010" s="16" t="str">
        <f t="shared" si="115"/>
        <v>Other</v>
      </c>
      <c r="P1010" s="16" t="str">
        <f t="shared" si="113"/>
        <v/>
      </c>
    </row>
    <row r="1011" spans="11:16" ht="25.05" customHeight="1" x14ac:dyDescent="0.45">
      <c r="K1011" s="15" t="e">
        <f t="shared" si="116"/>
        <v>#VALUE!</v>
      </c>
      <c r="L1011" s="15" t="e">
        <f t="shared" si="117"/>
        <v>#VALUE!</v>
      </c>
      <c r="M1011" s="16" t="e">
        <f t="shared" si="112"/>
        <v>#VALUE!</v>
      </c>
      <c r="N1011" s="16" t="e">
        <f t="shared" si="114"/>
        <v>#VALUE!</v>
      </c>
      <c r="O1011" s="16" t="str">
        <f t="shared" si="115"/>
        <v>Other</v>
      </c>
      <c r="P1011" s="16" t="str">
        <f t="shared" si="113"/>
        <v/>
      </c>
    </row>
    <row r="1012" spans="11:16" ht="25.05" customHeight="1" x14ac:dyDescent="0.45">
      <c r="K1012" s="15" t="e">
        <f t="shared" si="116"/>
        <v>#VALUE!</v>
      </c>
      <c r="L1012" s="15" t="e">
        <f t="shared" si="117"/>
        <v>#VALUE!</v>
      </c>
      <c r="M1012" s="16" t="e">
        <f t="shared" si="112"/>
        <v>#VALUE!</v>
      </c>
      <c r="N1012" s="16" t="e">
        <f t="shared" si="114"/>
        <v>#VALUE!</v>
      </c>
      <c r="O1012" s="16" t="str">
        <f t="shared" si="115"/>
        <v>Other</v>
      </c>
      <c r="P1012" s="16" t="str">
        <f t="shared" si="113"/>
        <v/>
      </c>
    </row>
    <row r="1013" spans="11:16" ht="25.05" customHeight="1" x14ac:dyDescent="0.45">
      <c r="K1013" s="15" t="e">
        <f t="shared" si="116"/>
        <v>#VALUE!</v>
      </c>
      <c r="L1013" s="15" t="e">
        <f t="shared" si="117"/>
        <v>#VALUE!</v>
      </c>
      <c r="M1013" s="16" t="e">
        <f t="shared" si="112"/>
        <v>#VALUE!</v>
      </c>
      <c r="N1013" s="16" t="e">
        <f t="shared" si="114"/>
        <v>#VALUE!</v>
      </c>
      <c r="O1013" s="16" t="str">
        <f t="shared" si="115"/>
        <v>Other</v>
      </c>
      <c r="P1013" s="16" t="str">
        <f t="shared" si="113"/>
        <v/>
      </c>
    </row>
    <row r="1014" spans="11:16" ht="25.05" customHeight="1" x14ac:dyDescent="0.45">
      <c r="K1014" s="15" t="e">
        <f t="shared" si="116"/>
        <v>#VALUE!</v>
      </c>
      <c r="L1014" s="15" t="e">
        <f t="shared" si="117"/>
        <v>#VALUE!</v>
      </c>
      <c r="M1014" s="16" t="e">
        <f t="shared" si="112"/>
        <v>#VALUE!</v>
      </c>
      <c r="N1014" s="16" t="e">
        <f t="shared" si="114"/>
        <v>#VALUE!</v>
      </c>
      <c r="O1014" s="16" t="str">
        <f t="shared" si="115"/>
        <v>Other</v>
      </c>
      <c r="P1014" s="16" t="str">
        <f t="shared" si="113"/>
        <v/>
      </c>
    </row>
    <row r="1015" spans="11:16" ht="25.05" customHeight="1" x14ac:dyDescent="0.45">
      <c r="K1015" s="15" t="e">
        <f t="shared" si="116"/>
        <v>#VALUE!</v>
      </c>
      <c r="L1015" s="15" t="e">
        <f t="shared" si="117"/>
        <v>#VALUE!</v>
      </c>
      <c r="M1015" s="16" t="e">
        <f t="shared" si="112"/>
        <v>#VALUE!</v>
      </c>
      <c r="N1015" s="16" t="e">
        <f t="shared" si="114"/>
        <v>#VALUE!</v>
      </c>
      <c r="O1015" s="16" t="str">
        <f t="shared" si="115"/>
        <v>Other</v>
      </c>
      <c r="P1015" s="16" t="str">
        <f t="shared" si="113"/>
        <v/>
      </c>
    </row>
    <row r="1016" spans="11:16" ht="25.05" customHeight="1" x14ac:dyDescent="0.45">
      <c r="K1016" s="15" t="e">
        <f t="shared" si="116"/>
        <v>#VALUE!</v>
      </c>
      <c r="L1016" s="15" t="e">
        <f t="shared" si="117"/>
        <v>#VALUE!</v>
      </c>
      <c r="M1016" s="16" t="e">
        <f t="shared" si="112"/>
        <v>#VALUE!</v>
      </c>
      <c r="N1016" s="16" t="e">
        <f t="shared" si="114"/>
        <v>#VALUE!</v>
      </c>
      <c r="O1016" s="16" t="str">
        <f t="shared" si="115"/>
        <v>Other</v>
      </c>
      <c r="P1016" s="16" t="str">
        <f t="shared" si="113"/>
        <v/>
      </c>
    </row>
    <row r="1017" spans="11:16" ht="25.05" customHeight="1" x14ac:dyDescent="0.45">
      <c r="K1017" s="15" t="e">
        <f t="shared" si="116"/>
        <v>#VALUE!</v>
      </c>
      <c r="L1017" s="15" t="e">
        <f t="shared" si="117"/>
        <v>#VALUE!</v>
      </c>
      <c r="M1017" s="16" t="e">
        <f t="shared" si="112"/>
        <v>#VALUE!</v>
      </c>
      <c r="N1017" s="16" t="e">
        <f t="shared" si="114"/>
        <v>#VALUE!</v>
      </c>
      <c r="O1017" s="16" t="str">
        <f t="shared" si="115"/>
        <v>Other</v>
      </c>
      <c r="P1017" s="16" t="str">
        <f t="shared" si="113"/>
        <v/>
      </c>
    </row>
    <row r="1018" spans="11:16" ht="25.05" customHeight="1" x14ac:dyDescent="0.45">
      <c r="K1018" s="15" t="e">
        <f t="shared" si="116"/>
        <v>#VALUE!</v>
      </c>
      <c r="L1018" s="15" t="e">
        <f t="shared" si="117"/>
        <v>#VALUE!</v>
      </c>
      <c r="M1018" s="16" t="e">
        <f t="shared" si="112"/>
        <v>#VALUE!</v>
      </c>
      <c r="N1018" s="16" t="e">
        <f t="shared" si="114"/>
        <v>#VALUE!</v>
      </c>
      <c r="O1018" s="16" t="str">
        <f t="shared" si="115"/>
        <v>Other</v>
      </c>
      <c r="P1018" s="16" t="str">
        <f t="shared" si="113"/>
        <v/>
      </c>
    </row>
    <row r="1019" spans="11:16" ht="25.05" customHeight="1" x14ac:dyDescent="0.45">
      <c r="K1019" s="15" t="e">
        <f t="shared" si="116"/>
        <v>#VALUE!</v>
      </c>
      <c r="L1019" s="15" t="e">
        <f t="shared" si="117"/>
        <v>#VALUE!</v>
      </c>
      <c r="M1019" s="16" t="e">
        <f t="shared" si="112"/>
        <v>#VALUE!</v>
      </c>
      <c r="N1019" s="16" t="e">
        <f t="shared" si="114"/>
        <v>#VALUE!</v>
      </c>
      <c r="O1019" s="16" t="str">
        <f t="shared" si="115"/>
        <v>Other</v>
      </c>
      <c r="P1019" s="16" t="str">
        <f t="shared" si="113"/>
        <v/>
      </c>
    </row>
    <row r="1020" spans="11:16" ht="25.05" customHeight="1" x14ac:dyDescent="0.45">
      <c r="K1020" s="15" t="e">
        <f t="shared" si="116"/>
        <v>#VALUE!</v>
      </c>
      <c r="L1020" s="15" t="e">
        <f t="shared" si="117"/>
        <v>#VALUE!</v>
      </c>
      <c r="M1020" s="16" t="e">
        <f t="shared" si="112"/>
        <v>#VALUE!</v>
      </c>
      <c r="N1020" s="16" t="e">
        <f t="shared" si="114"/>
        <v>#VALUE!</v>
      </c>
      <c r="O1020" s="16" t="str">
        <f t="shared" si="115"/>
        <v>Other</v>
      </c>
      <c r="P1020" s="16" t="str">
        <f t="shared" si="113"/>
        <v/>
      </c>
    </row>
    <row r="1021" spans="11:16" ht="25.05" customHeight="1" x14ac:dyDescent="0.45">
      <c r="K1021" s="15" t="e">
        <f t="shared" si="116"/>
        <v>#VALUE!</v>
      </c>
      <c r="L1021" s="15" t="e">
        <f t="shared" si="117"/>
        <v>#VALUE!</v>
      </c>
      <c r="M1021" s="16" t="e">
        <f t="shared" si="112"/>
        <v>#VALUE!</v>
      </c>
      <c r="N1021" s="16" t="e">
        <f t="shared" si="114"/>
        <v>#VALUE!</v>
      </c>
      <c r="O1021" s="16" t="str">
        <f t="shared" si="115"/>
        <v>Other</v>
      </c>
      <c r="P1021" s="16" t="str">
        <f t="shared" si="113"/>
        <v/>
      </c>
    </row>
    <row r="1022" spans="11:16" ht="25.05" customHeight="1" x14ac:dyDescent="0.45">
      <c r="K1022" s="15" t="e">
        <f t="shared" si="116"/>
        <v>#VALUE!</v>
      </c>
      <c r="L1022" s="15" t="e">
        <f t="shared" si="117"/>
        <v>#VALUE!</v>
      </c>
      <c r="M1022" s="16" t="e">
        <f t="shared" si="112"/>
        <v>#VALUE!</v>
      </c>
      <c r="N1022" s="16" t="e">
        <f t="shared" si="114"/>
        <v>#VALUE!</v>
      </c>
      <c r="O1022" s="16" t="str">
        <f t="shared" si="115"/>
        <v>Other</v>
      </c>
      <c r="P1022" s="16" t="str">
        <f t="shared" si="113"/>
        <v/>
      </c>
    </row>
    <row r="1023" spans="11:16" ht="25.05" customHeight="1" x14ac:dyDescent="0.45">
      <c r="K1023" s="15" t="e">
        <f t="shared" si="116"/>
        <v>#VALUE!</v>
      </c>
      <c r="L1023" s="15" t="e">
        <f t="shared" si="117"/>
        <v>#VALUE!</v>
      </c>
      <c r="M1023" s="16" t="e">
        <f t="shared" si="112"/>
        <v>#VALUE!</v>
      </c>
      <c r="N1023" s="16" t="e">
        <f t="shared" si="114"/>
        <v>#VALUE!</v>
      </c>
      <c r="O1023" s="16" t="str">
        <f t="shared" si="115"/>
        <v>Other</v>
      </c>
      <c r="P1023" s="16" t="str">
        <f t="shared" si="113"/>
        <v/>
      </c>
    </row>
    <row r="1024" spans="11:16" ht="25.05" customHeight="1" x14ac:dyDescent="0.45">
      <c r="K1024" s="15" t="e">
        <f t="shared" si="116"/>
        <v>#VALUE!</v>
      </c>
      <c r="L1024" s="15" t="e">
        <f t="shared" si="117"/>
        <v>#VALUE!</v>
      </c>
      <c r="M1024" s="16" t="e">
        <f t="shared" si="112"/>
        <v>#VALUE!</v>
      </c>
      <c r="N1024" s="16" t="e">
        <f t="shared" si="114"/>
        <v>#VALUE!</v>
      </c>
      <c r="O1024" s="16" t="str">
        <f t="shared" si="115"/>
        <v>Other</v>
      </c>
      <c r="P1024" s="16" t="str">
        <f t="shared" si="113"/>
        <v/>
      </c>
    </row>
    <row r="1025" spans="11:15" ht="25.05" customHeight="1" x14ac:dyDescent="0.45">
      <c r="K1025" s="15" t="e">
        <f t="shared" si="116"/>
        <v>#VALUE!</v>
      </c>
      <c r="L1025" s="15" t="e">
        <f t="shared" si="117"/>
        <v>#VALUE!</v>
      </c>
      <c r="M1025" s="16" t="e">
        <f t="shared" si="112"/>
        <v>#VALUE!</v>
      </c>
      <c r="N1025" s="16" t="e">
        <f t="shared" si="114"/>
        <v>#VALUE!</v>
      </c>
      <c r="O1025" s="16" t="str">
        <f t="shared" si="115"/>
        <v>Other</v>
      </c>
    </row>
    <row r="1026" spans="11:15" ht="25.05" customHeight="1" x14ac:dyDescent="0.45">
      <c r="K1026" s="15" t="e">
        <f t="shared" si="116"/>
        <v>#VALUE!</v>
      </c>
      <c r="L1026" s="15" t="e">
        <f t="shared" si="117"/>
        <v>#VALUE!</v>
      </c>
      <c r="M1026" s="16" t="e">
        <f t="shared" ref="M1026:M1069" si="118">MID(G1026,FIND("LR-",G1026)+3,FIND("-",G1026,FIND("LR-",G1026)+3)-FIND("LR-",G1026)-3)</f>
        <v>#VALUE!</v>
      </c>
      <c r="N1026" s="16" t="e">
        <f t="shared" si="114"/>
        <v>#VALUE!</v>
      </c>
      <c r="O1026" s="16" t="str">
        <f t="shared" si="115"/>
        <v>Other</v>
      </c>
    </row>
    <row r="1027" spans="11:15" ht="25.05" customHeight="1" x14ac:dyDescent="0.45">
      <c r="K1027" s="15" t="e">
        <f t="shared" si="116"/>
        <v>#VALUE!</v>
      </c>
      <c r="L1027" s="15" t="e">
        <f t="shared" si="117"/>
        <v>#VALUE!</v>
      </c>
      <c r="M1027" s="16" t="e">
        <f t="shared" si="118"/>
        <v>#VALUE!</v>
      </c>
      <c r="N1027" s="16" t="e">
        <f t="shared" si="114"/>
        <v>#VALUE!</v>
      </c>
      <c r="O1027" s="16" t="str">
        <f t="shared" si="115"/>
        <v>Other</v>
      </c>
    </row>
    <row r="1028" spans="11:15" ht="25.05" customHeight="1" x14ac:dyDescent="0.45">
      <c r="K1028" s="15" t="e">
        <f t="shared" si="116"/>
        <v>#VALUE!</v>
      </c>
      <c r="L1028" s="15" t="e">
        <f t="shared" si="117"/>
        <v>#VALUE!</v>
      </c>
      <c r="M1028" s="16" t="e">
        <f t="shared" si="118"/>
        <v>#VALUE!</v>
      </c>
      <c r="N1028" s="16" t="e">
        <f t="shared" si="114"/>
        <v>#VALUE!</v>
      </c>
      <c r="O1028" s="16" t="str">
        <f t="shared" si="115"/>
        <v>Other</v>
      </c>
    </row>
    <row r="1029" spans="11:15" ht="25.05" customHeight="1" x14ac:dyDescent="0.45">
      <c r="K1029" s="15" t="e">
        <f t="shared" si="116"/>
        <v>#VALUE!</v>
      </c>
      <c r="L1029" s="15" t="e">
        <f t="shared" si="117"/>
        <v>#VALUE!</v>
      </c>
      <c r="M1029" s="16" t="e">
        <f t="shared" si="118"/>
        <v>#VALUE!</v>
      </c>
      <c r="N1029" s="16" t="e">
        <f t="shared" si="114"/>
        <v>#VALUE!</v>
      </c>
      <c r="O1029" s="16" t="str">
        <f t="shared" si="115"/>
        <v>Other</v>
      </c>
    </row>
    <row r="1030" spans="11:15" ht="25.05" customHeight="1" x14ac:dyDescent="0.45">
      <c r="K1030" s="15" t="e">
        <f t="shared" si="116"/>
        <v>#VALUE!</v>
      </c>
      <c r="L1030" s="15" t="e">
        <f t="shared" si="117"/>
        <v>#VALUE!</v>
      </c>
      <c r="M1030" s="16" t="e">
        <f t="shared" si="118"/>
        <v>#VALUE!</v>
      </c>
      <c r="N1030" s="16" t="e">
        <f t="shared" si="114"/>
        <v>#VALUE!</v>
      </c>
      <c r="O1030" s="16" t="str">
        <f t="shared" si="115"/>
        <v>Other</v>
      </c>
    </row>
    <row r="1031" spans="11:15" ht="25.05" customHeight="1" x14ac:dyDescent="0.45">
      <c r="K1031" s="15" t="e">
        <f t="shared" si="116"/>
        <v>#VALUE!</v>
      </c>
      <c r="L1031" s="15" t="e">
        <f t="shared" si="117"/>
        <v>#VALUE!</v>
      </c>
      <c r="M1031" s="16" t="e">
        <f t="shared" si="118"/>
        <v>#VALUE!</v>
      </c>
      <c r="N1031" s="16" t="e">
        <f t="shared" si="114"/>
        <v>#VALUE!</v>
      </c>
      <c r="O1031" s="16" t="str">
        <f t="shared" si="115"/>
        <v>Other</v>
      </c>
    </row>
    <row r="1032" spans="11:15" ht="25.05" customHeight="1" x14ac:dyDescent="0.45">
      <c r="K1032" s="15" t="e">
        <f t="shared" si="116"/>
        <v>#VALUE!</v>
      </c>
      <c r="L1032" s="15" t="e">
        <f t="shared" si="117"/>
        <v>#VALUE!</v>
      </c>
      <c r="M1032" s="16" t="e">
        <f t="shared" si="118"/>
        <v>#VALUE!</v>
      </c>
      <c r="N1032" s="16" t="e">
        <f t="shared" si="114"/>
        <v>#VALUE!</v>
      </c>
      <c r="O1032" s="16" t="str">
        <f t="shared" si="115"/>
        <v>Other</v>
      </c>
    </row>
    <row r="1033" spans="11:15" ht="25.05" customHeight="1" x14ac:dyDescent="0.45">
      <c r="K1033" s="15" t="e">
        <f t="shared" si="116"/>
        <v>#VALUE!</v>
      </c>
      <c r="L1033" s="15" t="e">
        <f t="shared" si="117"/>
        <v>#VALUE!</v>
      </c>
      <c r="M1033" s="16" t="e">
        <f t="shared" si="118"/>
        <v>#VALUE!</v>
      </c>
      <c r="N1033" s="16" t="e">
        <f t="shared" si="114"/>
        <v>#VALUE!</v>
      </c>
      <c r="O1033" s="16" t="str">
        <f t="shared" si="115"/>
        <v>Other</v>
      </c>
    </row>
    <row r="1034" spans="11:15" ht="25.05" customHeight="1" x14ac:dyDescent="0.45">
      <c r="K1034" s="15" t="e">
        <f t="shared" si="116"/>
        <v>#VALUE!</v>
      </c>
      <c r="L1034" s="15" t="e">
        <f t="shared" si="117"/>
        <v>#VALUE!</v>
      </c>
      <c r="M1034" s="16" t="e">
        <f t="shared" si="118"/>
        <v>#VALUE!</v>
      </c>
      <c r="N1034" s="16" t="e">
        <f t="shared" si="114"/>
        <v>#VALUE!</v>
      </c>
      <c r="O1034" s="16" t="str">
        <f t="shared" si="115"/>
        <v>Other</v>
      </c>
    </row>
    <row r="1035" spans="11:15" ht="25.05" customHeight="1" x14ac:dyDescent="0.45">
      <c r="K1035" s="15" t="e">
        <f t="shared" si="116"/>
        <v>#VALUE!</v>
      </c>
      <c r="L1035" s="15" t="e">
        <f t="shared" si="117"/>
        <v>#VALUE!</v>
      </c>
      <c r="M1035" s="16" t="e">
        <f t="shared" si="118"/>
        <v>#VALUE!</v>
      </c>
      <c r="N1035" s="16" t="e">
        <f t="shared" si="114"/>
        <v>#VALUE!</v>
      </c>
      <c r="O1035" s="16" t="str">
        <f t="shared" si="115"/>
        <v>Other</v>
      </c>
    </row>
    <row r="1036" spans="11:15" ht="25.05" customHeight="1" x14ac:dyDescent="0.45">
      <c r="K1036" s="15" t="e">
        <f t="shared" si="116"/>
        <v>#VALUE!</v>
      </c>
      <c r="L1036" s="15" t="e">
        <f t="shared" si="117"/>
        <v>#VALUE!</v>
      </c>
      <c r="M1036" s="16" t="e">
        <f t="shared" si="118"/>
        <v>#VALUE!</v>
      </c>
      <c r="N1036" s="16" t="e">
        <f t="shared" si="114"/>
        <v>#VALUE!</v>
      </c>
      <c r="O1036" s="16" t="str">
        <f t="shared" si="115"/>
        <v>Other</v>
      </c>
    </row>
    <row r="1037" spans="11:15" ht="25.05" customHeight="1" x14ac:dyDescent="0.45">
      <c r="K1037" s="15" t="e">
        <f t="shared" si="116"/>
        <v>#VALUE!</v>
      </c>
      <c r="L1037" s="15" t="e">
        <f t="shared" si="117"/>
        <v>#VALUE!</v>
      </c>
      <c r="M1037" s="16" t="e">
        <f t="shared" si="118"/>
        <v>#VALUE!</v>
      </c>
      <c r="N1037" s="16" t="e">
        <f t="shared" si="114"/>
        <v>#VALUE!</v>
      </c>
      <c r="O1037" s="16" t="str">
        <f t="shared" si="115"/>
        <v>Other</v>
      </c>
    </row>
    <row r="1038" spans="11:15" ht="25.05" customHeight="1" x14ac:dyDescent="0.45">
      <c r="K1038" s="15" t="e">
        <f t="shared" si="116"/>
        <v>#VALUE!</v>
      </c>
      <c r="L1038" s="15" t="e">
        <f t="shared" si="117"/>
        <v>#VALUE!</v>
      </c>
      <c r="M1038" s="16" t="e">
        <f t="shared" si="118"/>
        <v>#VALUE!</v>
      </c>
      <c r="N1038" s="16" t="e">
        <f t="shared" si="114"/>
        <v>#VALUE!</v>
      </c>
      <c r="O1038" s="16" t="str">
        <f t="shared" si="115"/>
        <v>Other</v>
      </c>
    </row>
    <row r="1039" spans="11:15" ht="25.05" customHeight="1" x14ac:dyDescent="0.45">
      <c r="K1039" s="15" t="e">
        <f t="shared" si="116"/>
        <v>#VALUE!</v>
      </c>
      <c r="L1039" s="15" t="e">
        <f t="shared" si="117"/>
        <v>#VALUE!</v>
      </c>
      <c r="M1039" s="16" t="e">
        <f t="shared" si="118"/>
        <v>#VALUE!</v>
      </c>
      <c r="N1039" s="16" t="e">
        <f t="shared" si="114"/>
        <v>#VALUE!</v>
      </c>
      <c r="O1039" s="16" t="str">
        <f t="shared" si="115"/>
        <v>Other</v>
      </c>
    </row>
    <row r="1040" spans="11:15" ht="25.05" customHeight="1" x14ac:dyDescent="0.45">
      <c r="K1040" s="15" t="e">
        <f t="shared" si="116"/>
        <v>#VALUE!</v>
      </c>
      <c r="L1040" s="15" t="e">
        <f t="shared" si="117"/>
        <v>#VALUE!</v>
      </c>
      <c r="M1040" s="16" t="e">
        <f t="shared" si="118"/>
        <v>#VALUE!</v>
      </c>
      <c r="N1040" s="16" t="e">
        <f t="shared" si="114"/>
        <v>#VALUE!</v>
      </c>
      <c r="O1040" s="16" t="str">
        <f t="shared" si="115"/>
        <v>Other</v>
      </c>
    </row>
    <row r="1041" spans="11:15" ht="25.05" customHeight="1" x14ac:dyDescent="0.45">
      <c r="K1041" s="15" t="e">
        <f t="shared" si="116"/>
        <v>#VALUE!</v>
      </c>
      <c r="L1041" s="15" t="e">
        <f t="shared" si="117"/>
        <v>#VALUE!</v>
      </c>
      <c r="M1041" s="16" t="e">
        <f t="shared" si="118"/>
        <v>#VALUE!</v>
      </c>
      <c r="N1041" s="16" t="e">
        <f t="shared" si="114"/>
        <v>#VALUE!</v>
      </c>
      <c r="O1041" s="16" t="str">
        <f t="shared" si="115"/>
        <v>Other</v>
      </c>
    </row>
    <row r="1042" spans="11:15" ht="25.05" customHeight="1" x14ac:dyDescent="0.45">
      <c r="K1042" s="15" t="e">
        <f t="shared" si="116"/>
        <v>#VALUE!</v>
      </c>
      <c r="L1042" s="15" t="e">
        <f t="shared" si="117"/>
        <v>#VALUE!</v>
      </c>
      <c r="M1042" s="16" t="e">
        <f t="shared" si="118"/>
        <v>#VALUE!</v>
      </c>
      <c r="N1042" s="16" t="e">
        <f t="shared" si="114"/>
        <v>#VALUE!</v>
      </c>
      <c r="O1042" s="16" t="str">
        <f t="shared" si="115"/>
        <v>Other</v>
      </c>
    </row>
    <row r="1043" spans="11:15" ht="25.05" customHeight="1" x14ac:dyDescent="0.45">
      <c r="K1043" s="15" t="e">
        <f t="shared" si="116"/>
        <v>#VALUE!</v>
      </c>
      <c r="L1043" s="15" t="e">
        <f t="shared" si="117"/>
        <v>#VALUE!</v>
      </c>
      <c r="M1043" s="16" t="e">
        <f t="shared" si="118"/>
        <v>#VALUE!</v>
      </c>
      <c r="N1043" s="16" t="e">
        <f t="shared" si="114"/>
        <v>#VALUE!</v>
      </c>
      <c r="O1043" s="16" t="str">
        <f t="shared" si="115"/>
        <v>Other</v>
      </c>
    </row>
    <row r="1044" spans="11:15" ht="25.05" customHeight="1" x14ac:dyDescent="0.45">
      <c r="K1044" s="15" t="e">
        <f t="shared" si="116"/>
        <v>#VALUE!</v>
      </c>
      <c r="L1044" s="15" t="e">
        <f t="shared" si="117"/>
        <v>#VALUE!</v>
      </c>
      <c r="M1044" s="16" t="e">
        <f t="shared" si="118"/>
        <v>#VALUE!</v>
      </c>
      <c r="N1044" s="16" t="e">
        <f t="shared" si="114"/>
        <v>#VALUE!</v>
      </c>
      <c r="O1044" s="16" t="str">
        <f t="shared" si="115"/>
        <v>Other</v>
      </c>
    </row>
    <row r="1045" spans="11:15" ht="25.05" customHeight="1" x14ac:dyDescent="0.45">
      <c r="K1045" s="15" t="e">
        <f t="shared" si="116"/>
        <v>#VALUE!</v>
      </c>
      <c r="L1045" s="15" t="e">
        <f t="shared" si="117"/>
        <v>#VALUE!</v>
      </c>
      <c r="M1045" s="16" t="e">
        <f t="shared" si="118"/>
        <v>#VALUE!</v>
      </c>
      <c r="N1045" s="16" t="e">
        <f t="shared" si="114"/>
        <v>#VALUE!</v>
      </c>
      <c r="O1045" s="16" t="str">
        <f t="shared" si="115"/>
        <v>Other</v>
      </c>
    </row>
    <row r="1046" spans="11:15" ht="25.05" customHeight="1" x14ac:dyDescent="0.45">
      <c r="K1046" s="15" t="e">
        <f t="shared" si="116"/>
        <v>#VALUE!</v>
      </c>
      <c r="L1046" s="15" t="e">
        <f t="shared" si="117"/>
        <v>#VALUE!</v>
      </c>
      <c r="M1046" s="16" t="e">
        <f t="shared" si="118"/>
        <v>#VALUE!</v>
      </c>
      <c r="N1046" s="16" t="e">
        <f t="shared" si="114"/>
        <v>#VALUE!</v>
      </c>
      <c r="O1046" s="16" t="str">
        <f t="shared" si="115"/>
        <v>Other</v>
      </c>
    </row>
    <row r="1047" spans="11:15" ht="25.05" customHeight="1" x14ac:dyDescent="0.45">
      <c r="K1047" s="15" t="e">
        <f t="shared" si="116"/>
        <v>#VALUE!</v>
      </c>
      <c r="L1047" s="15" t="e">
        <f t="shared" si="117"/>
        <v>#VALUE!</v>
      </c>
      <c r="M1047" s="16" t="e">
        <f t="shared" si="118"/>
        <v>#VALUE!</v>
      </c>
      <c r="N1047" s="16" t="e">
        <f t="shared" si="114"/>
        <v>#VALUE!</v>
      </c>
      <c r="O1047" s="16" t="str">
        <f t="shared" si="115"/>
        <v>Other</v>
      </c>
    </row>
    <row r="1048" spans="11:15" ht="25.05" customHeight="1" x14ac:dyDescent="0.45">
      <c r="K1048" s="15" t="e">
        <f t="shared" si="116"/>
        <v>#VALUE!</v>
      </c>
      <c r="L1048" s="15" t="e">
        <f t="shared" si="117"/>
        <v>#VALUE!</v>
      </c>
      <c r="M1048" s="16" t="e">
        <f t="shared" si="118"/>
        <v>#VALUE!</v>
      </c>
      <c r="N1048" s="16" t="e">
        <f t="shared" si="114"/>
        <v>#VALUE!</v>
      </c>
      <c r="O1048" s="16" t="str">
        <f t="shared" si="115"/>
        <v>Other</v>
      </c>
    </row>
    <row r="1049" spans="11:15" ht="25.05" customHeight="1" x14ac:dyDescent="0.45">
      <c r="K1049" s="15" t="e">
        <f t="shared" si="116"/>
        <v>#VALUE!</v>
      </c>
      <c r="L1049" s="15" t="e">
        <f t="shared" si="117"/>
        <v>#VALUE!</v>
      </c>
      <c r="M1049" s="16" t="e">
        <f t="shared" si="118"/>
        <v>#VALUE!</v>
      </c>
      <c r="N1049" s="16" t="e">
        <f t="shared" si="114"/>
        <v>#VALUE!</v>
      </c>
      <c r="O1049" s="16" t="str">
        <f t="shared" si="115"/>
        <v>Other</v>
      </c>
    </row>
    <row r="1050" spans="11:15" ht="25.05" customHeight="1" x14ac:dyDescent="0.45">
      <c r="K1050" s="15" t="e">
        <f t="shared" si="116"/>
        <v>#VALUE!</v>
      </c>
      <c r="L1050" s="15" t="e">
        <f t="shared" si="117"/>
        <v>#VALUE!</v>
      </c>
      <c r="M1050" s="16" t="e">
        <f t="shared" si="118"/>
        <v>#VALUE!</v>
      </c>
      <c r="N1050" s="16" t="e">
        <f t="shared" si="114"/>
        <v>#VALUE!</v>
      </c>
      <c r="O1050" s="16" t="str">
        <f t="shared" si="115"/>
        <v>Other</v>
      </c>
    </row>
    <row r="1051" spans="11:15" ht="25.05" customHeight="1" x14ac:dyDescent="0.45">
      <c r="K1051" s="15" t="e">
        <f t="shared" si="116"/>
        <v>#VALUE!</v>
      </c>
      <c r="L1051" s="15" t="e">
        <f t="shared" si="117"/>
        <v>#VALUE!</v>
      </c>
      <c r="M1051" s="16" t="e">
        <f t="shared" si="118"/>
        <v>#VALUE!</v>
      </c>
      <c r="N1051" s="16" t="e">
        <f t="shared" si="114"/>
        <v>#VALUE!</v>
      </c>
      <c r="O1051" s="16" t="str">
        <f t="shared" si="115"/>
        <v>Other</v>
      </c>
    </row>
    <row r="1052" spans="11:15" ht="25.05" customHeight="1" x14ac:dyDescent="0.45">
      <c r="K1052" s="15" t="e">
        <f t="shared" si="116"/>
        <v>#VALUE!</v>
      </c>
      <c r="L1052" s="15" t="e">
        <f t="shared" si="117"/>
        <v>#VALUE!</v>
      </c>
      <c r="M1052" s="16" t="e">
        <f t="shared" si="118"/>
        <v>#VALUE!</v>
      </c>
      <c r="N1052" s="16" t="e">
        <f t="shared" si="114"/>
        <v>#VALUE!</v>
      </c>
      <c r="O1052" s="16" t="str">
        <f t="shared" si="115"/>
        <v>Other</v>
      </c>
    </row>
    <row r="1053" spans="11:15" ht="25.05" customHeight="1" x14ac:dyDescent="0.45">
      <c r="K1053" s="15" t="e">
        <f t="shared" si="116"/>
        <v>#VALUE!</v>
      </c>
      <c r="L1053" s="15" t="e">
        <f t="shared" si="117"/>
        <v>#VALUE!</v>
      </c>
      <c r="M1053" s="16" t="e">
        <f t="shared" si="118"/>
        <v>#VALUE!</v>
      </c>
      <c r="N1053" s="16" t="e">
        <f t="shared" si="114"/>
        <v>#VALUE!</v>
      </c>
      <c r="O1053" s="16" t="str">
        <f t="shared" si="115"/>
        <v>Other</v>
      </c>
    </row>
    <row r="1054" spans="11:15" ht="25.05" customHeight="1" x14ac:dyDescent="0.45">
      <c r="K1054" s="15" t="e">
        <f t="shared" si="116"/>
        <v>#VALUE!</v>
      </c>
      <c r="L1054" s="15" t="e">
        <f t="shared" si="117"/>
        <v>#VALUE!</v>
      </c>
      <c r="M1054" s="16" t="e">
        <f t="shared" si="118"/>
        <v>#VALUE!</v>
      </c>
      <c r="N1054" s="16" t="e">
        <f t="shared" si="114"/>
        <v>#VALUE!</v>
      </c>
      <c r="O1054" s="16" t="str">
        <f t="shared" si="115"/>
        <v>Other</v>
      </c>
    </row>
    <row r="1055" spans="11:15" ht="25.05" customHeight="1" x14ac:dyDescent="0.45">
      <c r="K1055" s="15" t="e">
        <f t="shared" si="116"/>
        <v>#VALUE!</v>
      </c>
      <c r="L1055" s="15" t="e">
        <f t="shared" si="117"/>
        <v>#VALUE!</v>
      </c>
      <c r="M1055" s="16" t="e">
        <f t="shared" si="118"/>
        <v>#VALUE!</v>
      </c>
      <c r="N1055" s="16" t="e">
        <f t="shared" si="114"/>
        <v>#VALUE!</v>
      </c>
      <c r="O1055" s="16" t="str">
        <f t="shared" si="115"/>
        <v>Other</v>
      </c>
    </row>
    <row r="1056" spans="11:15" ht="25.05" customHeight="1" x14ac:dyDescent="0.45">
      <c r="K1056" s="15" t="e">
        <f t="shared" si="116"/>
        <v>#VALUE!</v>
      </c>
      <c r="L1056" s="15" t="e">
        <f t="shared" si="117"/>
        <v>#VALUE!</v>
      </c>
      <c r="M1056" s="16" t="e">
        <f t="shared" si="118"/>
        <v>#VALUE!</v>
      </c>
      <c r="N1056" s="16" t="e">
        <f t="shared" si="114"/>
        <v>#VALUE!</v>
      </c>
      <c r="O1056" s="16" t="str">
        <f t="shared" si="115"/>
        <v>Other</v>
      </c>
    </row>
    <row r="1057" spans="11:15" ht="25.05" customHeight="1" x14ac:dyDescent="0.45">
      <c r="K1057" s="15" t="e">
        <f t="shared" si="116"/>
        <v>#VALUE!</v>
      </c>
      <c r="L1057" s="15" t="e">
        <f t="shared" si="117"/>
        <v>#VALUE!</v>
      </c>
      <c r="M1057" s="16" t="e">
        <f t="shared" si="118"/>
        <v>#VALUE!</v>
      </c>
      <c r="N1057" s="16" t="e">
        <f t="shared" si="114"/>
        <v>#VALUE!</v>
      </c>
      <c r="O1057" s="16" t="str">
        <f t="shared" si="115"/>
        <v>Other</v>
      </c>
    </row>
    <row r="1058" spans="11:15" ht="25.05" customHeight="1" x14ac:dyDescent="0.45">
      <c r="K1058" s="15" t="e">
        <f t="shared" si="116"/>
        <v>#VALUE!</v>
      </c>
      <c r="L1058" s="15" t="e">
        <f t="shared" si="117"/>
        <v>#VALUE!</v>
      </c>
      <c r="M1058" s="16" t="e">
        <f t="shared" si="118"/>
        <v>#VALUE!</v>
      </c>
      <c r="N1058" s="16" t="e">
        <f t="shared" ref="N1058:N1069" si="119">K1058 &amp; " &lt;&gt; " &amp; L1058</f>
        <v>#VALUE!</v>
      </c>
      <c r="O1058" s="16" t="str">
        <f t="shared" si="115"/>
        <v>Other</v>
      </c>
    </row>
    <row r="1059" spans="11:15" ht="25.05" customHeight="1" x14ac:dyDescent="0.45">
      <c r="K1059" s="15" t="e">
        <f t="shared" si="116"/>
        <v>#VALUE!</v>
      </c>
      <c r="L1059" s="15" t="e">
        <f t="shared" si="117"/>
        <v>#VALUE!</v>
      </c>
      <c r="M1059" s="16" t="e">
        <f t="shared" si="118"/>
        <v>#VALUE!</v>
      </c>
      <c r="N1059" s="16" t="e">
        <f t="shared" si="119"/>
        <v>#VALUE!</v>
      </c>
      <c r="O1059" s="16" t="str">
        <f t="shared" si="115"/>
        <v>Other</v>
      </c>
    </row>
    <row r="1060" spans="11:15" ht="25.05" customHeight="1" x14ac:dyDescent="0.45">
      <c r="K1060" s="15" t="e">
        <f t="shared" si="116"/>
        <v>#VALUE!</v>
      </c>
      <c r="L1060" s="15" t="e">
        <f t="shared" si="117"/>
        <v>#VALUE!</v>
      </c>
      <c r="M1060" s="16" t="e">
        <f t="shared" si="118"/>
        <v>#VALUE!</v>
      </c>
      <c r="N1060" s="16" t="e">
        <f t="shared" si="119"/>
        <v>#VALUE!</v>
      </c>
      <c r="O1060" s="16" t="str">
        <f t="shared" si="115"/>
        <v>Other</v>
      </c>
    </row>
    <row r="1061" spans="11:15" ht="25.05" customHeight="1" x14ac:dyDescent="0.45">
      <c r="K1061" s="15" t="e">
        <f t="shared" si="116"/>
        <v>#VALUE!</v>
      </c>
      <c r="L1061" s="15" t="e">
        <f t="shared" si="117"/>
        <v>#VALUE!</v>
      </c>
      <c r="M1061" s="16" t="e">
        <f t="shared" si="118"/>
        <v>#VALUE!</v>
      </c>
      <c r="N1061" s="16" t="e">
        <f t="shared" si="119"/>
        <v>#VALUE!</v>
      </c>
      <c r="O1061" s="16" t="str">
        <f t="shared" si="115"/>
        <v>Other</v>
      </c>
    </row>
    <row r="1062" spans="11:15" ht="25.05" customHeight="1" x14ac:dyDescent="0.45">
      <c r="K1062" s="15" t="e">
        <f t="shared" si="116"/>
        <v>#VALUE!</v>
      </c>
      <c r="L1062" s="15" t="e">
        <f t="shared" si="117"/>
        <v>#VALUE!</v>
      </c>
      <c r="M1062" s="16" t="e">
        <f t="shared" si="118"/>
        <v>#VALUE!</v>
      </c>
      <c r="N1062" s="16" t="e">
        <f t="shared" si="119"/>
        <v>#VALUE!</v>
      </c>
      <c r="O1062" s="16" t="str">
        <f t="shared" ref="O1062:O1069" si="120">IF(LEFT(E1062, 6)="TenGig", "10G (Ten Gig)", IF(LEFT(E1062, 10)="HundredGig", "100G (Hundred Gig)", "Other"))</f>
        <v>Other</v>
      </c>
    </row>
    <row r="1063" spans="11:15" ht="25.05" customHeight="1" x14ac:dyDescent="0.45">
      <c r="K1063" s="15" t="e">
        <f t="shared" ref="K1063:K1068" si="121">LEFT(A1063, FIND("-", A1063)-1)</f>
        <v>#VALUE!</v>
      </c>
      <c r="L1063" s="15" t="e">
        <f t="shared" si="117"/>
        <v>#VALUE!</v>
      </c>
      <c r="M1063" s="16" t="e">
        <f t="shared" si="118"/>
        <v>#VALUE!</v>
      </c>
      <c r="N1063" s="16" t="e">
        <f t="shared" si="119"/>
        <v>#VALUE!</v>
      </c>
      <c r="O1063" s="16" t="str">
        <f t="shared" si="120"/>
        <v>Other</v>
      </c>
    </row>
    <row r="1064" spans="11:15" ht="25.05" customHeight="1" x14ac:dyDescent="0.45">
      <c r="K1064" s="15" t="e">
        <f t="shared" si="121"/>
        <v>#VALUE!</v>
      </c>
      <c r="L1064" s="15" t="e">
        <f t="shared" si="117"/>
        <v>#VALUE!</v>
      </c>
      <c r="M1064" s="16" t="e">
        <f t="shared" si="118"/>
        <v>#VALUE!</v>
      </c>
      <c r="N1064" s="16" t="e">
        <f t="shared" si="119"/>
        <v>#VALUE!</v>
      </c>
      <c r="O1064" s="16" t="str">
        <f t="shared" si="120"/>
        <v>Other</v>
      </c>
    </row>
    <row r="1065" spans="11:15" ht="25.05" customHeight="1" x14ac:dyDescent="0.45">
      <c r="K1065" s="15" t="e">
        <f t="shared" si="121"/>
        <v>#VALUE!</v>
      </c>
      <c r="L1065" s="15" t="e">
        <f t="shared" ref="L1065:L1068" si="122">LEFT(C1065, FIND("-", C1065)-1)</f>
        <v>#VALUE!</v>
      </c>
      <c r="M1065" s="16" t="e">
        <f t="shared" si="118"/>
        <v>#VALUE!</v>
      </c>
      <c r="N1065" s="16" t="e">
        <f t="shared" si="119"/>
        <v>#VALUE!</v>
      </c>
      <c r="O1065" s="16" t="str">
        <f t="shared" si="120"/>
        <v>Other</v>
      </c>
    </row>
    <row r="1066" spans="11:15" ht="25.05" customHeight="1" x14ac:dyDescent="0.45">
      <c r="K1066" s="15" t="e">
        <f t="shared" si="121"/>
        <v>#VALUE!</v>
      </c>
      <c r="L1066" s="15" t="e">
        <f t="shared" si="122"/>
        <v>#VALUE!</v>
      </c>
      <c r="M1066" s="16" t="e">
        <f t="shared" si="118"/>
        <v>#VALUE!</v>
      </c>
      <c r="N1066" s="16" t="e">
        <f t="shared" si="119"/>
        <v>#VALUE!</v>
      </c>
      <c r="O1066" s="16" t="str">
        <f t="shared" si="120"/>
        <v>Other</v>
      </c>
    </row>
    <row r="1067" spans="11:15" ht="25.05" customHeight="1" x14ac:dyDescent="0.45">
      <c r="K1067" s="15" t="e">
        <f t="shared" si="121"/>
        <v>#VALUE!</v>
      </c>
      <c r="L1067" s="15" t="e">
        <f t="shared" si="122"/>
        <v>#VALUE!</v>
      </c>
      <c r="M1067" s="16" t="e">
        <f t="shared" si="118"/>
        <v>#VALUE!</v>
      </c>
      <c r="N1067" s="16" t="e">
        <f t="shared" si="119"/>
        <v>#VALUE!</v>
      </c>
      <c r="O1067" s="16" t="str">
        <f t="shared" si="120"/>
        <v>Other</v>
      </c>
    </row>
    <row r="1068" spans="11:15" ht="25.05" customHeight="1" x14ac:dyDescent="0.45">
      <c r="K1068" s="15" t="e">
        <f t="shared" si="121"/>
        <v>#VALUE!</v>
      </c>
      <c r="L1068" s="15" t="e">
        <f t="shared" si="122"/>
        <v>#VALUE!</v>
      </c>
      <c r="M1068" s="16" t="e">
        <f t="shared" si="118"/>
        <v>#VALUE!</v>
      </c>
      <c r="N1068" s="16" t="e">
        <f t="shared" si="119"/>
        <v>#VALUE!</v>
      </c>
      <c r="O1068" s="16" t="str">
        <f t="shared" si="120"/>
        <v>Other</v>
      </c>
    </row>
    <row r="1069" spans="11:15" ht="25.05" customHeight="1" x14ac:dyDescent="0.45">
      <c r="M1069" s="16" t="e">
        <f t="shared" si="118"/>
        <v>#VALUE!</v>
      </c>
      <c r="N1069" s="16" t="str">
        <f t="shared" si="119"/>
        <v xml:space="preserve"> &lt;&gt; </v>
      </c>
      <c r="O1069" s="16" t="str">
        <f t="shared" si="120"/>
        <v>Other</v>
      </c>
    </row>
  </sheetData>
  <sheetProtection sort="0"/>
  <mergeCells count="8">
    <mergeCell ref="Y37:Y38"/>
    <mergeCell ref="Y39:Y40"/>
    <mergeCell ref="Y29:Y31"/>
    <mergeCell ref="Z2:AE18"/>
    <mergeCell ref="Z1:AE1"/>
    <mergeCell ref="Y27:Y28"/>
    <mergeCell ref="Y34:Y36"/>
    <mergeCell ref="Y32:Y33"/>
  </mergeCells>
  <phoneticPr fontId="2" type="noConversion"/>
  <conditionalFormatting sqref="U1:U1048576">
    <cfRule type="expression" dxfId="3" priority="63">
      <formula>ISNUMBER(SEARCH("100G", U1))</formula>
    </cfRule>
  </conditionalFormatting>
  <conditionalFormatting sqref="X666:X1048576">
    <cfRule type="expression" dxfId="2" priority="8">
      <formula>X666="Down"</formula>
    </cfRule>
  </conditionalFormatting>
  <conditionalFormatting sqref="X2:X665">
    <cfRule type="cellIs" dxfId="1" priority="1" operator="equal">
      <formula>"Down"</formula>
    </cfRule>
  </conditionalFormatting>
  <pageMargins left="0.7" right="0.7" top="0.75" bottom="0.75" header="0.3" footer="0.3"/>
  <headerFooter>
    <oddFooter>&amp;L_x000D_&amp;1#&amp;"Calibri"&amp;7&amp;K000000 C2 General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D3377-1282-47AB-8966-6F7CF910EE80}">
  <sheetPr codeName="Sheet2"/>
  <dimension ref="A1:AY1213"/>
  <sheetViews>
    <sheetView zoomScale="86" zoomScaleNormal="100" workbookViewId="0">
      <selection sqref="A1:H37"/>
    </sheetView>
  </sheetViews>
  <sheetFormatPr defaultRowHeight="14.4" x14ac:dyDescent="0.3"/>
  <cols>
    <col min="1" max="3" width="10.88671875" style="32" customWidth="1"/>
    <col min="4" max="4" width="31" style="32" customWidth="1"/>
    <col min="5" max="8" width="10.88671875" style="32" customWidth="1"/>
    <col min="9" max="24" width="8.88671875" style="33"/>
    <col min="25" max="25" width="7.21875" style="33" customWidth="1"/>
    <col min="26" max="32" width="22.5546875" style="33" customWidth="1"/>
    <col min="33" max="34" width="8.88671875" style="33"/>
    <col min="35" max="36" width="22.5546875" style="33" customWidth="1"/>
    <col min="37" max="37" width="22.5546875" style="42" customWidth="1"/>
    <col min="38" max="39" width="24.44140625" style="39" customWidth="1"/>
    <col min="40" max="44" width="22.5546875" style="33" customWidth="1"/>
    <col min="45" max="45" width="13.6640625" style="33" customWidth="1"/>
    <col min="46" max="50" width="8.88671875" style="33"/>
    <col min="51" max="51" width="8.88671875" style="31"/>
    <col min="52" max="16384" width="8.88671875" style="32"/>
  </cols>
  <sheetData>
    <row r="1" spans="1:43" ht="29.4" thickBot="1" x14ac:dyDescent="0.35">
      <c r="A1" s="25" t="s">
        <v>42</v>
      </c>
      <c r="B1" s="25" t="s">
        <v>43</v>
      </c>
      <c r="C1" s="25" t="s">
        <v>44</v>
      </c>
      <c r="D1" s="25" t="s">
        <v>45</v>
      </c>
      <c r="E1" s="25" t="s">
        <v>46</v>
      </c>
      <c r="F1" s="25" t="s">
        <v>47</v>
      </c>
      <c r="G1" s="25" t="s">
        <v>48</v>
      </c>
      <c r="H1" s="25" t="s">
        <v>49</v>
      </c>
      <c r="AK1" s="34" t="s">
        <v>2</v>
      </c>
      <c r="AL1" s="35" t="s">
        <v>8</v>
      </c>
      <c r="AM1" s="36" t="s">
        <v>9</v>
      </c>
    </row>
    <row r="2" spans="1:43" ht="18.600000000000001" customHeight="1" x14ac:dyDescent="0.3">
      <c r="A2" s="2" t="s">
        <v>13</v>
      </c>
      <c r="B2" s="2" t="s">
        <v>15</v>
      </c>
      <c r="C2" s="2" t="s">
        <v>22</v>
      </c>
      <c r="D2" s="3">
        <v>45934.473943877318</v>
      </c>
      <c r="E2" s="2" t="s">
        <v>38</v>
      </c>
      <c r="F2" s="2" t="s">
        <v>14</v>
      </c>
      <c r="G2" s="2" t="s">
        <v>39</v>
      </c>
      <c r="H2" s="2" t="s">
        <v>53</v>
      </c>
      <c r="Z2" s="37" t="s">
        <v>21</v>
      </c>
      <c r="AA2" s="33" t="str">
        <f>IFERROR(MID(G2,FIND("LR-",G2)+3,FIND("-",G2,FIND("LR-",G2)+3)-FIND("LR-",G2)-3),"")</f>
        <v>443</v>
      </c>
      <c r="AB2" s="33" t="str" cm="1">
        <f t="array" ref="AB2:AB9">_xlfn.UNIQUE(AA2:AA666)</f>
        <v>443</v>
      </c>
      <c r="AC2" s="33">
        <f t="shared" ref="AC2:AC65" si="0">COUNTIF($AA:$AA,AA2)</f>
        <v>4</v>
      </c>
      <c r="AD2" s="33" t="str">
        <f>IF(F2=0,"",F2)</f>
        <v>Down</v>
      </c>
      <c r="AE2" s="33" t="str" cm="1">
        <f t="array" ref="AE2">LOOKUP(2,1/($AB$2:$AB$1000=AB2),$AD$2:$AD$1000)</f>
        <v>Down</v>
      </c>
      <c r="AK2" s="38" t="str" cm="1">
        <f t="array" ref="AK2:AK9">_xlfn.UNIQUE('Paste Here'!AA2:AA644)</f>
        <v>443</v>
      </c>
      <c r="AL2" s="39">
        <f>IF(AK2="","",
   IF(
      COUNTIF('Paste Here'!$AA$2:$AA$1000,AK2)=0,
      "",
      ROUNDDOWN(COUNTIF('Paste Here'!$AA$2:$AA$1000,AK2)/2,0)
   )
)</f>
        <v>2</v>
      </c>
      <c r="AM2" s="39" t="str" cm="1">
        <f t="array" ref="AM2">IFERROR(IF(LOOKUP(2,1/($AA$2:$AA$1000=AK2),$AD$2:$AD$1000)=0,"",
LOOKUP(2,1/($AA$2:$AA$1000=AK2),$AD$2:$AD$1000)),"")</f>
        <v>Up</v>
      </c>
      <c r="AO2" s="33" t="str" cm="1">
        <f t="array" ref="AO2">IFERROR(INDEX($AA$2:$AA$282,MATCH(0,COUNTIF('Paste Here'!$AK$1:AK1,$AA$2:$AA$282),0)),"")</f>
        <v>443</v>
      </c>
      <c r="AP2" s="33">
        <f>IF(COUNTIF('Paste Here'!$AK$2:AK2,'Paste Here'!AK2)=1,VALUE('Paste Here'!AK2),"")</f>
        <v>443</v>
      </c>
      <c r="AQ2" s="33">
        <f>COUNTIF(AP2:AP42,"&gt;0")</f>
        <v>7</v>
      </c>
    </row>
    <row r="3" spans="1:43" x14ac:dyDescent="0.3">
      <c r="A3" s="2" t="s">
        <v>22</v>
      </c>
      <c r="B3" s="2" t="s">
        <v>23</v>
      </c>
      <c r="C3" s="2" t="s">
        <v>13</v>
      </c>
      <c r="D3" s="3">
        <v>45934.473943993064</v>
      </c>
      <c r="E3" s="2" t="s">
        <v>40</v>
      </c>
      <c r="F3" s="2" t="s">
        <v>14</v>
      </c>
      <c r="G3" s="2" t="s">
        <v>41</v>
      </c>
      <c r="H3" s="2" t="s">
        <v>53</v>
      </c>
      <c r="AA3" s="33" t="str">
        <f t="shared" ref="AA3:AA66" si="1">IFERROR(MID(G3,FIND("LR-",G3)+3,FIND("-",G3,FIND("LR-",G3)+3)-FIND("LR-",G3)-3),"")</f>
        <v>443</v>
      </c>
      <c r="AB3" s="33" t="str">
        <v>719</v>
      </c>
      <c r="AC3" s="33">
        <f t="shared" si="0"/>
        <v>4</v>
      </c>
      <c r="AD3" s="33" t="str">
        <f t="shared" ref="AD3:AD66" si="2">IF(F3=0,"",F3)</f>
        <v>Down</v>
      </c>
      <c r="AE3" s="33" t="str" cm="1">
        <f t="array" ref="AE3">LOOKUP(2,1/($AB$2:$AB$1000=AB3),$AD$2:$AD$1000)</f>
        <v>Down</v>
      </c>
      <c r="AK3" s="40" t="str">
        <v>719</v>
      </c>
      <c r="AL3" s="39">
        <f>IF(AK3="","",
   IF(
      COUNTIF('Paste Here'!$AA$2:$AA$1000,AK3)=0,
      "",
      ROUNDDOWN(COUNTIF('Paste Here'!$AA$2:$AA$1000,AK3)/2,0)
   )
)</f>
        <v>8</v>
      </c>
      <c r="AM3" s="39" t="str" cm="1">
        <f t="array" ref="AM3">IFERROR(IF(LOOKUP(2,1/($AA$2:$AA$1000=AK3),$AD$2:$AD$1000)=0,"",
LOOKUP(2,1/($AA$2:$AA$1000=AK3),$AD$2:$AD$1000)),"")</f>
        <v>Up</v>
      </c>
      <c r="AO3" s="33" t="str" cm="1">
        <f t="array" ref="AO3">IFERROR(INDEX($AA$2:$AA$282,MATCH(0,COUNTIF('Paste Here'!$AK$1:AK2,$AA$2:$AA$282),0)),"")</f>
        <v>719</v>
      </c>
      <c r="AP3" s="33">
        <f>IF(COUNTIF('Paste Here'!$AK$2:AK3,'Paste Here'!AK3)=1,VALUE('Paste Here'!AK3),"")</f>
        <v>719</v>
      </c>
    </row>
    <row r="4" spans="1:43" x14ac:dyDescent="0.3">
      <c r="A4" t="s">
        <v>13</v>
      </c>
      <c r="B4" t="s">
        <v>15</v>
      </c>
      <c r="C4" t="s">
        <v>22</v>
      </c>
      <c r="D4" s="4">
        <v>45934.474026770833</v>
      </c>
      <c r="E4" t="s">
        <v>38</v>
      </c>
      <c r="F4" t="s">
        <v>18</v>
      </c>
      <c r="G4" t="s">
        <v>39</v>
      </c>
      <c r="H4" t="s">
        <v>54</v>
      </c>
      <c r="AA4" s="33" t="str">
        <f t="shared" si="1"/>
        <v>443</v>
      </c>
      <c r="AB4" s="33" t="str">
        <v>499</v>
      </c>
      <c r="AC4" s="33">
        <f t="shared" si="0"/>
        <v>4</v>
      </c>
      <c r="AD4" s="33" t="str">
        <f t="shared" si="2"/>
        <v>Up</v>
      </c>
      <c r="AE4" s="33" t="str" cm="1">
        <f t="array" ref="AE4">LOOKUP(2,1/($AB$2:$AB$1000=AB4),$AD$2:$AD$1000)</f>
        <v>Up</v>
      </c>
      <c r="AK4" s="40" t="str">
        <v>499</v>
      </c>
      <c r="AL4" s="39">
        <f>IF(AK4="","",
   IF(
      COUNTIF('Paste Here'!$AA$2:$AA$1000,AK4)=0,
      "",
      ROUNDDOWN(COUNTIF('Paste Here'!$AA$2:$AA$1000,AK4)/2,0)
   )
)</f>
        <v>2</v>
      </c>
      <c r="AM4" s="39" t="str" cm="1">
        <f t="array" ref="AM4">IFERROR(IF(LOOKUP(2,1/($AA$2:$AA$1000=AK4),$AD$2:$AD$1000)=0,"",
LOOKUP(2,1/($AA$2:$AA$1000=AK4),$AD$2:$AD$1000)),"")</f>
        <v>Up</v>
      </c>
      <c r="AO4" s="33" t="str" cm="1">
        <f t="array" ref="AO4">IFERROR(INDEX($AA$2:$AA$282,MATCH(0,COUNTIF('Paste Here'!$AK$1:AK3,$AA$2:$AA$282),0)),"")</f>
        <v>499</v>
      </c>
      <c r="AP4" s="33">
        <f>IF(COUNTIF('Paste Here'!$AK$2:AK4,'Paste Here'!AK4)=1,VALUE('Paste Here'!AK4),"")</f>
        <v>499</v>
      </c>
    </row>
    <row r="5" spans="1:43" x14ac:dyDescent="0.3">
      <c r="A5" t="s">
        <v>22</v>
      </c>
      <c r="B5" t="s">
        <v>23</v>
      </c>
      <c r="C5" t="s">
        <v>13</v>
      </c>
      <c r="D5" s="4">
        <v>45934.474026886572</v>
      </c>
      <c r="E5" t="s">
        <v>40</v>
      </c>
      <c r="F5" t="s">
        <v>18</v>
      </c>
      <c r="G5" t="s">
        <v>41</v>
      </c>
      <c r="H5" t="s">
        <v>55</v>
      </c>
      <c r="AA5" s="33" t="str">
        <f t="shared" si="1"/>
        <v>443</v>
      </c>
      <c r="AB5" s="33" t="str">
        <v>16</v>
      </c>
      <c r="AC5" s="33">
        <f t="shared" si="0"/>
        <v>4</v>
      </c>
      <c r="AD5" s="33" t="str">
        <f t="shared" si="2"/>
        <v>Up</v>
      </c>
      <c r="AE5" s="33" t="str" cm="1">
        <f t="array" ref="AE5">LOOKUP(2,1/($AB$2:$AB$1000=AB5),$AD$2:$AD$1000)</f>
        <v>Up</v>
      </c>
      <c r="AK5" s="40" t="str">
        <v>16</v>
      </c>
      <c r="AL5" s="39">
        <f>IF(AK5="","",
   IF(
      COUNTIF('Paste Here'!$AA$2:$AA$1000,AK5)=0,
      "",
      ROUNDDOWN(COUNTIF('Paste Here'!$AA$2:$AA$1000,AK5)/2,0)
   )
)</f>
        <v>1</v>
      </c>
      <c r="AM5" s="39" t="str" cm="1">
        <f t="array" ref="AM5">IFERROR(IF(LOOKUP(2,1/($AA$2:$AA$1000=AK5),$AD$2:$AD$1000)=0,"",
LOOKUP(2,1/($AA$2:$AA$1000=AK5),$AD$2:$AD$1000)),"")</f>
        <v>Up</v>
      </c>
      <c r="AO5" s="33" t="str" cm="1">
        <f t="array" ref="AO5">IFERROR(INDEX($AA$2:$AA$282,MATCH(0,COUNTIF('Paste Here'!$AK$1:AK4,$AA$2:$AA$282),0)),"")</f>
        <v>16</v>
      </c>
      <c r="AP5" s="33">
        <f>IF(COUNTIF('Paste Here'!$AK$2:AK5,'Paste Here'!AK5)=1,VALUE('Paste Here'!AK5),"")</f>
        <v>16</v>
      </c>
    </row>
    <row r="6" spans="1:43" x14ac:dyDescent="0.3">
      <c r="A6" s="2" t="s">
        <v>24</v>
      </c>
      <c r="B6" s="2" t="s">
        <v>25</v>
      </c>
      <c r="C6" s="2" t="s">
        <v>16</v>
      </c>
      <c r="D6" s="3">
        <v>45934.476349629629</v>
      </c>
      <c r="E6" s="2" t="s">
        <v>26</v>
      </c>
      <c r="F6" s="2" t="s">
        <v>14</v>
      </c>
      <c r="G6" s="2" t="s">
        <v>27</v>
      </c>
      <c r="H6" s="2" t="s">
        <v>56</v>
      </c>
      <c r="AA6" s="33" t="str">
        <f t="shared" si="1"/>
        <v>719</v>
      </c>
      <c r="AB6" s="33" t="str">
        <v>13</v>
      </c>
      <c r="AC6" s="33">
        <f t="shared" si="0"/>
        <v>16</v>
      </c>
      <c r="AD6" s="33" t="str">
        <f t="shared" si="2"/>
        <v>Down</v>
      </c>
      <c r="AE6" s="33" t="str" cm="1">
        <f t="array" ref="AE6">LOOKUP(2,1/($AB$2:$AB$1000=AB6),$AD$2:$AD$1000)</f>
        <v>Down</v>
      </c>
      <c r="AK6" s="40" t="str">
        <v>13</v>
      </c>
      <c r="AL6" s="39">
        <f>IF(AK6="","",
   IF(
      COUNTIF('Paste Here'!$AA$2:$AA$1000,AK6)=0,
      "",
      ROUNDDOWN(COUNTIF('Paste Here'!$AA$2:$AA$1000,AK6)/2,0)
   )
)</f>
        <v>2</v>
      </c>
      <c r="AM6" s="39" t="str" cm="1">
        <f t="array" ref="AM6">IFERROR(IF(LOOKUP(2,1/($AA$2:$AA$1000=AK6),$AD$2:$AD$1000)=0,"",
LOOKUP(2,1/($AA$2:$AA$1000=AK6),$AD$2:$AD$1000)),"")</f>
        <v>Up</v>
      </c>
      <c r="AO6" s="33" t="str" cm="1">
        <f t="array" ref="AO6">IFERROR(INDEX($AA$2:$AA$282,MATCH(0,COUNTIF('Paste Here'!$AK$1:AK5,$AA$2:$AA$282),0)),"")</f>
        <v>13</v>
      </c>
      <c r="AP6" s="33">
        <f>IF(COUNTIF('Paste Here'!$AK$2:AK6,'Paste Here'!AK6)=1,VALUE('Paste Here'!AK6),"")</f>
        <v>13</v>
      </c>
    </row>
    <row r="7" spans="1:43" x14ac:dyDescent="0.3">
      <c r="A7" s="2" t="s">
        <v>16</v>
      </c>
      <c r="B7" s="2" t="s">
        <v>17</v>
      </c>
      <c r="C7" s="2" t="s">
        <v>24</v>
      </c>
      <c r="D7" s="3">
        <v>45934.47634966435</v>
      </c>
      <c r="E7" s="2" t="s">
        <v>28</v>
      </c>
      <c r="F7" s="2" t="s">
        <v>14</v>
      </c>
      <c r="G7" s="2" t="s">
        <v>29</v>
      </c>
      <c r="H7" s="2" t="s">
        <v>57</v>
      </c>
      <c r="AA7" s="33" t="str">
        <f t="shared" si="1"/>
        <v>719</v>
      </c>
      <c r="AB7" s="33" t="str">
        <v>460</v>
      </c>
      <c r="AC7" s="33">
        <f t="shared" si="0"/>
        <v>16</v>
      </c>
      <c r="AD7" s="33" t="str">
        <f t="shared" si="2"/>
        <v>Down</v>
      </c>
      <c r="AE7" s="33" t="str" cm="1">
        <f t="array" ref="AE7">LOOKUP(2,1/($AB$2:$AB$1000=AB7),$AD$2:$AD$1000)</f>
        <v>Down</v>
      </c>
      <c r="AK7" s="40" t="str">
        <v>460</v>
      </c>
      <c r="AL7" s="39">
        <f>IF(AK7="","",
   IF(
      COUNTIF('Paste Here'!$AA$2:$AA$1000,AK7)=0,
      "",
      ROUNDDOWN(COUNTIF('Paste Here'!$AA$2:$AA$1000,AK7)/2,0)
   )
)</f>
        <v>2</v>
      </c>
      <c r="AM7" s="39" t="str" cm="1">
        <f t="array" ref="AM7">IFERROR(IF(LOOKUP(2,1/($AA$2:$AA$1000=AK7),$AD$2:$AD$1000)=0,"",
LOOKUP(2,1/($AA$2:$AA$1000=AK7),$AD$2:$AD$1000)),"")</f>
        <v>Up</v>
      </c>
      <c r="AO7" s="33" t="str" cm="1">
        <f t="array" ref="AO7">IFERROR(INDEX($AA$2:$AA$282,MATCH(0,COUNTIF('Paste Here'!$AK$1:AK6,$AA$2:$AA$282),0)),"")</f>
        <v>460</v>
      </c>
      <c r="AP7" s="33">
        <f>IF(COUNTIF('Paste Here'!$AK$2:AK7,'Paste Here'!AK7)=1,VALUE('Paste Here'!AK7),"")</f>
        <v>460</v>
      </c>
    </row>
    <row r="8" spans="1:43" x14ac:dyDescent="0.3">
      <c r="A8" t="s">
        <v>16</v>
      </c>
      <c r="B8" t="s">
        <v>17</v>
      </c>
      <c r="C8" t="s">
        <v>24</v>
      </c>
      <c r="D8" s="4">
        <v>45934.476399942127</v>
      </c>
      <c r="E8" t="s">
        <v>28</v>
      </c>
      <c r="F8" t="s">
        <v>18</v>
      </c>
      <c r="G8" t="s">
        <v>29</v>
      </c>
      <c r="H8" t="s">
        <v>58</v>
      </c>
      <c r="AA8" s="33" t="str">
        <f t="shared" si="1"/>
        <v>719</v>
      </c>
      <c r="AB8" s="33" t="str">
        <v>459</v>
      </c>
      <c r="AC8" s="33">
        <f t="shared" si="0"/>
        <v>16</v>
      </c>
      <c r="AD8" s="33" t="str">
        <f t="shared" si="2"/>
        <v>Up</v>
      </c>
      <c r="AE8" s="33" t="str" cm="1">
        <f t="array" ref="AE8">LOOKUP(2,1/($AB$2:$AB$1000=AB8),$AD$2:$AD$1000)</f>
        <v>Up</v>
      </c>
      <c r="AK8" s="40" t="str">
        <v>459</v>
      </c>
      <c r="AL8" s="39">
        <f>IF(AK8="","",
   IF(
      COUNTIF('Paste Here'!$AA$2:$AA$1000,AK8)=0,
      "",
      ROUNDDOWN(COUNTIF('Paste Here'!$AA$2:$AA$1000,AK8)/2,0)
   )
)</f>
        <v>1</v>
      </c>
      <c r="AM8" s="39" t="str" cm="1">
        <f t="array" ref="AM8">IFERROR(IF(LOOKUP(2,1/($AA$2:$AA$1000=AK8),$AD$2:$AD$1000)=0,"",
LOOKUP(2,1/($AA$2:$AA$1000=AK8),$AD$2:$AD$1000)),"")</f>
        <v>Up</v>
      </c>
      <c r="AO8" s="33" t="str" cm="1">
        <f t="array" ref="AO8">IFERROR(INDEX($AA$2:$AA$282,MATCH(0,COUNTIF('Paste Here'!$AK$1:AK7,$AA$2:$AA$282),0)),"")</f>
        <v>459</v>
      </c>
      <c r="AP8" s="33">
        <f>IF(COUNTIF('Paste Here'!$AK$2:AK8,'Paste Here'!AK8)=1,VALUE('Paste Here'!AK8),"")</f>
        <v>459</v>
      </c>
    </row>
    <row r="9" spans="1:43" x14ac:dyDescent="0.3">
      <c r="A9" t="s">
        <v>24</v>
      </c>
      <c r="B9" t="s">
        <v>25</v>
      </c>
      <c r="C9" t="s">
        <v>16</v>
      </c>
      <c r="D9" s="4">
        <v>45934.476400011583</v>
      </c>
      <c r="E9" t="s">
        <v>26</v>
      </c>
      <c r="F9" t="s">
        <v>18</v>
      </c>
      <c r="G9" t="s">
        <v>27</v>
      </c>
      <c r="H9" t="s">
        <v>59</v>
      </c>
      <c r="AA9" s="33" t="str">
        <f t="shared" si="1"/>
        <v>719</v>
      </c>
      <c r="AB9" s="33" t="str">
        <v/>
      </c>
      <c r="AC9" s="33">
        <f t="shared" si="0"/>
        <v>16</v>
      </c>
      <c r="AD9" s="33" t="str">
        <f t="shared" si="2"/>
        <v>Up</v>
      </c>
      <c r="AE9" s="33" t="str" cm="1">
        <f t="array" ref="AE9">LOOKUP(2,1/($AB$2:$AB$1000=AB9),$AD$2:$AD$1000)</f>
        <v/>
      </c>
      <c r="AK9" s="40" t="str">
        <v/>
      </c>
      <c r="AL9" s="39" t="str">
        <f>IF(AK9="","",
   IF(
      COUNTIF('Paste Here'!$AA$2:$AA$1000,AK9)=0,
      "",
      ROUNDDOWN(COUNTIF('Paste Here'!$AA$2:$AA$1000,AK9)/2,0)
   )
)</f>
        <v/>
      </c>
      <c r="AM9" s="39" t="str" cm="1">
        <f t="array" ref="AM9">IFERROR(IF(LOOKUP(2,1/($AA$2:$AA$1000=AK9),$AD$2:$AD$1000)=0,"",
LOOKUP(2,1/($AA$2:$AA$1000=AK9),$AD$2:$AD$1000)),"")</f>
        <v/>
      </c>
      <c r="AO9" s="33" t="str" cm="1">
        <f t="array" ref="AO9">IFERROR(INDEX($AA$2:$AA$282,MATCH(0,COUNTIF('Paste Here'!$AK$1:AK8,$AA$2:$AA$282),0)),"")</f>
        <v/>
      </c>
      <c r="AP9" s="33" t="e">
        <f>IF(COUNTIF('Paste Here'!$AK$2:AK9,'Paste Here'!AK9)=1,VALUE('Paste Here'!AK9),"")</f>
        <v>#VALUE!</v>
      </c>
    </row>
    <row r="10" spans="1:43" x14ac:dyDescent="0.3">
      <c r="A10" s="2" t="s">
        <v>19</v>
      </c>
      <c r="B10" s="2" t="s">
        <v>20</v>
      </c>
      <c r="C10" s="2" t="s">
        <v>16</v>
      </c>
      <c r="D10" s="3">
        <v>45934.479386828702</v>
      </c>
      <c r="E10" s="2" t="s">
        <v>60</v>
      </c>
      <c r="F10" s="2" t="s">
        <v>14</v>
      </c>
      <c r="G10" s="2" t="s">
        <v>61</v>
      </c>
      <c r="H10" s="2" t="s">
        <v>52</v>
      </c>
      <c r="AA10" s="33" t="str">
        <f t="shared" si="1"/>
        <v>499</v>
      </c>
      <c r="AC10" s="33">
        <f t="shared" si="0"/>
        <v>4</v>
      </c>
      <c r="AD10" s="33" t="str">
        <f t="shared" si="2"/>
        <v>Down</v>
      </c>
      <c r="AE10" s="33" t="str" cm="1">
        <f t="array" ref="AE10">LOOKUP(2,1/($AB$2:$AB$1000=AB10),$AD$2:$AD$1000)</f>
        <v/>
      </c>
      <c r="AK10" s="40"/>
      <c r="AL10" s="39" t="str">
        <f>IF(AK10="","",
   IF(
      COUNTIF('Paste Here'!$AA$2:$AA$1000,AK10)=0,
      "",
      ROUNDDOWN(COUNTIF('Paste Here'!$AA$2:$AA$1000,AK10)/2,0)
   )
)</f>
        <v/>
      </c>
      <c r="AM10" s="39" t="str" cm="1">
        <f t="array" ref="AM10">IFERROR(IF(LOOKUP(2,1/($AA$2:$AA$1000=AK10),$AD$2:$AD$1000)=0,"",
LOOKUP(2,1/($AA$2:$AA$1000=AK10),$AD$2:$AD$1000)),"")</f>
        <v/>
      </c>
      <c r="AO10" s="33" t="str" cm="1">
        <f t="array" ref="AO10">IFERROR(INDEX($AA$2:$AA$282,MATCH(0,COUNTIF('Paste Here'!$AK$1:AK9,$AA$2:$AA$282),0)),"")</f>
        <v/>
      </c>
      <c r="AP10" s="33" t="str">
        <f>IF(COUNTIF('Paste Here'!$AK$2:AK10,'Paste Here'!AK10)=1,VALUE('Paste Here'!AK10),"")</f>
        <v/>
      </c>
    </row>
    <row r="11" spans="1:43" x14ac:dyDescent="0.3">
      <c r="A11" s="2" t="s">
        <v>30</v>
      </c>
      <c r="B11" s="2" t="s">
        <v>31</v>
      </c>
      <c r="C11" s="2" t="s">
        <v>32</v>
      </c>
      <c r="D11" s="3">
        <v>45934.479386840278</v>
      </c>
      <c r="E11" s="2" t="s">
        <v>33</v>
      </c>
      <c r="F11" s="2" t="s">
        <v>14</v>
      </c>
      <c r="G11" s="2" t="s">
        <v>34</v>
      </c>
      <c r="H11" s="2" t="s">
        <v>62</v>
      </c>
      <c r="AA11" s="33" t="str">
        <f t="shared" si="1"/>
        <v>16</v>
      </c>
      <c r="AC11" s="33">
        <f t="shared" si="0"/>
        <v>2</v>
      </c>
      <c r="AD11" s="33" t="str">
        <f t="shared" si="2"/>
        <v>Down</v>
      </c>
      <c r="AE11" s="33" t="str" cm="1">
        <f t="array" ref="AE11">LOOKUP(2,1/($AB$2:$AB$1000=AB11),$AD$2:$AD$1000)</f>
        <v/>
      </c>
      <c r="AK11" s="40"/>
      <c r="AL11" s="39" t="str">
        <f>IF(AK11="","",
   IF(
      COUNTIF('Paste Here'!$AA$2:$AA$1000,AK11)=0,
      "",
      ROUNDDOWN(COUNTIF('Paste Here'!$AA$2:$AA$1000,AK11)/2,0)
   )
)</f>
        <v/>
      </c>
      <c r="AM11" s="39" t="str" cm="1">
        <f t="array" ref="AM11">IFERROR(IF(LOOKUP(2,1/($AA$2:$AA$1000=AK11),$AD$2:$AD$1000)=0,"",
LOOKUP(2,1/($AA$2:$AA$1000=AK11),$AD$2:$AD$1000)),"")</f>
        <v/>
      </c>
      <c r="AO11" s="33" t="str" cm="1">
        <f t="array" ref="AO11">IFERROR(INDEX($AA$2:$AA$282,MATCH(0,COUNTIF('Paste Here'!$AK$1:AK10,$AA$2:$AA$282),0)),"")</f>
        <v/>
      </c>
      <c r="AP11" s="33" t="str">
        <f>IF(COUNTIF('Paste Here'!$AK$2:AK11,'Paste Here'!AK11)=1,VALUE('Paste Here'!AK11),"")</f>
        <v/>
      </c>
    </row>
    <row r="12" spans="1:43" x14ac:dyDescent="0.3">
      <c r="A12" s="2" t="s">
        <v>19</v>
      </c>
      <c r="B12" s="2" t="s">
        <v>20</v>
      </c>
      <c r="C12" s="2" t="s">
        <v>16</v>
      </c>
      <c r="D12" s="3">
        <v>45934.479386863422</v>
      </c>
      <c r="E12" s="2" t="s">
        <v>63</v>
      </c>
      <c r="F12" s="2" t="s">
        <v>14</v>
      </c>
      <c r="G12" s="2" t="s">
        <v>64</v>
      </c>
      <c r="H12" s="2" t="s">
        <v>65</v>
      </c>
      <c r="AA12" s="33" t="str">
        <f t="shared" si="1"/>
        <v>13</v>
      </c>
      <c r="AC12" s="33">
        <f t="shared" si="0"/>
        <v>4</v>
      </c>
      <c r="AD12" s="33" t="str">
        <f t="shared" si="2"/>
        <v>Down</v>
      </c>
      <c r="AE12" s="33" t="str" cm="1">
        <f t="array" ref="AE12">LOOKUP(2,1/($AB$2:$AB$1000=AB12),$AD$2:$AD$1000)</f>
        <v/>
      </c>
      <c r="AK12" s="40"/>
      <c r="AL12" s="39" t="str">
        <f>IF(AK12="","",
   IF(
      COUNTIF('Paste Here'!$AA$2:$AA$1000,AK12)=0,
      "",
      ROUNDDOWN(COUNTIF('Paste Here'!$AA$2:$AA$1000,AK12)/2,0)
   )
)</f>
        <v/>
      </c>
      <c r="AM12" s="39" t="str" cm="1">
        <f t="array" ref="AM12">IFERROR(IF(LOOKUP(2,1/($AA$2:$AA$1000=AK12),$AD$2:$AD$1000)=0,"",
LOOKUP(2,1/($AA$2:$AA$1000=AK12),$AD$2:$AD$1000)),"")</f>
        <v/>
      </c>
      <c r="AO12" s="33" t="str" cm="1">
        <f t="array" ref="AO12">IFERROR(INDEX($AA$2:$AA$282,MATCH(0,COUNTIF('Paste Here'!$AK$1:AK11,$AA$2:$AA$282),0)),"")</f>
        <v/>
      </c>
      <c r="AP12" s="33" t="str">
        <f>IF(COUNTIF('Paste Here'!$AK$2:AK12,'Paste Here'!AK12)=1,VALUE('Paste Here'!AK12),"")</f>
        <v/>
      </c>
    </row>
    <row r="13" spans="1:43" x14ac:dyDescent="0.3">
      <c r="A13" s="2" t="s">
        <v>16</v>
      </c>
      <c r="B13" s="2" t="s">
        <v>17</v>
      </c>
      <c r="C13" s="2" t="s">
        <v>19</v>
      </c>
      <c r="D13" s="3">
        <v>45934.479387002313</v>
      </c>
      <c r="E13" s="2" t="s">
        <v>66</v>
      </c>
      <c r="F13" s="2" t="s">
        <v>14</v>
      </c>
      <c r="G13" s="2" t="s">
        <v>67</v>
      </c>
      <c r="H13" s="2" t="s">
        <v>68</v>
      </c>
      <c r="AA13" s="33" t="str">
        <f t="shared" si="1"/>
        <v>13</v>
      </c>
      <c r="AC13" s="33">
        <f t="shared" si="0"/>
        <v>4</v>
      </c>
      <c r="AD13" s="33" t="str">
        <f t="shared" si="2"/>
        <v>Down</v>
      </c>
      <c r="AE13" s="33" t="str" cm="1">
        <f t="array" ref="AE13">LOOKUP(2,1/($AB$2:$AB$1000=AB13),$AD$2:$AD$1000)</f>
        <v/>
      </c>
      <c r="AK13" s="40"/>
      <c r="AL13" s="39" t="str">
        <f>IF(AK13="","",
   IF(
      COUNTIF('Paste Here'!$AA$2:$AA$1000,AK13)=0,
      "",
      ROUNDDOWN(COUNTIF('Paste Here'!$AA$2:$AA$1000,AK13)/2,0)
   )
)</f>
        <v/>
      </c>
      <c r="AM13" s="39" t="str" cm="1">
        <f t="array" ref="AM13">IFERROR(IF(LOOKUP(2,1/($AA$2:$AA$1000=AK13),$AD$2:$AD$1000)=0,"",
LOOKUP(2,1/($AA$2:$AA$1000=AK13),$AD$2:$AD$1000)),"")</f>
        <v/>
      </c>
      <c r="AO13" s="33" t="str" cm="1">
        <f t="array" ref="AO13">IFERROR(INDEX($AA$2:$AA$282,MATCH(0,COUNTIF('Paste Here'!$AK$1:AK12,$AA$2:$AA$282),0)),"")</f>
        <v/>
      </c>
      <c r="AP13" s="33" t="str">
        <f>IF(COUNTIF('Paste Here'!$AK$2:AK13,'Paste Here'!AK13)=1,VALUE('Paste Here'!AK13),"")</f>
        <v/>
      </c>
    </row>
    <row r="14" spans="1:43" x14ac:dyDescent="0.3">
      <c r="A14" s="2" t="s">
        <v>30</v>
      </c>
      <c r="B14" s="2" t="s">
        <v>31</v>
      </c>
      <c r="C14" s="2" t="s">
        <v>32</v>
      </c>
      <c r="D14" s="3">
        <v>45934.47938704861</v>
      </c>
      <c r="E14" s="2" t="s">
        <v>69</v>
      </c>
      <c r="F14" s="2" t="s">
        <v>14</v>
      </c>
      <c r="G14" s="2" t="s">
        <v>70</v>
      </c>
      <c r="H14" s="2" t="s">
        <v>71</v>
      </c>
      <c r="AA14" s="33" t="str">
        <f t="shared" si="1"/>
        <v>460</v>
      </c>
      <c r="AC14" s="33">
        <f t="shared" si="0"/>
        <v>4</v>
      </c>
      <c r="AD14" s="33" t="str">
        <f t="shared" si="2"/>
        <v>Down</v>
      </c>
      <c r="AE14" s="33" t="str" cm="1">
        <f t="array" ref="AE14">LOOKUP(2,1/($AB$2:$AB$1000=AB14),$AD$2:$AD$1000)</f>
        <v/>
      </c>
      <c r="AK14" s="40"/>
      <c r="AL14" s="39" t="str">
        <f>IF(AK14="","",
   IF(
      COUNTIF('Paste Here'!$AA$2:$AA$1000,AK14)=0,
      "",
      ROUNDDOWN(COUNTIF('Paste Here'!$AA$2:$AA$1000,AK14)/2,0)
   )
)</f>
        <v/>
      </c>
      <c r="AM14" s="39" t="str" cm="1">
        <f t="array" ref="AM14">IFERROR(IF(LOOKUP(2,1/($AA$2:$AA$1000=AK14),$AD$2:$AD$1000)=0,"",
LOOKUP(2,1/($AA$2:$AA$1000=AK14),$AD$2:$AD$1000)),"")</f>
        <v/>
      </c>
      <c r="AO14" s="33" t="str" cm="1">
        <f t="array" ref="AO14">IFERROR(INDEX($AA$2:$AA$282,MATCH(0,COUNTIF('Paste Here'!$AK$1:AK13,$AA$2:$AA$282),0)),"")</f>
        <v/>
      </c>
      <c r="AP14" s="33" t="str">
        <f>IF(COUNTIF('Paste Here'!$AK$2:AK14,'Paste Here'!AK14)=1,VALUE('Paste Here'!AK14),"")</f>
        <v/>
      </c>
    </row>
    <row r="15" spans="1:43" x14ac:dyDescent="0.3">
      <c r="A15" s="2" t="s">
        <v>30</v>
      </c>
      <c r="B15" s="2" t="s">
        <v>31</v>
      </c>
      <c r="C15" s="2" t="s">
        <v>32</v>
      </c>
      <c r="D15" s="3">
        <v>45934.479387256943</v>
      </c>
      <c r="E15" s="2" t="s">
        <v>35</v>
      </c>
      <c r="F15" s="2" t="s">
        <v>14</v>
      </c>
      <c r="G15" s="2" t="s">
        <v>36</v>
      </c>
      <c r="H15" s="2" t="s">
        <v>72</v>
      </c>
      <c r="AA15" s="33" t="str">
        <f t="shared" si="1"/>
        <v>459</v>
      </c>
      <c r="AC15" s="33">
        <f t="shared" si="0"/>
        <v>2</v>
      </c>
      <c r="AD15" s="33" t="str">
        <f t="shared" si="2"/>
        <v>Down</v>
      </c>
      <c r="AE15" s="33" t="str" cm="1">
        <f t="array" ref="AE15">LOOKUP(2,1/($AB$2:$AB$1000=AB15),$AD$2:$AD$1000)</f>
        <v/>
      </c>
      <c r="AK15" s="40"/>
      <c r="AL15" s="39" t="str">
        <f>IF(AK15="","",
   IF(
      COUNTIF('Paste Here'!$AA$2:$AA$1000,AK15)=0,
      "",
      ROUNDDOWN(COUNTIF('Paste Here'!$AA$2:$AA$1000,AK15)/2,0)
   )
)</f>
        <v/>
      </c>
      <c r="AM15" s="39" t="str" cm="1">
        <f t="array" ref="AM15">IFERROR(IF(LOOKUP(2,1/($AA$2:$AA$1000=AK15),$AD$2:$AD$1000)=0,"",
LOOKUP(2,1/($AA$2:$AA$1000=AK15),$AD$2:$AD$1000)),"")</f>
        <v/>
      </c>
      <c r="AO15" s="33" t="str" cm="1">
        <f t="array" ref="AO15">IFERROR(INDEX($AA$2:$AA$282,MATCH(0,COUNTIF('Paste Here'!$AK$1:AK14,$AA$2:$AA$282),0)),"")</f>
        <v/>
      </c>
      <c r="AP15" s="33" t="str">
        <f>IF(COUNTIF('Paste Here'!$AK$2:AK15,'Paste Here'!AK15)=1,VALUE('Paste Here'!AK15),"")</f>
        <v/>
      </c>
    </row>
    <row r="16" spans="1:43" x14ac:dyDescent="0.3">
      <c r="A16" s="2" t="s">
        <v>16</v>
      </c>
      <c r="B16" s="2" t="s">
        <v>17</v>
      </c>
      <c r="C16" s="2" t="s">
        <v>24</v>
      </c>
      <c r="D16" s="3">
        <v>45934.479387361112</v>
      </c>
      <c r="E16" s="2" t="s">
        <v>28</v>
      </c>
      <c r="F16" s="2" t="s">
        <v>14</v>
      </c>
      <c r="G16" s="2" t="s">
        <v>29</v>
      </c>
      <c r="H16" s="2" t="s">
        <v>73</v>
      </c>
      <c r="AA16" s="33" t="str">
        <f t="shared" si="1"/>
        <v>719</v>
      </c>
      <c r="AC16" s="33">
        <f t="shared" si="0"/>
        <v>16</v>
      </c>
      <c r="AD16" s="33" t="str">
        <f t="shared" si="2"/>
        <v>Down</v>
      </c>
      <c r="AE16" s="33" t="str" cm="1">
        <f t="array" ref="AE16">LOOKUP(2,1/($AB$2:$AB$1000=AB16),$AD$2:$AD$1000)</f>
        <v/>
      </c>
      <c r="AK16" s="40"/>
      <c r="AL16" s="39" t="str">
        <f>IF(AK16="","",
   IF(
      COUNTIF('Paste Here'!$AA$2:$AA$1000,AK16)=0,
      "",
      ROUNDDOWN(COUNTIF('Paste Here'!$AA$2:$AA$1000,AK16)/2,0)
   )
)</f>
        <v/>
      </c>
      <c r="AM16" s="39" t="str" cm="1">
        <f t="array" ref="AM16">IFERROR(IF(LOOKUP(2,1/($AA$2:$AA$1000=AK16),$AD$2:$AD$1000)=0,"",
LOOKUP(2,1/($AA$2:$AA$1000=AK16),$AD$2:$AD$1000)),"")</f>
        <v/>
      </c>
      <c r="AO16" s="33" t="str" cm="1">
        <f t="array" ref="AO16">IFERROR(INDEX($AA$2:$AA$282,MATCH(0,COUNTIF('Paste Here'!$AK$1:AK15,$AA$2:$AA$282),0)),"")</f>
        <v/>
      </c>
      <c r="AP16" s="33" t="str">
        <f>IF(COUNTIF('Paste Here'!$AK$2:AK16,'Paste Here'!AK16)=1,VALUE('Paste Here'!AK16),"")</f>
        <v/>
      </c>
    </row>
    <row r="17" spans="1:42" x14ac:dyDescent="0.3">
      <c r="A17" s="2" t="s">
        <v>24</v>
      </c>
      <c r="B17" s="2" t="s">
        <v>25</v>
      </c>
      <c r="C17" s="2" t="s">
        <v>16</v>
      </c>
      <c r="D17" s="3">
        <v>45934.479387407409</v>
      </c>
      <c r="E17" s="2" t="s">
        <v>26</v>
      </c>
      <c r="F17" s="2" t="s">
        <v>14</v>
      </c>
      <c r="G17" s="2" t="s">
        <v>27</v>
      </c>
      <c r="H17" s="2" t="s">
        <v>74</v>
      </c>
      <c r="AA17" s="33" t="str">
        <f t="shared" si="1"/>
        <v>719</v>
      </c>
      <c r="AC17" s="33">
        <f t="shared" si="0"/>
        <v>16</v>
      </c>
      <c r="AD17" s="33" t="str">
        <f t="shared" si="2"/>
        <v>Down</v>
      </c>
      <c r="AE17" s="33" t="str" cm="1">
        <f t="array" ref="AE17">LOOKUP(2,1/($AB$2:$AB$1000=AB17),$AD$2:$AD$1000)</f>
        <v/>
      </c>
      <c r="AK17" s="40"/>
      <c r="AL17" s="39" t="str">
        <f>IF(AK17="","",
   IF(
      COUNTIF('Paste Here'!$AA$2:$AA$1000,AK17)=0,
      "",
      ROUNDDOWN(COUNTIF('Paste Here'!$AA$2:$AA$1000,AK17)/2,0)
   )
)</f>
        <v/>
      </c>
      <c r="AM17" s="39" t="str" cm="1">
        <f t="array" ref="AM17">IFERROR(IF(LOOKUP(2,1/($AA$2:$AA$1000=AK17),$AD$2:$AD$1000)=0,"",
LOOKUP(2,1/($AA$2:$AA$1000=AK17),$AD$2:$AD$1000)),"")</f>
        <v/>
      </c>
      <c r="AO17" s="33" t="str" cm="1">
        <f t="array" ref="AO17">IFERROR(INDEX($AA$2:$AA$282,MATCH(0,COUNTIF('Paste Here'!$AK$1:AK16,$AA$2:$AA$282),0)),"")</f>
        <v/>
      </c>
      <c r="AP17" s="33" t="str">
        <f>IF(COUNTIF('Paste Here'!$AK$2:AK17,'Paste Here'!AK17)=1,VALUE('Paste Here'!AK17),"")</f>
        <v/>
      </c>
    </row>
    <row r="18" spans="1:42" x14ac:dyDescent="0.3">
      <c r="A18" t="s">
        <v>19</v>
      </c>
      <c r="B18" t="s">
        <v>20</v>
      </c>
      <c r="C18" t="s">
        <v>16</v>
      </c>
      <c r="D18" s="4">
        <v>45934.479388414351</v>
      </c>
      <c r="E18" t="s">
        <v>63</v>
      </c>
      <c r="F18" t="s">
        <v>18</v>
      </c>
      <c r="G18" t="s">
        <v>64</v>
      </c>
      <c r="H18" t="s">
        <v>75</v>
      </c>
      <c r="AA18" s="33" t="str">
        <f t="shared" si="1"/>
        <v>13</v>
      </c>
      <c r="AC18" s="33">
        <f t="shared" si="0"/>
        <v>4</v>
      </c>
      <c r="AD18" s="33" t="str">
        <f t="shared" si="2"/>
        <v>Up</v>
      </c>
      <c r="AE18" s="33" t="str" cm="1">
        <f t="array" ref="AE18">LOOKUP(2,1/($AB$2:$AB$1000=AB18),$AD$2:$AD$1000)</f>
        <v/>
      </c>
      <c r="AK18" s="40"/>
      <c r="AL18" s="39" t="str">
        <f>IF(AK18="","",
   IF(
      COUNTIF('Paste Here'!$AA$2:$AA$1000,AK18)=0,
      "",
      ROUNDDOWN(COUNTIF('Paste Here'!$AA$2:$AA$1000,AK18)/2,0)
   )
)</f>
        <v/>
      </c>
      <c r="AM18" s="39" t="str" cm="1">
        <f t="array" ref="AM18">IFERROR(IF(LOOKUP(2,1/($AA$2:$AA$1000=AK18),$AD$2:$AD$1000)=0,"",
LOOKUP(2,1/($AA$2:$AA$1000=AK18),$AD$2:$AD$1000)),"")</f>
        <v/>
      </c>
      <c r="AO18" s="33" t="str" cm="1">
        <f t="array" ref="AO18">IFERROR(INDEX($AA$2:$AA$282,MATCH(0,COUNTIF('Paste Here'!$AK$1:AK17,$AA$2:$AA$282),0)),"")</f>
        <v/>
      </c>
      <c r="AP18" s="33" t="str">
        <f>IF(COUNTIF('Paste Here'!$AK$2:AK18,'Paste Here'!AK18)=1,VALUE('Paste Here'!AK18),"")</f>
        <v/>
      </c>
    </row>
    <row r="19" spans="1:42" x14ac:dyDescent="0.3">
      <c r="A19" s="2" t="s">
        <v>16</v>
      </c>
      <c r="B19" s="2" t="s">
        <v>17</v>
      </c>
      <c r="C19" s="2" t="s">
        <v>19</v>
      </c>
      <c r="D19" s="3">
        <v>45934.479388946762</v>
      </c>
      <c r="E19" s="2" t="s">
        <v>76</v>
      </c>
      <c r="F19" s="2" t="s">
        <v>14</v>
      </c>
      <c r="G19" s="2" t="s">
        <v>77</v>
      </c>
      <c r="H19" s="2" t="s">
        <v>78</v>
      </c>
      <c r="AA19" s="33" t="str">
        <f t="shared" si="1"/>
        <v>499</v>
      </c>
      <c r="AC19" s="33">
        <f t="shared" si="0"/>
        <v>4</v>
      </c>
      <c r="AD19" s="33" t="str">
        <f t="shared" si="2"/>
        <v>Down</v>
      </c>
      <c r="AE19" s="33" t="str" cm="1">
        <f t="array" ref="AE19">LOOKUP(2,1/($AB$2:$AB$1000=AB19),$AD$2:$AD$1000)</f>
        <v/>
      </c>
      <c r="AK19" s="40"/>
      <c r="AL19" s="39" t="str">
        <f>IF(AK19="","",
   IF(
      COUNTIF('Paste Here'!$AA$2:$AA$1000,AK19)=0,
      "",
      ROUNDDOWN(COUNTIF('Paste Here'!$AA$2:$AA$1000,AK19)/2,0)
   )
)</f>
        <v/>
      </c>
      <c r="AM19" s="39" t="str" cm="1">
        <f t="array" ref="AM19">IFERROR(IF(LOOKUP(2,1/($AA$2:$AA$1000=AK19),$AD$2:$AD$1000)=0,"",
LOOKUP(2,1/($AA$2:$AA$1000=AK19),$AD$2:$AD$1000)),"")</f>
        <v/>
      </c>
      <c r="AO19" s="33" t="str" cm="1">
        <f t="array" ref="AO19">IFERROR(INDEX($AA$2:$AA$282,MATCH(0,COUNTIF('Paste Here'!$AK$1:AK18,$AA$2:$AA$282),0)),"")</f>
        <v/>
      </c>
      <c r="AP19" s="33" t="str">
        <f>IF(COUNTIF('Paste Here'!$AK$2:AK19,'Paste Here'!AK19)=1,VALUE('Paste Here'!AK19),"")</f>
        <v/>
      </c>
    </row>
    <row r="20" spans="1:42" x14ac:dyDescent="0.3">
      <c r="A20" t="s">
        <v>16</v>
      </c>
      <c r="B20" t="s">
        <v>17</v>
      </c>
      <c r="C20" t="s">
        <v>19</v>
      </c>
      <c r="D20" s="4">
        <v>45934.479390740737</v>
      </c>
      <c r="E20" t="s">
        <v>76</v>
      </c>
      <c r="F20" t="s">
        <v>18</v>
      </c>
      <c r="G20" t="s">
        <v>77</v>
      </c>
      <c r="H20" t="s">
        <v>79</v>
      </c>
      <c r="AA20" s="33" t="str">
        <f t="shared" si="1"/>
        <v>499</v>
      </c>
      <c r="AC20" s="33">
        <f t="shared" si="0"/>
        <v>4</v>
      </c>
      <c r="AD20" s="33" t="str">
        <f t="shared" si="2"/>
        <v>Up</v>
      </c>
      <c r="AE20" s="33" t="str" cm="1">
        <f t="array" ref="AE20">LOOKUP(2,1/($AB$2:$AB$1000=AB20),$AD$2:$AD$1000)</f>
        <v/>
      </c>
      <c r="AK20" s="40"/>
      <c r="AL20" s="39" t="str">
        <f>IF(AK20="","",
   IF(
      COUNTIF('Paste Here'!$AA$2:$AA$1000,AK20)=0,
      "",
      ROUNDDOWN(COUNTIF('Paste Here'!$AA$2:$AA$1000,AK20)/2,0)
   )
)</f>
        <v/>
      </c>
      <c r="AM20" s="39" t="str" cm="1">
        <f t="array" ref="AM20">IFERROR(IF(LOOKUP(2,1/($AA$2:$AA$1000=AK20),$AD$2:$AD$1000)=0,"",
LOOKUP(2,1/($AA$2:$AA$1000=AK20),$AD$2:$AD$1000)),"")</f>
        <v/>
      </c>
      <c r="AO20" s="33" t="str" cm="1">
        <f t="array" ref="AO20">IFERROR(INDEX($AA$2:$AA$282,MATCH(0,COUNTIF('Paste Here'!$AK$1:AK19,$AA$2:$AA$282),0)),"")</f>
        <v/>
      </c>
      <c r="AP20" s="33" t="str">
        <f>IF(COUNTIF('Paste Here'!$AK$2:AK20,'Paste Here'!AK20)=1,VALUE('Paste Here'!AK20),"")</f>
        <v/>
      </c>
    </row>
    <row r="21" spans="1:42" x14ac:dyDescent="0.3">
      <c r="A21" t="s">
        <v>19</v>
      </c>
      <c r="B21" t="s">
        <v>20</v>
      </c>
      <c r="C21" t="s">
        <v>16</v>
      </c>
      <c r="D21" s="4">
        <v>45934.479390821762</v>
      </c>
      <c r="E21" t="s">
        <v>60</v>
      </c>
      <c r="F21" t="s">
        <v>18</v>
      </c>
      <c r="G21" t="s">
        <v>61</v>
      </c>
      <c r="H21" t="s">
        <v>80</v>
      </c>
      <c r="AA21" s="33" t="str">
        <f t="shared" si="1"/>
        <v>499</v>
      </c>
      <c r="AC21" s="33">
        <f t="shared" si="0"/>
        <v>4</v>
      </c>
      <c r="AD21" s="33" t="str">
        <f t="shared" si="2"/>
        <v>Up</v>
      </c>
      <c r="AE21" s="33" t="str" cm="1">
        <f t="array" ref="AE21">LOOKUP(2,1/($AB$2:$AB$1000=AB21),$AD$2:$AD$1000)</f>
        <v/>
      </c>
      <c r="AK21" s="40"/>
      <c r="AL21" s="39" t="str">
        <f>IF(AK21="","",
   IF(
      COUNTIF('Paste Here'!$AA$2:$AA$1000,AK21)=0,
      "",
      ROUNDDOWN(COUNTIF('Paste Here'!$AA$2:$AA$1000,AK21)/2,0)
   )
)</f>
        <v/>
      </c>
      <c r="AM21" s="39" t="str" cm="1">
        <f t="array" ref="AM21">IFERROR(IF(LOOKUP(2,1/($AA$2:$AA$1000=AK21),$AD$2:$AD$1000)=0,"",
LOOKUP(2,1/($AA$2:$AA$1000=AK21),$AD$2:$AD$1000)),"")</f>
        <v/>
      </c>
      <c r="AO21" s="33" t="str" cm="1">
        <f t="array" ref="AO21">IFERROR(INDEX($AA$2:$AA$282,MATCH(0,COUNTIF('Paste Here'!$AK$1:AK20,$AA$2:$AA$282),0)),"")</f>
        <v/>
      </c>
      <c r="AP21" s="33" t="str">
        <f>IF(COUNTIF('Paste Here'!$AK$2:AK21,'Paste Here'!AK21)=1,VALUE('Paste Here'!AK21),"")</f>
        <v/>
      </c>
    </row>
    <row r="22" spans="1:42" x14ac:dyDescent="0.3">
      <c r="A22" t="s">
        <v>16</v>
      </c>
      <c r="B22" t="s">
        <v>17</v>
      </c>
      <c r="C22" t="s">
        <v>19</v>
      </c>
      <c r="D22" s="4">
        <v>45934.479411273147</v>
      </c>
      <c r="E22" t="s">
        <v>66</v>
      </c>
      <c r="F22" t="s">
        <v>18</v>
      </c>
      <c r="G22" t="s">
        <v>67</v>
      </c>
      <c r="H22" t="s">
        <v>81</v>
      </c>
      <c r="AA22" s="33" t="str">
        <f t="shared" si="1"/>
        <v>13</v>
      </c>
      <c r="AC22" s="33">
        <f t="shared" si="0"/>
        <v>4</v>
      </c>
      <c r="AD22" s="33" t="str">
        <f t="shared" si="2"/>
        <v>Up</v>
      </c>
      <c r="AE22" s="33" t="str" cm="1">
        <f t="array" ref="AE22">LOOKUP(2,1/($AB$2:$AB$1000=AB22),$AD$2:$AD$1000)</f>
        <v/>
      </c>
      <c r="AK22" s="40"/>
      <c r="AL22" s="39" t="str">
        <f>IF(AK22="","",
   IF(
      COUNTIF('Paste Here'!$AA$2:$AA$1000,AK22)=0,
      "",
      ROUNDDOWN(COUNTIF('Paste Here'!$AA$2:$AA$1000,AK22)/2,0)
   )
)</f>
        <v/>
      </c>
      <c r="AM22" s="39" t="str" cm="1">
        <f t="array" ref="AM22">IFERROR(IF(LOOKUP(2,1/($AA$2:$AA$1000=AK22),$AD$2:$AD$1000)=0,"",
LOOKUP(2,1/($AA$2:$AA$1000=AK22),$AD$2:$AD$1000)),"")</f>
        <v/>
      </c>
      <c r="AO22" s="33" t="str" cm="1">
        <f t="array" ref="AO22">IFERROR(INDEX($AA$2:$AA$282,MATCH(0,COUNTIF('Paste Here'!$AK$1:AK21,$AA$2:$AA$282),0)),"")</f>
        <v/>
      </c>
      <c r="AP22" s="33" t="str">
        <f>IF(COUNTIF('Paste Here'!$AK$2:AK22,'Paste Here'!AK22)=1,VALUE('Paste Here'!AK22),"")</f>
        <v/>
      </c>
    </row>
    <row r="23" spans="1:42" x14ac:dyDescent="0.3">
      <c r="A23" t="s">
        <v>24</v>
      </c>
      <c r="B23" t="s">
        <v>25</v>
      </c>
      <c r="C23" t="s">
        <v>16</v>
      </c>
      <c r="D23" s="4">
        <v>45934.479440949071</v>
      </c>
      <c r="E23" t="s">
        <v>26</v>
      </c>
      <c r="F23" t="s">
        <v>18</v>
      </c>
      <c r="G23" t="s">
        <v>27</v>
      </c>
      <c r="H23" t="s">
        <v>51</v>
      </c>
      <c r="AA23" s="33" t="str">
        <f t="shared" si="1"/>
        <v>719</v>
      </c>
      <c r="AC23" s="33">
        <f t="shared" si="0"/>
        <v>16</v>
      </c>
      <c r="AD23" s="33" t="str">
        <f t="shared" si="2"/>
        <v>Up</v>
      </c>
      <c r="AE23" s="33" t="str" cm="1">
        <f t="array" ref="AE23">LOOKUP(2,1/($AB$2:$AB$1000=AB23),$AD$2:$AD$1000)</f>
        <v/>
      </c>
      <c r="AK23" s="40"/>
      <c r="AL23" s="39" t="str">
        <f>IF(AK23="","",
   IF(
      COUNTIF('Paste Here'!$AA$2:$AA$1000,AK23)=0,
      "",
      ROUNDDOWN(COUNTIF('Paste Here'!$AA$2:$AA$1000,AK23)/2,0)
   )
)</f>
        <v/>
      </c>
      <c r="AM23" s="39" t="str" cm="1">
        <f t="array" ref="AM23">IFERROR(IF(LOOKUP(2,1/($AA$2:$AA$1000=AK23),$AD$2:$AD$1000)=0,"",
LOOKUP(2,1/($AA$2:$AA$1000=AK23),$AD$2:$AD$1000)),"")</f>
        <v/>
      </c>
      <c r="AO23" s="33" t="str" cm="1">
        <f t="array" ref="AO23">IFERROR(INDEX($AA$2:$AA$282,MATCH(0,COUNTIF('Paste Here'!$AK$1:AK22,$AA$2:$AA$282),0)),"")</f>
        <v/>
      </c>
      <c r="AP23" s="33" t="str">
        <f>IF(COUNTIF('Paste Here'!$AK$2:AK23,'Paste Here'!AK23)=1,VALUE('Paste Here'!AK23),"")</f>
        <v/>
      </c>
    </row>
    <row r="24" spans="1:42" x14ac:dyDescent="0.3">
      <c r="A24" t="s">
        <v>16</v>
      </c>
      <c r="B24" t="s">
        <v>17</v>
      </c>
      <c r="C24" t="s">
        <v>24</v>
      </c>
      <c r="D24" s="4">
        <v>45934.479440995368</v>
      </c>
      <c r="E24" t="s">
        <v>28</v>
      </c>
      <c r="F24" t="s">
        <v>18</v>
      </c>
      <c r="G24" t="s">
        <v>29</v>
      </c>
      <c r="H24" t="s">
        <v>50</v>
      </c>
      <c r="AA24" s="33" t="str">
        <f t="shared" si="1"/>
        <v>719</v>
      </c>
      <c r="AC24" s="33">
        <f t="shared" si="0"/>
        <v>16</v>
      </c>
      <c r="AD24" s="33" t="str">
        <f t="shared" si="2"/>
        <v>Up</v>
      </c>
      <c r="AE24" s="33" t="str" cm="1">
        <f t="array" ref="AE24">LOOKUP(2,1/($AB$2:$AB$1000=AB24),$AD$2:$AD$1000)</f>
        <v/>
      </c>
      <c r="AK24" s="40"/>
      <c r="AL24" s="39" t="str">
        <f>IF(AK24="","",
   IF(
      COUNTIF('Paste Here'!$AA$2:$AA$1000,AK24)=0,
      "",
      ROUNDDOWN(COUNTIF('Paste Here'!$AA$2:$AA$1000,AK24)/2,0)
   )
)</f>
        <v/>
      </c>
      <c r="AM24" s="39" t="str" cm="1">
        <f t="array" ref="AM24">IFERROR(IF(LOOKUP(2,1/($AA$2:$AA$1000=AK24),$AD$2:$AD$1000)=0,"",
LOOKUP(2,1/($AA$2:$AA$1000=AK24),$AD$2:$AD$1000)),"")</f>
        <v/>
      </c>
      <c r="AO24" s="33" t="str" cm="1">
        <f t="array" ref="AO24">IFERROR(INDEX($AA$2:$AA$282,MATCH(0,COUNTIF('Paste Here'!$AK$1:AK23,$AA$2:$AA$282),0)),"")</f>
        <v/>
      </c>
      <c r="AP24" s="33" t="str">
        <f>IF(COUNTIF('Paste Here'!$AK$2:AK24,'Paste Here'!AK24)=1,VALUE('Paste Here'!AK24),"")</f>
        <v/>
      </c>
    </row>
    <row r="25" spans="1:42" x14ac:dyDescent="0.3">
      <c r="A25" s="2" t="s">
        <v>24</v>
      </c>
      <c r="B25" s="2" t="s">
        <v>25</v>
      </c>
      <c r="C25" s="2" t="s">
        <v>16</v>
      </c>
      <c r="D25" s="3">
        <v>45934.479441076393</v>
      </c>
      <c r="E25" s="2" t="s">
        <v>26</v>
      </c>
      <c r="F25" s="2" t="s">
        <v>14</v>
      </c>
      <c r="G25" s="2" t="s">
        <v>27</v>
      </c>
      <c r="H25" s="2" t="s">
        <v>82</v>
      </c>
      <c r="AA25" s="33" t="str">
        <f t="shared" si="1"/>
        <v>719</v>
      </c>
      <c r="AC25" s="33">
        <f t="shared" si="0"/>
        <v>16</v>
      </c>
      <c r="AD25" s="33" t="str">
        <f t="shared" si="2"/>
        <v>Down</v>
      </c>
      <c r="AE25" s="33" t="str" cm="1">
        <f t="array" ref="AE25">LOOKUP(2,1/($AB$2:$AB$1000=AB25),$AD$2:$AD$1000)</f>
        <v/>
      </c>
      <c r="AK25" s="40"/>
      <c r="AL25" s="39" t="str">
        <f>IF(AK25="","",
   IF(
      COUNTIF('Paste Here'!$AA$2:$AA$1000,AK25)=0,
      "",
      ROUNDDOWN(COUNTIF('Paste Here'!$AA$2:$AA$1000,AK25)/2,0)
   )
)</f>
        <v/>
      </c>
      <c r="AM25" s="39" t="str" cm="1">
        <f t="array" ref="AM25">IFERROR(IF(LOOKUP(2,1/($AA$2:$AA$1000=AK25),$AD$2:$AD$1000)=0,"",
LOOKUP(2,1/($AA$2:$AA$1000=AK25),$AD$2:$AD$1000)),"")</f>
        <v/>
      </c>
      <c r="AO25" s="33" t="str" cm="1">
        <f t="array" ref="AO25">IFERROR(INDEX($AA$2:$AA$282,MATCH(0,COUNTIF('Paste Here'!$AK$1:AK24,$AA$2:$AA$282),0)),"")</f>
        <v/>
      </c>
      <c r="AP25" s="33" t="str">
        <f>IF(COUNTIF('Paste Here'!$AK$2:AK25,'Paste Here'!AK25)=1,VALUE('Paste Here'!AK25),"")</f>
        <v/>
      </c>
    </row>
    <row r="26" spans="1:42" x14ac:dyDescent="0.3">
      <c r="A26" s="2" t="s">
        <v>16</v>
      </c>
      <c r="B26" s="2" t="s">
        <v>17</v>
      </c>
      <c r="C26" s="2" t="s">
        <v>24</v>
      </c>
      <c r="D26" s="3">
        <v>45934.479441157397</v>
      </c>
      <c r="E26" s="2" t="s">
        <v>28</v>
      </c>
      <c r="F26" s="2" t="s">
        <v>14</v>
      </c>
      <c r="G26" s="2" t="s">
        <v>29</v>
      </c>
      <c r="H26" s="2" t="s">
        <v>83</v>
      </c>
      <c r="AA26" s="33" t="str">
        <f t="shared" si="1"/>
        <v>719</v>
      </c>
      <c r="AC26" s="33">
        <f t="shared" si="0"/>
        <v>16</v>
      </c>
      <c r="AD26" s="33" t="str">
        <f t="shared" si="2"/>
        <v>Down</v>
      </c>
      <c r="AE26" s="33" t="str" cm="1">
        <f t="array" ref="AE26">LOOKUP(2,1/($AB$2:$AB$1000=AB26),$AD$2:$AD$1000)</f>
        <v/>
      </c>
      <c r="AK26" s="40"/>
      <c r="AL26" s="39" t="str">
        <f>IF(AK26="","",
   IF(
      COUNTIF('Paste Here'!$AA$2:$AA$1000,AK26)=0,
      "",
      ROUNDDOWN(COUNTIF('Paste Here'!$AA$2:$AA$1000,AK26)/2,0)
   )
)</f>
        <v/>
      </c>
      <c r="AM26" s="39" t="str" cm="1">
        <f t="array" ref="AM26">IFERROR(IF(LOOKUP(2,1/($AA$2:$AA$1000=AK26),$AD$2:$AD$1000)=0,"",
LOOKUP(2,1/($AA$2:$AA$1000=AK26),$AD$2:$AD$1000)),"")</f>
        <v/>
      </c>
      <c r="AO26" s="33" t="str" cm="1">
        <f t="array" ref="AO26">IFERROR(INDEX($AA$2:$AA$282,MATCH(0,COUNTIF('Paste Here'!$AK$1:AK25,$AA$2:$AA$282),0)),"")</f>
        <v/>
      </c>
      <c r="AP26" s="33" t="str">
        <f>IF(COUNTIF('Paste Here'!$AK$2:AK26,'Paste Here'!AK26)=1,VALUE('Paste Here'!AK26),"")</f>
        <v/>
      </c>
    </row>
    <row r="27" spans="1:42" x14ac:dyDescent="0.3">
      <c r="A27" t="s">
        <v>30</v>
      </c>
      <c r="B27" t="s">
        <v>31</v>
      </c>
      <c r="C27" t="s">
        <v>32</v>
      </c>
      <c r="D27" s="4">
        <v>45934.479493946761</v>
      </c>
      <c r="E27" t="s">
        <v>33</v>
      </c>
      <c r="F27" t="s">
        <v>18</v>
      </c>
      <c r="G27" t="s">
        <v>34</v>
      </c>
      <c r="H27" t="s">
        <v>84</v>
      </c>
      <c r="AA27" s="33" t="str">
        <f t="shared" si="1"/>
        <v>16</v>
      </c>
      <c r="AC27" s="33">
        <f t="shared" si="0"/>
        <v>2</v>
      </c>
      <c r="AD27" s="33" t="str">
        <f t="shared" si="2"/>
        <v>Up</v>
      </c>
      <c r="AE27" s="33" t="str" cm="1">
        <f t="array" ref="AE27">LOOKUP(2,1/($AB$2:$AB$1000=AB27),$AD$2:$AD$1000)</f>
        <v/>
      </c>
      <c r="AK27" s="40"/>
      <c r="AL27" s="39" t="str">
        <f>IF(AK27="","",
   IF(
      COUNTIF('Paste Here'!$AA$2:$AA$1000,AK27)=0,
      "",
      ROUNDDOWN(COUNTIF('Paste Here'!$AA$2:$AA$1000,AK27)/2,0)
   )
)</f>
        <v/>
      </c>
      <c r="AM27" s="39" t="str" cm="1">
        <f t="array" ref="AM27">IFERROR(IF(LOOKUP(2,1/($AA$2:$AA$1000=AK27),$AD$2:$AD$1000)=0,"",
LOOKUP(2,1/($AA$2:$AA$1000=AK27),$AD$2:$AD$1000)),"")</f>
        <v/>
      </c>
      <c r="AO27" s="33" t="str" cm="1">
        <f t="array" ref="AO27">IFERROR(INDEX($AA$2:$AA$282,MATCH(0,COUNTIF('Paste Here'!$AK$1:AK26,$AA$2:$AA$282),0)),"")</f>
        <v/>
      </c>
      <c r="AP27" s="33" t="str">
        <f>IF(COUNTIF('Paste Here'!$AK$2:AK27,'Paste Here'!AK27)=1,VALUE('Paste Here'!AK27),"")</f>
        <v/>
      </c>
    </row>
    <row r="28" spans="1:42" x14ac:dyDescent="0.3">
      <c r="A28" t="s">
        <v>24</v>
      </c>
      <c r="B28" t="s">
        <v>25</v>
      </c>
      <c r="C28" t="s">
        <v>16</v>
      </c>
      <c r="D28" s="4">
        <v>45934.479514560182</v>
      </c>
      <c r="E28" t="s">
        <v>26</v>
      </c>
      <c r="F28" t="s">
        <v>18</v>
      </c>
      <c r="G28" t="s">
        <v>27</v>
      </c>
      <c r="H28" t="s">
        <v>85</v>
      </c>
      <c r="AA28" s="33" t="str">
        <f t="shared" si="1"/>
        <v>719</v>
      </c>
      <c r="AC28" s="33">
        <f t="shared" si="0"/>
        <v>16</v>
      </c>
      <c r="AD28" s="33" t="str">
        <f t="shared" si="2"/>
        <v>Up</v>
      </c>
      <c r="AE28" s="33" t="str" cm="1">
        <f t="array" ref="AE28">LOOKUP(2,1/($AB$2:$AB$1000=AB28),$AD$2:$AD$1000)</f>
        <v/>
      </c>
      <c r="AK28" s="40"/>
      <c r="AL28" s="39" t="str">
        <f>IF(AK28="","",
   IF(
      COUNTIF('Paste Here'!$AA$2:$AA$1000,AK28)=0,
      "",
      ROUNDDOWN(COUNTIF('Paste Here'!$AA$2:$AA$1000,AK28)/2,0)
   )
)</f>
        <v/>
      </c>
      <c r="AM28" s="39" t="str" cm="1">
        <f t="array" ref="AM28">IFERROR(IF(LOOKUP(2,1/($AA$2:$AA$1000=AK28),$AD$2:$AD$1000)=0,"",
LOOKUP(2,1/($AA$2:$AA$1000=AK28),$AD$2:$AD$1000)),"")</f>
        <v/>
      </c>
      <c r="AO28" s="33" t="str" cm="1">
        <f t="array" ref="AO28">IFERROR(INDEX($AA$2:$AA$282,MATCH(0,COUNTIF('Paste Here'!$AK$1:AK27,$AA$2:$AA$282),0)),"")</f>
        <v/>
      </c>
      <c r="AP28" s="33" t="str">
        <f>IF(COUNTIF('Paste Here'!$AK$2:AK28,'Paste Here'!AK28)=1,VALUE('Paste Here'!AK28),"")</f>
        <v/>
      </c>
    </row>
    <row r="29" spans="1:42" x14ac:dyDescent="0.3">
      <c r="A29" t="s">
        <v>16</v>
      </c>
      <c r="B29" t="s">
        <v>17</v>
      </c>
      <c r="C29" t="s">
        <v>24</v>
      </c>
      <c r="D29" s="4">
        <v>45934.479514675928</v>
      </c>
      <c r="E29" t="s">
        <v>28</v>
      </c>
      <c r="F29" t="s">
        <v>18</v>
      </c>
      <c r="G29" t="s">
        <v>29</v>
      </c>
      <c r="H29" t="s">
        <v>86</v>
      </c>
      <c r="AA29" s="33" t="str">
        <f t="shared" si="1"/>
        <v>719</v>
      </c>
      <c r="AC29" s="33">
        <f t="shared" si="0"/>
        <v>16</v>
      </c>
      <c r="AD29" s="33" t="str">
        <f t="shared" si="2"/>
        <v>Up</v>
      </c>
      <c r="AE29" s="33" t="str" cm="1">
        <f t="array" ref="AE29">LOOKUP(2,1/($AB$2:$AB$1000=AB29),$AD$2:$AD$1000)</f>
        <v/>
      </c>
      <c r="AK29" s="40"/>
      <c r="AL29" s="39" t="str">
        <f>IF(AK29="","",
   IF(
      COUNTIF('Paste Here'!$AA$2:$AA$1000,AK29)=0,
      "",
      ROUNDDOWN(COUNTIF('Paste Here'!$AA$2:$AA$1000,AK29)/2,0)
   )
)</f>
        <v/>
      </c>
      <c r="AM29" s="39" t="str" cm="1">
        <f t="array" ref="AM29">IFERROR(IF(LOOKUP(2,1/($AA$2:$AA$1000=AK29),$AD$2:$AD$1000)=0,"",
LOOKUP(2,1/($AA$2:$AA$1000=AK29),$AD$2:$AD$1000)),"")</f>
        <v/>
      </c>
      <c r="AO29" s="33" t="str" cm="1">
        <f t="array" ref="AO29">IFERROR(INDEX($AA$2:$AA$282,MATCH(0,COUNTIF('Paste Here'!$AK$1:AK28,$AA$2:$AA$282),0)),"")</f>
        <v/>
      </c>
      <c r="AP29" s="33" t="str">
        <f>IF(COUNTIF('Paste Here'!$AK$2:AK29,'Paste Here'!AK29)=1,VALUE('Paste Here'!AK29),"")</f>
        <v/>
      </c>
    </row>
    <row r="30" spans="1:42" x14ac:dyDescent="0.3">
      <c r="A30" t="s">
        <v>30</v>
      </c>
      <c r="B30" t="s">
        <v>31</v>
      </c>
      <c r="C30" t="s">
        <v>32</v>
      </c>
      <c r="D30" s="4">
        <v>45934.479566458343</v>
      </c>
      <c r="E30" t="s">
        <v>69</v>
      </c>
      <c r="F30" t="s">
        <v>18</v>
      </c>
      <c r="G30" t="s">
        <v>70</v>
      </c>
      <c r="H30" t="s">
        <v>87</v>
      </c>
      <c r="AA30" s="33" t="str">
        <f t="shared" si="1"/>
        <v>460</v>
      </c>
      <c r="AC30" s="33">
        <f t="shared" si="0"/>
        <v>4</v>
      </c>
      <c r="AD30" s="33" t="str">
        <f t="shared" si="2"/>
        <v>Up</v>
      </c>
      <c r="AE30" s="33" t="str" cm="1">
        <f t="array" ref="AE30">LOOKUP(2,1/($AB$2:$AB$1000=AB30),$AD$2:$AD$1000)</f>
        <v/>
      </c>
      <c r="AK30" s="40"/>
      <c r="AL30" s="39" t="str">
        <f>IF(AK30="","",
   IF(
      COUNTIF('Paste Here'!$AA$2:$AA$1000,AK30)=0,
      "",
      ROUNDDOWN(COUNTIF('Paste Here'!$AA$2:$AA$1000,AK30)/2,0)
   )
)</f>
        <v/>
      </c>
      <c r="AM30" s="39" t="str" cm="1">
        <f t="array" ref="AM30">IFERROR(IF(LOOKUP(2,1/($AA$2:$AA$1000=AK30),$AD$2:$AD$1000)=0,"",
LOOKUP(2,1/($AA$2:$AA$1000=AK30),$AD$2:$AD$1000)),"")</f>
        <v/>
      </c>
      <c r="AO30" s="33" t="str" cm="1">
        <f t="array" ref="AO30">IFERROR(INDEX($AA$2:$AA$282,MATCH(0,COUNTIF('Paste Here'!$AK$1:AK29,$AA$2:$AA$282),0)),"")</f>
        <v/>
      </c>
      <c r="AP30" s="33" t="str">
        <f>IF(COUNTIF('Paste Here'!$AK$2:AK30,'Paste Here'!AK30)=1,VALUE('Paste Here'!AK30),"")</f>
        <v/>
      </c>
    </row>
    <row r="31" spans="1:42" x14ac:dyDescent="0.3">
      <c r="A31" s="2" t="s">
        <v>30</v>
      </c>
      <c r="B31" s="2" t="s">
        <v>31</v>
      </c>
      <c r="C31" s="2" t="s">
        <v>32</v>
      </c>
      <c r="D31" s="3">
        <v>45934.479569629628</v>
      </c>
      <c r="E31" s="2" t="s">
        <v>69</v>
      </c>
      <c r="F31" s="2" t="s">
        <v>14</v>
      </c>
      <c r="G31" s="2" t="s">
        <v>70</v>
      </c>
      <c r="H31" s="2" t="s">
        <v>88</v>
      </c>
      <c r="AA31" s="33" t="str">
        <f t="shared" si="1"/>
        <v>460</v>
      </c>
      <c r="AC31" s="33">
        <f t="shared" si="0"/>
        <v>4</v>
      </c>
      <c r="AD31" s="33" t="str">
        <f t="shared" si="2"/>
        <v>Down</v>
      </c>
      <c r="AE31" s="33" t="str" cm="1">
        <f t="array" ref="AE31">LOOKUP(2,1/($AB$2:$AB$1000=AB31),$AD$2:$AD$1000)</f>
        <v/>
      </c>
      <c r="AK31" s="40"/>
      <c r="AL31" s="39" t="str">
        <f>IF(AK31="","",
   IF(
      COUNTIF('Paste Here'!$AA$2:$AA$1000,AK31)=0,
      "",
      ROUNDDOWN(COUNTIF('Paste Here'!$AA$2:$AA$1000,AK31)/2,0)
   )
)</f>
        <v/>
      </c>
      <c r="AM31" s="39" t="str" cm="1">
        <f t="array" ref="AM31">IFERROR(IF(LOOKUP(2,1/($AA$2:$AA$1000=AK31),$AD$2:$AD$1000)=0,"",
LOOKUP(2,1/($AA$2:$AA$1000=AK31),$AD$2:$AD$1000)),"")</f>
        <v/>
      </c>
      <c r="AO31" s="33" t="str" cm="1">
        <f t="array" ref="AO31">IFERROR(INDEX($AA$2:$AA$282,MATCH(0,COUNTIF('Paste Here'!$AK$1:AK30,$AA$2:$AA$282),0)),"")</f>
        <v/>
      </c>
      <c r="AP31" s="33" t="str">
        <f>IF(COUNTIF('Paste Here'!$AK$2:AK31,'Paste Here'!AK31)=1,VALUE('Paste Here'!AK31),"")</f>
        <v/>
      </c>
    </row>
    <row r="32" spans="1:42" x14ac:dyDescent="0.3">
      <c r="A32" s="2" t="s">
        <v>16</v>
      </c>
      <c r="B32" s="2" t="s">
        <v>17</v>
      </c>
      <c r="C32" s="2" t="s">
        <v>24</v>
      </c>
      <c r="D32" s="3">
        <v>45934.479569687501</v>
      </c>
      <c r="E32" s="2" t="s">
        <v>28</v>
      </c>
      <c r="F32" s="2" t="s">
        <v>14</v>
      </c>
      <c r="G32" s="2" t="s">
        <v>29</v>
      </c>
      <c r="H32" s="2" t="s">
        <v>89</v>
      </c>
      <c r="AA32" s="33" t="str">
        <f t="shared" si="1"/>
        <v>719</v>
      </c>
      <c r="AC32" s="33">
        <f t="shared" si="0"/>
        <v>16</v>
      </c>
      <c r="AD32" s="33" t="str">
        <f t="shared" si="2"/>
        <v>Down</v>
      </c>
      <c r="AE32" s="33" t="str" cm="1">
        <f t="array" ref="AE32">LOOKUP(2,1/($AB$2:$AB$1000=AB32),$AD$2:$AD$1000)</f>
        <v/>
      </c>
      <c r="AK32" s="40"/>
      <c r="AL32" s="39" t="str">
        <f>IF(AK32="","",
   IF(
      COUNTIF('Paste Here'!$AA$2:$AA$1000,AK32)=0,
      "",
      ROUNDDOWN(COUNTIF('Paste Here'!$AA$2:$AA$1000,AK32)/2,0)
   )
)</f>
        <v/>
      </c>
      <c r="AM32" s="39" t="str" cm="1">
        <f t="array" ref="AM32">IFERROR(IF(LOOKUP(2,1/($AA$2:$AA$1000=AK32),$AD$2:$AD$1000)=0,"",
LOOKUP(2,1/($AA$2:$AA$1000=AK32),$AD$2:$AD$1000)),"")</f>
        <v/>
      </c>
      <c r="AO32" s="33" t="str" cm="1">
        <f t="array" ref="AO32">IFERROR(INDEX($AA$2:$AA$282,MATCH(0,COUNTIF('Paste Here'!$AK$1:AK31,$AA$2:$AA$282),0)),"")</f>
        <v/>
      </c>
      <c r="AP32" s="33" t="str">
        <f>IF(COUNTIF('Paste Here'!$AK$2:AK32,'Paste Here'!AK32)=1,VALUE('Paste Here'!AK32),"")</f>
        <v/>
      </c>
    </row>
    <row r="33" spans="1:42" x14ac:dyDescent="0.3">
      <c r="A33" s="2" t="s">
        <v>24</v>
      </c>
      <c r="B33" s="2" t="s">
        <v>25</v>
      </c>
      <c r="C33" s="2" t="s">
        <v>16</v>
      </c>
      <c r="D33" s="3">
        <v>45934.479569699077</v>
      </c>
      <c r="E33" s="2" t="s">
        <v>26</v>
      </c>
      <c r="F33" s="2" t="s">
        <v>14</v>
      </c>
      <c r="G33" s="2" t="s">
        <v>27</v>
      </c>
      <c r="H33" s="2" t="s">
        <v>90</v>
      </c>
      <c r="AA33" s="33" t="str">
        <f t="shared" si="1"/>
        <v>719</v>
      </c>
      <c r="AC33" s="33">
        <f t="shared" si="0"/>
        <v>16</v>
      </c>
      <c r="AD33" s="33" t="str">
        <f t="shared" si="2"/>
        <v>Down</v>
      </c>
      <c r="AE33" s="33" t="str" cm="1">
        <f t="array" ref="AE33">LOOKUP(2,1/($AB$2:$AB$1000=AB33),$AD$2:$AD$1000)</f>
        <v/>
      </c>
      <c r="AK33" s="40"/>
      <c r="AL33" s="39" t="str">
        <f>IF(AK33="","",
   IF(
      COUNTIF('Paste Here'!$AA$2:$AA$1000,AK33)=0,
      "",
      ROUNDDOWN(COUNTIF('Paste Here'!$AA$2:$AA$1000,AK33)/2,0)
   )
)</f>
        <v/>
      </c>
      <c r="AM33" s="39" t="str" cm="1">
        <f t="array" ref="AM33">IFERROR(IF(LOOKUP(2,1/($AA$2:$AA$1000=AK33),$AD$2:$AD$1000)=0,"",
LOOKUP(2,1/($AA$2:$AA$1000=AK33),$AD$2:$AD$1000)),"")</f>
        <v/>
      </c>
      <c r="AO33" s="33" t="str" cm="1">
        <f t="array" ref="AO33">IFERROR(INDEX($AA$2:$AA$282,MATCH(0,COUNTIF('Paste Here'!$AK$1:AK32,$AA$2:$AA$282),0)),"")</f>
        <v/>
      </c>
      <c r="AP33" s="33" t="str">
        <f>IF(COUNTIF('Paste Here'!$AK$2:AK33,'Paste Here'!AK33)=1,VALUE('Paste Here'!AK33),"")</f>
        <v/>
      </c>
    </row>
    <row r="34" spans="1:42" x14ac:dyDescent="0.3">
      <c r="A34" t="s">
        <v>24</v>
      </c>
      <c r="B34" t="s">
        <v>25</v>
      </c>
      <c r="C34" t="s">
        <v>16</v>
      </c>
      <c r="D34" s="4">
        <v>45934.479619444443</v>
      </c>
      <c r="E34" t="s">
        <v>26</v>
      </c>
      <c r="F34" t="s">
        <v>18</v>
      </c>
      <c r="G34" t="s">
        <v>27</v>
      </c>
      <c r="H34" t="s">
        <v>91</v>
      </c>
      <c r="AA34" s="33" t="str">
        <f t="shared" si="1"/>
        <v>719</v>
      </c>
      <c r="AC34" s="33">
        <f t="shared" si="0"/>
        <v>16</v>
      </c>
      <c r="AD34" s="33" t="str">
        <f t="shared" si="2"/>
        <v>Up</v>
      </c>
      <c r="AE34" s="33" t="str" cm="1">
        <f t="array" ref="AE34">LOOKUP(2,1/($AB$2:$AB$1000=AB34),$AD$2:$AD$1000)</f>
        <v/>
      </c>
      <c r="AK34" s="40"/>
      <c r="AL34" s="39" t="str">
        <f>IF(AK34="","",
   IF(
      COUNTIF('Paste Here'!$AA$2:$AA$1000,AK34)=0,
      "",
      ROUNDDOWN(COUNTIF('Paste Here'!$AA$2:$AA$1000,AK34)/2,0)
   )
)</f>
        <v/>
      </c>
      <c r="AM34" s="39" t="str" cm="1">
        <f t="array" ref="AM34">IFERROR(IF(LOOKUP(2,1/($AA$2:$AA$1000=AK34),$AD$2:$AD$1000)=0,"",
LOOKUP(2,1/($AA$2:$AA$1000=AK34),$AD$2:$AD$1000)),"")</f>
        <v/>
      </c>
      <c r="AO34" s="33" t="str" cm="1">
        <f t="array" ref="AO34">IFERROR(INDEX($AA$2:$AA$282,MATCH(0,COUNTIF('Paste Here'!$AK$1:AK33,$AA$2:$AA$282),0)),"")</f>
        <v/>
      </c>
      <c r="AP34" s="33" t="str">
        <f>IF(COUNTIF('Paste Here'!$AK$2:AK34,'Paste Here'!AK34)=1,VALUE('Paste Here'!AK34),"")</f>
        <v/>
      </c>
    </row>
    <row r="35" spans="1:42" x14ac:dyDescent="0.3">
      <c r="A35" t="s">
        <v>16</v>
      </c>
      <c r="B35" t="s">
        <v>17</v>
      </c>
      <c r="C35" t="s">
        <v>24</v>
      </c>
      <c r="D35" s="4">
        <v>45934.479619479163</v>
      </c>
      <c r="E35" t="s">
        <v>28</v>
      </c>
      <c r="F35" t="s">
        <v>18</v>
      </c>
      <c r="G35" t="s">
        <v>29</v>
      </c>
      <c r="H35" t="s">
        <v>92</v>
      </c>
      <c r="AA35" s="33" t="str">
        <f t="shared" si="1"/>
        <v>719</v>
      </c>
      <c r="AC35" s="33">
        <f t="shared" si="0"/>
        <v>16</v>
      </c>
      <c r="AD35" s="33" t="str">
        <f t="shared" si="2"/>
        <v>Up</v>
      </c>
      <c r="AE35" s="33" t="str" cm="1">
        <f t="array" ref="AE35">LOOKUP(2,1/($AB$2:$AB$1000=AB35),$AD$2:$AD$1000)</f>
        <v/>
      </c>
      <c r="AK35" s="40"/>
      <c r="AL35" s="39" t="str">
        <f>IF(AK35="","",
   IF(
      COUNTIF('Paste Here'!$AA$2:$AA$1000,AK35)=0,
      "",
      ROUNDDOWN(COUNTIF('Paste Here'!$AA$2:$AA$1000,AK35)/2,0)
   )
)</f>
        <v/>
      </c>
      <c r="AM35" s="39" t="str" cm="1">
        <f t="array" ref="AM35">IFERROR(IF(LOOKUP(2,1/($AA$2:$AA$1000=AK35),$AD$2:$AD$1000)=0,"",
LOOKUP(2,1/($AA$2:$AA$1000=AK35),$AD$2:$AD$1000)),"")</f>
        <v/>
      </c>
      <c r="AO35" s="33" t="str" cm="1">
        <f t="array" ref="AO35">IFERROR(INDEX($AA$2:$AA$282,MATCH(0,COUNTIF('Paste Here'!$AK$1:AK34,$AA$2:$AA$282),0)),"")</f>
        <v/>
      </c>
      <c r="AP35" s="33" t="str">
        <f>IF(COUNTIF('Paste Here'!$AK$2:AK35,'Paste Here'!AK35)=1,VALUE('Paste Here'!AK35),"")</f>
        <v/>
      </c>
    </row>
    <row r="36" spans="1:42" x14ac:dyDescent="0.3">
      <c r="A36" t="s">
        <v>30</v>
      </c>
      <c r="B36" t="s">
        <v>31</v>
      </c>
      <c r="C36" t="s">
        <v>32</v>
      </c>
      <c r="D36" s="4">
        <v>45934.47968178241</v>
      </c>
      <c r="E36" t="s">
        <v>69</v>
      </c>
      <c r="F36" t="s">
        <v>18</v>
      </c>
      <c r="G36" t="s">
        <v>70</v>
      </c>
      <c r="H36" t="s">
        <v>93</v>
      </c>
      <c r="AA36" s="33" t="str">
        <f t="shared" si="1"/>
        <v>460</v>
      </c>
      <c r="AC36" s="33">
        <f t="shared" si="0"/>
        <v>4</v>
      </c>
      <c r="AD36" s="33" t="str">
        <f t="shared" si="2"/>
        <v>Up</v>
      </c>
      <c r="AE36" s="33" t="str" cm="1">
        <f t="array" ref="AE36">LOOKUP(2,1/($AB$2:$AB$1000=AB36),$AD$2:$AD$1000)</f>
        <v/>
      </c>
      <c r="AK36" s="40"/>
      <c r="AL36" s="39" t="str">
        <f>IF(AK36="","",
   IF(
      COUNTIF('Paste Here'!$AA$2:$AA$1000,AK36)=0,
      "",
      ROUNDDOWN(COUNTIF('Paste Here'!$AA$2:$AA$1000,AK36)/2,0)
   )
)</f>
        <v/>
      </c>
      <c r="AM36" s="39" t="str" cm="1">
        <f t="array" ref="AM36">IFERROR(IF(LOOKUP(2,1/($AA$2:$AA$1000=AK36),$AD$2:$AD$1000)=0,"",
LOOKUP(2,1/($AA$2:$AA$1000=AK36),$AD$2:$AD$1000)),"")</f>
        <v/>
      </c>
      <c r="AO36" s="33" t="str" cm="1">
        <f t="array" ref="AO36">IFERROR(INDEX($AA$2:$AA$282,MATCH(0,COUNTIF('Paste Here'!$AK$1:AK35,$AA$2:$AA$282),0)),"")</f>
        <v/>
      </c>
      <c r="AP36" s="33" t="str">
        <f>IF(COUNTIF('Paste Here'!$AK$2:AK36,'Paste Here'!AK36)=1,VALUE('Paste Here'!AK36),"")</f>
        <v/>
      </c>
    </row>
    <row r="37" spans="1:42" x14ac:dyDescent="0.3">
      <c r="A37" t="s">
        <v>30</v>
      </c>
      <c r="B37" t="s">
        <v>31</v>
      </c>
      <c r="C37" t="s">
        <v>32</v>
      </c>
      <c r="D37" s="4">
        <v>45934.479687349543</v>
      </c>
      <c r="E37" t="s">
        <v>35</v>
      </c>
      <c r="F37" t="s">
        <v>18</v>
      </c>
      <c r="G37" t="s">
        <v>36</v>
      </c>
      <c r="H37" t="s">
        <v>94</v>
      </c>
      <c r="AA37" s="33" t="str">
        <f t="shared" si="1"/>
        <v>459</v>
      </c>
      <c r="AC37" s="33">
        <f t="shared" si="0"/>
        <v>2</v>
      </c>
      <c r="AD37" s="33" t="str">
        <f t="shared" si="2"/>
        <v>Up</v>
      </c>
      <c r="AE37" s="33" t="str" cm="1">
        <f t="array" ref="AE37">LOOKUP(2,1/($AB$2:$AB$1000=AB37),$AD$2:$AD$1000)</f>
        <v/>
      </c>
      <c r="AK37" s="40"/>
      <c r="AL37" s="39" t="str">
        <f>IF(AK37="","",
   IF(
      COUNTIF('Paste Here'!$AA$2:$AA$1000,AK37)=0,
      "",
      ROUNDDOWN(COUNTIF('Paste Here'!$AA$2:$AA$1000,AK37)/2,0)
   )
)</f>
        <v/>
      </c>
      <c r="AM37" s="39" t="str" cm="1">
        <f t="array" ref="AM37">IFERROR(IF(LOOKUP(2,1/($AA$2:$AA$1000=AK37),$AD$2:$AD$1000)=0,"",
LOOKUP(2,1/($AA$2:$AA$1000=AK37),$AD$2:$AD$1000)),"")</f>
        <v/>
      </c>
      <c r="AO37" s="33" t="str" cm="1">
        <f t="array" ref="AO37">IFERROR(INDEX($AA$2:$AA$282,MATCH(0,COUNTIF('Paste Here'!$AK$1:AK36,$AA$2:$AA$282),0)),"")</f>
        <v/>
      </c>
      <c r="AP37" s="33" t="str">
        <f>IF(COUNTIF('Paste Here'!$AK$2:AK37,'Paste Here'!AK37)=1,VALUE('Paste Here'!AK37),"")</f>
        <v/>
      </c>
    </row>
    <row r="38" spans="1:42" x14ac:dyDescent="0.3">
      <c r="A38"/>
      <c r="B38"/>
      <c r="C38"/>
      <c r="D38" s="4"/>
      <c r="E38"/>
      <c r="F38"/>
      <c r="G38"/>
      <c r="H38"/>
      <c r="AA38" s="33" t="str">
        <f t="shared" si="1"/>
        <v/>
      </c>
      <c r="AC38" s="33">
        <f t="shared" si="0"/>
        <v>1048540</v>
      </c>
      <c r="AD38" s="33" t="str">
        <f>IF(F38=0,"",F38)</f>
        <v/>
      </c>
      <c r="AE38" s="33" t="str" cm="1">
        <f t="array" ref="AE38">LOOKUP(2,1/($AB$2:$AB$1000=AB38),$AD$2:$AD$1000)</f>
        <v/>
      </c>
      <c r="AK38" s="40"/>
      <c r="AL38" s="39" t="str">
        <f>IF(AK38="","",
   IF(
      COUNTIF('Paste Here'!$AA$2:$AA$1000,AK38)=0,
      "",
      ROUNDDOWN(COUNTIF('Paste Here'!$AA$2:$AA$1000,AK38)/2,0)
   )
)</f>
        <v/>
      </c>
      <c r="AM38" s="39" t="str" cm="1">
        <f t="array" ref="AM38">IFERROR(IF(LOOKUP(2,1/($AA$2:$AA$1000=AK38),$AD$2:$AD$1000)=0,"",
LOOKUP(2,1/($AA$2:$AA$1000=AK38),$AD$2:$AD$1000)),"")</f>
        <v/>
      </c>
      <c r="AO38" s="33" t="str" cm="1">
        <f t="array" ref="AO38">IFERROR(INDEX($AA$2:$AA$282,MATCH(0,COUNTIF('Paste Here'!$AK$1:AK37,$AA$2:$AA$282),0)),"")</f>
        <v/>
      </c>
      <c r="AP38" s="33" t="str">
        <f>IF(COUNTIF('Paste Here'!$AK$2:AK38,'Paste Here'!AK38)=1,VALUE('Paste Here'!AK38),"")</f>
        <v/>
      </c>
    </row>
    <row r="39" spans="1:42" x14ac:dyDescent="0.3">
      <c r="A39"/>
      <c r="B39"/>
      <c r="C39"/>
      <c r="D39" s="4"/>
      <c r="E39"/>
      <c r="F39"/>
      <c r="G39"/>
      <c r="H39"/>
      <c r="AA39" s="33" t="str">
        <f t="shared" si="1"/>
        <v/>
      </c>
      <c r="AC39" s="33">
        <f t="shared" si="0"/>
        <v>1048540</v>
      </c>
      <c r="AD39" s="33" t="str">
        <f t="shared" si="2"/>
        <v/>
      </c>
      <c r="AE39" s="33" t="str" cm="1">
        <f t="array" ref="AE39">LOOKUP(2,1/($AB$2:$AB$1000=AB39),$AD$2:$AD$1000)</f>
        <v/>
      </c>
      <c r="AK39" s="40"/>
      <c r="AL39" s="39" t="str">
        <f>IF(AK39="","",
   IF(
      COUNTIF('Paste Here'!$AA$2:$AA$1000,AK39)=0,
      "",
      ROUNDDOWN(COUNTIF('Paste Here'!$AA$2:$AA$1000,AK39)/2,0)
   )
)</f>
        <v/>
      </c>
      <c r="AM39" s="39" t="str" cm="1">
        <f t="array" ref="AM39">IFERROR(IF(LOOKUP(2,1/($AA$2:$AA$1000=AK39),$AD$2:$AD$1000)=0,"",
LOOKUP(2,1/($AA$2:$AA$1000=AK39),$AD$2:$AD$1000)),"")</f>
        <v/>
      </c>
      <c r="AO39" s="33" t="str" cm="1">
        <f t="array" ref="AO39">IFERROR(INDEX($AA$2:$AA$282,MATCH(0,COUNTIF('Paste Here'!$AK$1:AK38,$AA$2:$AA$282),0)),"")</f>
        <v/>
      </c>
      <c r="AP39" s="33" t="str">
        <f>IF(COUNTIF('Paste Here'!$AK$2:AK39,'Paste Here'!AK39)=1,VALUE('Paste Here'!AK39),"")</f>
        <v/>
      </c>
    </row>
    <row r="40" spans="1:42" x14ac:dyDescent="0.3">
      <c r="A40"/>
      <c r="B40"/>
      <c r="C40"/>
      <c r="D40" s="4"/>
      <c r="E40"/>
      <c r="F40"/>
      <c r="G40"/>
      <c r="H40"/>
      <c r="AA40" s="33" t="str">
        <f t="shared" si="1"/>
        <v/>
      </c>
      <c r="AC40" s="33">
        <f t="shared" si="0"/>
        <v>1048540</v>
      </c>
      <c r="AD40" s="33" t="str">
        <f t="shared" si="2"/>
        <v/>
      </c>
      <c r="AE40" s="33" t="str" cm="1">
        <f t="array" ref="AE40">LOOKUP(2,1/($AB$2:$AB$1000=AB40),$AD$2:$AD$1000)</f>
        <v/>
      </c>
      <c r="AK40" s="40"/>
      <c r="AL40" s="39" t="str">
        <f>IF(AK40="","",
   IF(
      COUNTIF('Paste Here'!$AA$2:$AA$1000,AK40)=0,
      "",
      ROUNDDOWN(COUNTIF('Paste Here'!$AA$2:$AA$1000,AK40)/2,0)
   )
)</f>
        <v/>
      </c>
      <c r="AM40" s="39" t="str" cm="1">
        <f t="array" ref="AM40">IFERROR(IF(LOOKUP(2,1/($AA$2:$AA$1000=AK40),$AD$2:$AD$1000)=0,"",
LOOKUP(2,1/($AA$2:$AA$1000=AK40),$AD$2:$AD$1000)),"")</f>
        <v/>
      </c>
      <c r="AO40" s="33" t="str" cm="1">
        <f t="array" ref="AO40">IFERROR(INDEX($AA$2:$AA$282,MATCH(0,COUNTIF('Paste Here'!$AK$1:AK39,$AA$2:$AA$282),0)),"")</f>
        <v/>
      </c>
      <c r="AP40" s="33" t="str">
        <f>IF(COUNTIF('Paste Here'!$AK$2:AK40,'Paste Here'!AK40)=1,VALUE('Paste Here'!AK40),"")</f>
        <v/>
      </c>
    </row>
    <row r="41" spans="1:42" x14ac:dyDescent="0.3">
      <c r="A41"/>
      <c r="B41"/>
      <c r="C41"/>
      <c r="D41" s="4"/>
      <c r="E41"/>
      <c r="F41"/>
      <c r="G41"/>
      <c r="H41"/>
      <c r="AA41" s="33" t="str">
        <f t="shared" si="1"/>
        <v/>
      </c>
      <c r="AC41" s="33">
        <f t="shared" si="0"/>
        <v>1048540</v>
      </c>
      <c r="AD41" s="33" t="str">
        <f t="shared" si="2"/>
        <v/>
      </c>
      <c r="AE41" s="33" t="str" cm="1">
        <f t="array" ref="AE41">LOOKUP(2,1/($AB$2:$AB$1000=AB41),$AD$2:$AD$1000)</f>
        <v/>
      </c>
      <c r="AK41" s="40"/>
      <c r="AL41" s="39" t="str">
        <f>IF(AK41="","",
   IF(
      COUNTIF('Paste Here'!$AA$2:$AA$1000,AK41)=0,
      "",
      ROUNDDOWN(COUNTIF('Paste Here'!$AA$2:$AA$1000,AK41)/2,0)
   )
)</f>
        <v/>
      </c>
      <c r="AM41" s="39" t="str" cm="1">
        <f t="array" ref="AM41">IFERROR(IF(LOOKUP(2,1/($AA$2:$AA$1000=AK41),$AD$2:$AD$1000)=0,"",
LOOKUP(2,1/($AA$2:$AA$1000=AK41),$AD$2:$AD$1000)),"")</f>
        <v/>
      </c>
      <c r="AO41" s="33" t="str" cm="1">
        <f t="array" ref="AO41">IFERROR(INDEX($AA$2:$AA$282,MATCH(0,COUNTIF('Paste Here'!$AK$1:AK40,$AA$2:$AA$282),0)),"")</f>
        <v/>
      </c>
      <c r="AP41" s="33" t="str">
        <f>IF(COUNTIF('Paste Here'!$AK$2:AK41,'Paste Here'!AK41)=1,VALUE('Paste Here'!AK41),"")</f>
        <v/>
      </c>
    </row>
    <row r="42" spans="1:42" x14ac:dyDescent="0.3">
      <c r="A42"/>
      <c r="B42"/>
      <c r="C42"/>
      <c r="D42" s="4"/>
      <c r="E42"/>
      <c r="F42"/>
      <c r="G42"/>
      <c r="H42"/>
      <c r="AA42" s="33" t="str">
        <f t="shared" si="1"/>
        <v/>
      </c>
      <c r="AC42" s="33">
        <f t="shared" si="0"/>
        <v>1048540</v>
      </c>
      <c r="AD42" s="33" t="str">
        <f t="shared" si="2"/>
        <v/>
      </c>
      <c r="AE42" s="33" t="str" cm="1">
        <f t="array" ref="AE42">LOOKUP(2,1/($AB$2:$AB$1000=AB42),$AD$2:$AD$1000)</f>
        <v/>
      </c>
      <c r="AK42" s="40"/>
      <c r="AL42" s="39" t="str">
        <f>IF(AK42="","",
   IF(
      COUNTIF('Paste Here'!$AA$2:$AA$1000,AK42)=0,
      "",
      ROUNDDOWN(COUNTIF('Paste Here'!$AA$2:$AA$1000,AK42)/2,0)
   )
)</f>
        <v/>
      </c>
      <c r="AM42" s="39" t="str" cm="1">
        <f t="array" ref="AM42">IFERROR(IF(LOOKUP(2,1/($AA$2:$AA$1000=AK42),$AD$2:$AD$1000)=0,"",
LOOKUP(2,1/($AA$2:$AA$1000=AK42),$AD$2:$AD$1000)),"")</f>
        <v/>
      </c>
      <c r="AO42" s="33" t="str" cm="1">
        <f t="array" ref="AO42">IFERROR(INDEX($AA$2:$AA$282,MATCH(0,COUNTIF('Paste Here'!$AK$1:AK41,$AA$2:$AA$282),0)),"")</f>
        <v/>
      </c>
      <c r="AP42" s="33" t="str">
        <f>IF(COUNTIF('Paste Here'!$AK$2:AK42,'Paste Here'!AK42)=1,VALUE('Paste Here'!AK42),"")</f>
        <v/>
      </c>
    </row>
    <row r="43" spans="1:42" x14ac:dyDescent="0.3">
      <c r="A43"/>
      <c r="B43"/>
      <c r="C43"/>
      <c r="D43" s="4"/>
      <c r="E43"/>
      <c r="F43"/>
      <c r="G43"/>
      <c r="H43"/>
      <c r="AA43" s="33" t="str">
        <f t="shared" si="1"/>
        <v/>
      </c>
      <c r="AC43" s="33">
        <f t="shared" si="0"/>
        <v>1048540</v>
      </c>
      <c r="AD43" s="33" t="str">
        <f t="shared" si="2"/>
        <v/>
      </c>
      <c r="AE43" s="33" t="str" cm="1">
        <f t="array" ref="AE43">LOOKUP(2,1/($AB$2:$AB$1000=AB43),$AD$2:$AD$1000)</f>
        <v/>
      </c>
      <c r="AK43" s="40"/>
      <c r="AL43" s="39" t="str">
        <f>IF(AK43="","",
   IF(
      COUNTIF('Paste Here'!$AA$2:$AA$1000,AK43)=0,
      "",
      ROUNDDOWN(COUNTIF('Paste Here'!$AA$2:$AA$1000,AK43)/2,0)
   )
)</f>
        <v/>
      </c>
      <c r="AM43" s="39" t="str" cm="1">
        <f t="array" ref="AM43">IFERROR(IF(LOOKUP(2,1/($AA$2:$AA$1000=AK43),$AD$2:$AD$1000)=0,"",
LOOKUP(2,1/($AA$2:$AA$1000=AK43),$AD$2:$AD$1000)),"")</f>
        <v/>
      </c>
      <c r="AO43" s="33" t="str" cm="1">
        <f t="array" ref="AO43">IFERROR(INDEX($AA$2:$AA$282,MATCH(0,COUNTIF('Paste Here'!$AK$1:AK42,$AA$2:$AA$282),0)),"")</f>
        <v/>
      </c>
      <c r="AP43" s="33" t="str">
        <f>IF(COUNTIF('Paste Here'!$AK$2:AK43,'Paste Here'!AK43)=1,VALUE('Paste Here'!AK43),"")</f>
        <v/>
      </c>
    </row>
    <row r="44" spans="1:42" x14ac:dyDescent="0.3">
      <c r="A44"/>
      <c r="B44"/>
      <c r="C44"/>
      <c r="D44" s="4"/>
      <c r="E44"/>
      <c r="F44"/>
      <c r="G44"/>
      <c r="H44"/>
      <c r="AA44" s="33" t="str">
        <f t="shared" si="1"/>
        <v/>
      </c>
      <c r="AC44" s="33">
        <f t="shared" si="0"/>
        <v>1048540</v>
      </c>
      <c r="AD44" s="33" t="str">
        <f t="shared" si="2"/>
        <v/>
      </c>
      <c r="AE44" s="33" t="str" cm="1">
        <f t="array" ref="AE44">LOOKUP(2,1/($AB$2:$AB$1000=AB44),$AD$2:$AD$1000)</f>
        <v/>
      </c>
      <c r="AK44" s="40"/>
      <c r="AL44" s="39" t="str">
        <f>IF(AK44="","",
   IF(
      COUNTIF('Paste Here'!$AA$2:$AA$1000,AK44)=0,
      "",
      ROUNDDOWN(COUNTIF('Paste Here'!$AA$2:$AA$1000,AK44)/2,0)
   )
)</f>
        <v/>
      </c>
      <c r="AM44" s="39" t="str" cm="1">
        <f t="array" ref="AM44">IFERROR(IF(LOOKUP(2,1/($AA$2:$AA$1000=AK44),$AD$2:$AD$1000)=0,"",
LOOKUP(2,1/($AA$2:$AA$1000=AK44),$AD$2:$AD$1000)),"")</f>
        <v/>
      </c>
      <c r="AO44" s="33" t="str" cm="1">
        <f t="array" ref="AO44">IFERROR(INDEX($AA$2:$AA$282,MATCH(0,COUNTIF('Paste Here'!$AK$1:AK43,$AA$2:$AA$282),0)),"")</f>
        <v/>
      </c>
      <c r="AP44" s="33" t="str">
        <f>IF(COUNTIF('Paste Here'!$AK$2:AK44,'Paste Here'!AK44)=1,VALUE('Paste Here'!AK44),"")</f>
        <v/>
      </c>
    </row>
    <row r="45" spans="1:42" x14ac:dyDescent="0.3">
      <c r="A45"/>
      <c r="B45"/>
      <c r="C45"/>
      <c r="D45" s="4"/>
      <c r="E45"/>
      <c r="F45"/>
      <c r="G45"/>
      <c r="H45"/>
      <c r="AA45" s="33" t="str">
        <f t="shared" si="1"/>
        <v/>
      </c>
      <c r="AC45" s="33">
        <f t="shared" si="0"/>
        <v>1048540</v>
      </c>
      <c r="AD45" s="33" t="str">
        <f t="shared" si="2"/>
        <v/>
      </c>
      <c r="AE45" s="33" t="str" cm="1">
        <f t="array" ref="AE45">LOOKUP(2,1/($AB$2:$AB$1000=AB45),$AD$2:$AD$1000)</f>
        <v/>
      </c>
      <c r="AK45" s="40"/>
      <c r="AL45" s="39" t="str">
        <f>IF(AK45="","",
   IF(
      COUNTIF('Paste Here'!$AA$2:$AA$1000,AK45)=0,
      "",
      ROUNDDOWN(COUNTIF('Paste Here'!$AA$2:$AA$1000,AK45)/2,0)
   )
)</f>
        <v/>
      </c>
      <c r="AM45" s="39" t="str" cm="1">
        <f t="array" ref="AM45">IFERROR(IF(LOOKUP(2,1/($AA$2:$AA$1000=AK45),$AD$2:$AD$1000)=0,"",
LOOKUP(2,1/($AA$2:$AA$1000=AK45),$AD$2:$AD$1000)),"")</f>
        <v/>
      </c>
      <c r="AO45" s="33" t="str" cm="1">
        <f t="array" ref="AO45">IFERROR(INDEX($AA$2:$AA$282,MATCH(0,COUNTIF('Paste Here'!$AK$1:AK44,$AA$2:$AA$282),0)),"")</f>
        <v/>
      </c>
      <c r="AP45" s="33" t="str">
        <f>IF(COUNTIF('Paste Here'!$AK$2:AK45,'Paste Here'!AK45)=1,VALUE('Paste Here'!AK45),"")</f>
        <v/>
      </c>
    </row>
    <row r="46" spans="1:42" x14ac:dyDescent="0.3">
      <c r="A46"/>
      <c r="B46"/>
      <c r="C46"/>
      <c r="D46" s="4"/>
      <c r="E46"/>
      <c r="F46"/>
      <c r="G46"/>
      <c r="H46"/>
      <c r="AA46" s="33" t="str">
        <f t="shared" si="1"/>
        <v/>
      </c>
      <c r="AC46" s="33">
        <f t="shared" si="0"/>
        <v>1048540</v>
      </c>
      <c r="AD46" s="33" t="str">
        <f t="shared" si="2"/>
        <v/>
      </c>
      <c r="AE46" s="33" t="str" cm="1">
        <f t="array" ref="AE46">LOOKUP(2,1/($AB$2:$AB$1000=AB46),$AD$2:$AD$1000)</f>
        <v/>
      </c>
      <c r="AK46" s="40"/>
      <c r="AL46" s="39" t="str">
        <f>IF(AK46="","",
   IF(
      COUNTIF('Paste Here'!$AA$2:$AA$1000,AK46)=0,
      "",
      ROUNDDOWN(COUNTIF('Paste Here'!$AA$2:$AA$1000,AK46)/2,0)
   )
)</f>
        <v/>
      </c>
      <c r="AM46" s="39" t="str" cm="1">
        <f t="array" ref="AM46">IFERROR(IF(LOOKUP(2,1/($AA$2:$AA$1000=AK46),$AD$2:$AD$1000)=0,"",
LOOKUP(2,1/($AA$2:$AA$1000=AK46),$AD$2:$AD$1000)),"")</f>
        <v/>
      </c>
      <c r="AO46" s="33" t="str" cm="1">
        <f t="array" ref="AO46">IFERROR(INDEX($AA$2:$AA$282,MATCH(0,COUNTIF('Paste Here'!$AK$1:AK45,$AA$2:$AA$282),0)),"")</f>
        <v/>
      </c>
      <c r="AP46" s="33" t="str">
        <f>IF(COUNTIF('Paste Here'!$AK$2:AK46,'Paste Here'!AK46)=1,VALUE('Paste Here'!AK46),"")</f>
        <v/>
      </c>
    </row>
    <row r="47" spans="1:42" x14ac:dyDescent="0.3">
      <c r="A47"/>
      <c r="B47"/>
      <c r="C47"/>
      <c r="D47" s="4"/>
      <c r="E47"/>
      <c r="F47"/>
      <c r="G47"/>
      <c r="H47"/>
      <c r="AA47" s="33" t="str">
        <f t="shared" si="1"/>
        <v/>
      </c>
      <c r="AC47" s="33">
        <f t="shared" si="0"/>
        <v>1048540</v>
      </c>
      <c r="AD47" s="33" t="str">
        <f t="shared" si="2"/>
        <v/>
      </c>
      <c r="AE47" s="33" t="str" cm="1">
        <f t="array" ref="AE47">LOOKUP(2,1/($AB$2:$AB$1000=AB47),$AD$2:$AD$1000)</f>
        <v/>
      </c>
      <c r="AK47" s="40"/>
      <c r="AL47" s="39" t="str">
        <f>IF(AK47="","",
   IF(
      COUNTIF('Paste Here'!$AA$2:$AA$1000,AK47)=0,
      "",
      ROUNDDOWN(COUNTIF('Paste Here'!$AA$2:$AA$1000,AK47)/2,0)
   )
)</f>
        <v/>
      </c>
      <c r="AM47" s="39" t="str" cm="1">
        <f t="array" ref="AM47">IFERROR(IF(LOOKUP(2,1/($AA$2:$AA$1000=AK47),$AD$2:$AD$1000)=0,"",
LOOKUP(2,1/($AA$2:$AA$1000=AK47),$AD$2:$AD$1000)),"")</f>
        <v/>
      </c>
      <c r="AO47" s="33" t="str" cm="1">
        <f t="array" ref="AO47">IFERROR(INDEX($AA$2:$AA$282,MATCH(0,COUNTIF('Paste Here'!$AK$1:AK46,$AA$2:$AA$282),0)),"")</f>
        <v/>
      </c>
      <c r="AP47" s="33" t="str">
        <f>IF(COUNTIF('Paste Here'!$AK$2:AK47,'Paste Here'!AK47)=1,VALUE('Paste Here'!AK47),"")</f>
        <v/>
      </c>
    </row>
    <row r="48" spans="1:42" x14ac:dyDescent="0.3">
      <c r="A48"/>
      <c r="B48"/>
      <c r="C48"/>
      <c r="D48" s="4"/>
      <c r="E48"/>
      <c r="F48"/>
      <c r="G48"/>
      <c r="H48"/>
      <c r="AA48" s="33" t="str">
        <f t="shared" si="1"/>
        <v/>
      </c>
      <c r="AC48" s="33">
        <f t="shared" si="0"/>
        <v>1048540</v>
      </c>
      <c r="AD48" s="33" t="str">
        <f t="shared" si="2"/>
        <v/>
      </c>
      <c r="AE48" s="33" t="str" cm="1">
        <f t="array" ref="AE48">LOOKUP(2,1/($AB$2:$AB$1000=AB48),$AD$2:$AD$1000)</f>
        <v/>
      </c>
      <c r="AK48" s="40"/>
      <c r="AL48" s="39" t="str">
        <f>IF(AK48="","",
   IF(
      COUNTIF('Paste Here'!$AA$2:$AA$1000,AK48)=0,
      "",
      ROUNDDOWN(COUNTIF('Paste Here'!$AA$2:$AA$1000,AK48)/2,0)
   )
)</f>
        <v/>
      </c>
      <c r="AM48" s="39" t="str" cm="1">
        <f t="array" ref="AM48">IFERROR(IF(LOOKUP(2,1/($AA$2:$AA$1000=AK48),$AD$2:$AD$1000)=0,"",
LOOKUP(2,1/($AA$2:$AA$1000=AK48),$AD$2:$AD$1000)),"")</f>
        <v/>
      </c>
      <c r="AO48" s="33" t="str" cm="1">
        <f t="array" ref="AO48">IFERROR(INDEX($AA$2:$AA$282,MATCH(0,COUNTIF('Paste Here'!$AK$1:AK47,$AA$2:$AA$282),0)),"")</f>
        <v/>
      </c>
      <c r="AP48" s="33" t="str">
        <f>IF(COUNTIF('Paste Here'!$AK$2:AK48,'Paste Here'!AK48)=1,VALUE('Paste Here'!AK48),"")</f>
        <v/>
      </c>
    </row>
    <row r="49" spans="1:42" x14ac:dyDescent="0.3">
      <c r="A49"/>
      <c r="B49"/>
      <c r="C49"/>
      <c r="D49" s="4"/>
      <c r="E49"/>
      <c r="F49"/>
      <c r="G49"/>
      <c r="H49"/>
      <c r="AA49" s="33" t="str">
        <f t="shared" si="1"/>
        <v/>
      </c>
      <c r="AC49" s="33">
        <f t="shared" si="0"/>
        <v>1048540</v>
      </c>
      <c r="AD49" s="33" t="str">
        <f t="shared" si="2"/>
        <v/>
      </c>
      <c r="AE49" s="33" t="str" cm="1">
        <f t="array" ref="AE49">LOOKUP(2,1/($AB$2:$AB$1000=AB49),$AD$2:$AD$1000)</f>
        <v/>
      </c>
      <c r="AK49" s="40"/>
      <c r="AL49" s="39" t="str">
        <f>IF(AK49="","",
   IF(
      COUNTIF('Paste Here'!$AA$2:$AA$1000,AK49)=0,
      "",
      ROUNDDOWN(COUNTIF('Paste Here'!$AA$2:$AA$1000,AK49)/2,0)
   )
)</f>
        <v/>
      </c>
      <c r="AM49" s="39" t="str" cm="1">
        <f t="array" ref="AM49">IFERROR(IF(LOOKUP(2,1/($AA$2:$AA$1000=AK49),$AD$2:$AD$1000)=0,"",
LOOKUP(2,1/($AA$2:$AA$1000=AK49),$AD$2:$AD$1000)),"")</f>
        <v/>
      </c>
      <c r="AO49" s="33" t="str" cm="1">
        <f t="array" ref="AO49">IFERROR(INDEX($AA$2:$AA$282,MATCH(0,COUNTIF('Paste Here'!$AK$1:AK48,$AA$2:$AA$282),0)),"")</f>
        <v/>
      </c>
      <c r="AP49" s="33" t="str">
        <f>IF(COUNTIF('Paste Here'!$AK$2:AK49,'Paste Here'!AK49)=1,VALUE('Paste Here'!AK49),"")</f>
        <v/>
      </c>
    </row>
    <row r="50" spans="1:42" x14ac:dyDescent="0.3">
      <c r="A50"/>
      <c r="B50"/>
      <c r="C50"/>
      <c r="D50" s="4"/>
      <c r="E50"/>
      <c r="F50"/>
      <c r="G50"/>
      <c r="H50"/>
      <c r="AA50" s="33" t="str">
        <f t="shared" si="1"/>
        <v/>
      </c>
      <c r="AC50" s="33">
        <f t="shared" si="0"/>
        <v>1048540</v>
      </c>
      <c r="AD50" s="33" t="str">
        <f t="shared" si="2"/>
        <v/>
      </c>
      <c r="AE50" s="33" t="str" cm="1">
        <f t="array" ref="AE50">LOOKUP(2,1/($AB$2:$AB$1000=AB50),$AD$2:$AD$1000)</f>
        <v/>
      </c>
      <c r="AK50" s="40"/>
      <c r="AL50" s="39" t="str">
        <f>IF(AK50="","",
   IF(
      COUNTIF('Paste Here'!$AA$2:$AA$1000,AK50)=0,
      "",
      ROUNDDOWN(COUNTIF('Paste Here'!$AA$2:$AA$1000,AK50)/2,0)
   )
)</f>
        <v/>
      </c>
      <c r="AM50" s="39" t="str" cm="1">
        <f t="array" ref="AM50">IFERROR(IF(LOOKUP(2,1/($AA$2:$AA$1000=AK50),$AD$2:$AD$1000)=0,"",
LOOKUP(2,1/($AA$2:$AA$1000=AK50),$AD$2:$AD$1000)),"")</f>
        <v/>
      </c>
      <c r="AO50" s="33" t="str" cm="1">
        <f t="array" ref="AO50">IFERROR(INDEX($AA$2:$AA$282,MATCH(0,COUNTIF('Paste Here'!$AK$1:AK49,$AA$2:$AA$282),0)),"")</f>
        <v/>
      </c>
      <c r="AP50" s="33" t="str">
        <f>IF(COUNTIF('Paste Here'!$AK$2:AK50,'Paste Here'!AK50)=1,VALUE('Paste Here'!AK50),"")</f>
        <v/>
      </c>
    </row>
    <row r="51" spans="1:42" x14ac:dyDescent="0.3">
      <c r="A51"/>
      <c r="B51"/>
      <c r="C51"/>
      <c r="D51" s="4"/>
      <c r="E51"/>
      <c r="F51"/>
      <c r="G51"/>
      <c r="H51"/>
      <c r="AA51" s="33" t="str">
        <f t="shared" si="1"/>
        <v/>
      </c>
      <c r="AC51" s="33">
        <f t="shared" si="0"/>
        <v>1048540</v>
      </c>
      <c r="AD51" s="33" t="str">
        <f t="shared" si="2"/>
        <v/>
      </c>
      <c r="AE51" s="33" t="str" cm="1">
        <f t="array" ref="AE51">LOOKUP(2,1/($AB$2:$AB$1000=AB51),$AD$2:$AD$1000)</f>
        <v/>
      </c>
      <c r="AK51" s="40"/>
      <c r="AL51" s="39" t="str">
        <f>IF(AK51="","",
   IF(
      COUNTIF('Paste Here'!$AA$2:$AA$1000,AK51)=0,
      "",
      ROUNDDOWN(COUNTIF('Paste Here'!$AA$2:$AA$1000,AK51)/2,0)
   )
)</f>
        <v/>
      </c>
      <c r="AM51" s="39" t="str" cm="1">
        <f t="array" ref="AM51">IFERROR(IF(LOOKUP(2,1/($AA$2:$AA$1000=AK51),$AD$2:$AD$1000)=0,"",
LOOKUP(2,1/($AA$2:$AA$1000=AK51),$AD$2:$AD$1000)),"")</f>
        <v/>
      </c>
      <c r="AO51" s="33" t="str" cm="1">
        <f t="array" ref="AO51">IFERROR(INDEX($AA$2:$AA$282,MATCH(0,COUNTIF('Paste Here'!$AK$1:AK50,$AA$2:$AA$282),0)),"")</f>
        <v/>
      </c>
      <c r="AP51" s="33" t="str">
        <f>IF(COUNTIF('Paste Here'!$AK$2:AK51,'Paste Here'!AK51)=1,VALUE('Paste Here'!AK51),"")</f>
        <v/>
      </c>
    </row>
    <row r="52" spans="1:42" x14ac:dyDescent="0.3">
      <c r="A52" s="2"/>
      <c r="B52" s="2"/>
      <c r="C52" s="2"/>
      <c r="D52" s="3"/>
      <c r="E52" s="2"/>
      <c r="F52" s="2"/>
      <c r="G52" s="2"/>
      <c r="H52" s="2"/>
      <c r="AA52" s="33" t="str">
        <f t="shared" si="1"/>
        <v/>
      </c>
      <c r="AC52" s="33">
        <f t="shared" si="0"/>
        <v>1048540</v>
      </c>
      <c r="AD52" s="33" t="str">
        <f t="shared" si="2"/>
        <v/>
      </c>
      <c r="AE52" s="33" t="str" cm="1">
        <f t="array" ref="AE52">LOOKUP(2,1/($AB$2:$AB$1000=AB52),$AD$2:$AD$1000)</f>
        <v/>
      </c>
      <c r="AK52" s="40"/>
      <c r="AL52" s="39" t="str">
        <f>IF(AK52="","",
   IF(
      COUNTIF('Paste Here'!$AA$2:$AA$1000,AK52)=0,
      "",
      ROUNDDOWN(COUNTIF('Paste Here'!$AA$2:$AA$1000,AK52)/2,0)
   )
)</f>
        <v/>
      </c>
      <c r="AM52" s="39" t="str" cm="1">
        <f t="array" ref="AM52">IFERROR(IF(LOOKUP(2,1/($AA$2:$AA$1000=AK52),$AD$2:$AD$1000)=0,"",
LOOKUP(2,1/($AA$2:$AA$1000=AK52),$AD$2:$AD$1000)),"")</f>
        <v/>
      </c>
      <c r="AO52" s="33" t="str" cm="1">
        <f t="array" ref="AO52">IFERROR(INDEX($AA$2:$AA$282,MATCH(0,COUNTIF('Paste Here'!$AK$1:AK51,$AA$2:$AA$282),0)),"")</f>
        <v/>
      </c>
      <c r="AP52" s="33" t="str">
        <f>IF(COUNTIF('Paste Here'!$AK$2:AK52,'Paste Here'!AK52)=1,VALUE('Paste Here'!AK52),"")</f>
        <v/>
      </c>
    </row>
    <row r="53" spans="1:42" x14ac:dyDescent="0.3">
      <c r="A53" s="2"/>
      <c r="B53" s="2"/>
      <c r="C53" s="2"/>
      <c r="D53" s="3"/>
      <c r="E53" s="2"/>
      <c r="F53" s="2"/>
      <c r="G53" s="2"/>
      <c r="H53" s="2"/>
      <c r="AA53" s="33" t="str">
        <f t="shared" si="1"/>
        <v/>
      </c>
      <c r="AC53" s="33">
        <f t="shared" si="0"/>
        <v>1048540</v>
      </c>
      <c r="AD53" s="33" t="str">
        <f t="shared" si="2"/>
        <v/>
      </c>
      <c r="AE53" s="33" t="str" cm="1">
        <f t="array" ref="AE53">LOOKUP(2,1/($AB$2:$AB$1000=AB53),$AD$2:$AD$1000)</f>
        <v/>
      </c>
      <c r="AK53" s="40"/>
      <c r="AL53" s="39" t="str">
        <f>IF(AK53="","",
   IF(
      COUNTIF('Paste Here'!$AA$2:$AA$1000,AK53)=0,
      "",
      ROUNDDOWN(COUNTIF('Paste Here'!$AA$2:$AA$1000,AK53)/2,0)
   )
)</f>
        <v/>
      </c>
      <c r="AM53" s="39" t="str" cm="1">
        <f t="array" ref="AM53">IFERROR(IF(LOOKUP(2,1/($AA$2:$AA$1000=AK53),$AD$2:$AD$1000)=0,"",
LOOKUP(2,1/($AA$2:$AA$1000=AK53),$AD$2:$AD$1000)),"")</f>
        <v/>
      </c>
      <c r="AO53" s="33" t="str" cm="1">
        <f t="array" ref="AO53">IFERROR(INDEX($AA$2:$AA$282,MATCH(0,COUNTIF('Paste Here'!$AK$1:AK52,$AA$2:$AA$282),0)),"")</f>
        <v/>
      </c>
      <c r="AP53" s="33" t="str">
        <f>IF(COUNTIF('Paste Here'!$AK$2:AK53,'Paste Here'!AK53)=1,VALUE('Paste Here'!AK53),"")</f>
        <v/>
      </c>
    </row>
    <row r="54" spans="1:42" x14ac:dyDescent="0.3">
      <c r="A54" s="2"/>
      <c r="B54" s="2"/>
      <c r="C54" s="2"/>
      <c r="D54" s="3"/>
      <c r="E54" s="2"/>
      <c r="F54" s="2"/>
      <c r="G54" s="2"/>
      <c r="H54" s="2"/>
      <c r="AA54" s="33" t="str">
        <f t="shared" si="1"/>
        <v/>
      </c>
      <c r="AC54" s="33">
        <f t="shared" si="0"/>
        <v>1048540</v>
      </c>
      <c r="AD54" s="33" t="str">
        <f t="shared" si="2"/>
        <v/>
      </c>
      <c r="AE54" s="33" t="str" cm="1">
        <f t="array" ref="AE54">LOOKUP(2,1/($AB$2:$AB$1000=AB54),$AD$2:$AD$1000)</f>
        <v/>
      </c>
      <c r="AK54" s="40"/>
      <c r="AL54" s="39" t="str">
        <f>IF(AK54="","",
   IF(
      COUNTIF('Paste Here'!$AA$2:$AA$1000,AK54)=0,
      "",
      ROUNDDOWN(COUNTIF('Paste Here'!$AA$2:$AA$1000,AK54)/2,0)
   )
)</f>
        <v/>
      </c>
      <c r="AM54" s="39" t="str" cm="1">
        <f t="array" ref="AM54">IFERROR(IF(LOOKUP(2,1/($AA$2:$AA$1000=AK54),$AD$2:$AD$1000)=0,"",
LOOKUP(2,1/($AA$2:$AA$1000=AK54),$AD$2:$AD$1000)),"")</f>
        <v/>
      </c>
      <c r="AO54" s="33" t="str" cm="1">
        <f t="array" ref="AO54">IFERROR(INDEX($AA$2:$AA$282,MATCH(0,COUNTIF('Paste Here'!$AK$1:AK53,$AA$2:$AA$282),0)),"")</f>
        <v/>
      </c>
      <c r="AP54" s="33" t="str">
        <f>IF(COUNTIF('Paste Here'!$AK$2:AK54,'Paste Here'!AK54)=1,VALUE('Paste Here'!AK54),"")</f>
        <v/>
      </c>
    </row>
    <row r="55" spans="1:42" x14ac:dyDescent="0.3">
      <c r="A55" s="2"/>
      <c r="B55" s="2"/>
      <c r="C55" s="2"/>
      <c r="D55" s="3"/>
      <c r="E55" s="2"/>
      <c r="F55" s="2"/>
      <c r="G55" s="2"/>
      <c r="H55" s="2"/>
      <c r="AA55" s="33" t="str">
        <f t="shared" si="1"/>
        <v/>
      </c>
      <c r="AC55" s="33">
        <f t="shared" si="0"/>
        <v>1048540</v>
      </c>
      <c r="AD55" s="33" t="str">
        <f t="shared" si="2"/>
        <v/>
      </c>
      <c r="AE55" s="33" t="str" cm="1">
        <f t="array" ref="AE55">LOOKUP(2,1/($AB$2:$AB$1000=AB55),$AD$2:$AD$1000)</f>
        <v/>
      </c>
      <c r="AK55" s="40"/>
      <c r="AL55" s="39" t="str">
        <f>IF(AK55="","",
   IF(
      COUNTIF('Paste Here'!$AA$2:$AA$1000,AK55)=0,
      "",
      ROUNDDOWN(COUNTIF('Paste Here'!$AA$2:$AA$1000,AK55)/2,0)
   )
)</f>
        <v/>
      </c>
      <c r="AM55" s="39" t="str" cm="1">
        <f t="array" ref="AM55">IFERROR(IF(LOOKUP(2,1/($AA$2:$AA$1000=AK55),$AD$2:$AD$1000)=0,"",
LOOKUP(2,1/($AA$2:$AA$1000=AK55),$AD$2:$AD$1000)),"")</f>
        <v/>
      </c>
      <c r="AO55" s="33" t="str" cm="1">
        <f t="array" ref="AO55">IFERROR(INDEX($AA$2:$AA$282,MATCH(0,COUNTIF('Paste Here'!$AK$1:AK54,$AA$2:$AA$282),0)),"")</f>
        <v/>
      </c>
      <c r="AP55" s="33" t="str">
        <f>IF(COUNTIF('Paste Here'!$AK$2:AK55,'Paste Here'!AK55)=1,VALUE('Paste Here'!AK55),"")</f>
        <v/>
      </c>
    </row>
    <row r="56" spans="1:42" x14ac:dyDescent="0.3">
      <c r="A56" s="2"/>
      <c r="B56" s="2"/>
      <c r="C56" s="2"/>
      <c r="D56" s="3"/>
      <c r="E56" s="2"/>
      <c r="F56" s="2"/>
      <c r="G56" s="2"/>
      <c r="H56" s="2"/>
      <c r="AA56" s="33" t="str">
        <f t="shared" si="1"/>
        <v/>
      </c>
      <c r="AC56" s="33">
        <f t="shared" si="0"/>
        <v>1048540</v>
      </c>
      <c r="AD56" s="33" t="str">
        <f t="shared" si="2"/>
        <v/>
      </c>
      <c r="AE56" s="33" t="str" cm="1">
        <f t="array" ref="AE56">LOOKUP(2,1/($AB$2:$AB$1000=AB56),$AD$2:$AD$1000)</f>
        <v/>
      </c>
      <c r="AK56" s="40"/>
      <c r="AL56" s="39" t="str">
        <f>IF(AK56="","",
   IF(
      COUNTIF('Paste Here'!$AA$2:$AA$1000,AK56)=0,
      "",
      ROUNDDOWN(COUNTIF('Paste Here'!$AA$2:$AA$1000,AK56)/2,0)
   )
)</f>
        <v/>
      </c>
      <c r="AM56" s="39" t="str" cm="1">
        <f t="array" ref="AM56">IFERROR(IF(LOOKUP(2,1/($AA$2:$AA$1000=AK56),$AD$2:$AD$1000)=0,"",
LOOKUP(2,1/($AA$2:$AA$1000=AK56),$AD$2:$AD$1000)),"")</f>
        <v/>
      </c>
      <c r="AO56" s="33" t="str" cm="1">
        <f t="array" ref="AO56">IFERROR(INDEX($AA$2:$AA$282,MATCH(0,COUNTIF('Paste Here'!$AK$1:AK55,$AA$2:$AA$282),0)),"")</f>
        <v/>
      </c>
      <c r="AP56" s="33" t="str">
        <f>IF(COUNTIF('Paste Here'!$AK$2:AK56,'Paste Here'!AK56)=1,VALUE('Paste Here'!AK56),"")</f>
        <v/>
      </c>
    </row>
    <row r="57" spans="1:42" x14ac:dyDescent="0.3">
      <c r="A57" s="2"/>
      <c r="B57" s="2"/>
      <c r="C57" s="2"/>
      <c r="D57" s="3"/>
      <c r="E57" s="2"/>
      <c r="F57" s="2"/>
      <c r="G57" s="2"/>
      <c r="H57" s="2"/>
      <c r="AA57" s="33" t="str">
        <f t="shared" si="1"/>
        <v/>
      </c>
      <c r="AC57" s="33">
        <f t="shared" si="0"/>
        <v>1048540</v>
      </c>
      <c r="AD57" s="33" t="str">
        <f t="shared" si="2"/>
        <v/>
      </c>
      <c r="AE57" s="33" t="str" cm="1">
        <f t="array" ref="AE57">LOOKUP(2,1/($AB$2:$AB$1000=AB57),$AD$2:$AD$1000)</f>
        <v/>
      </c>
      <c r="AK57" s="40"/>
      <c r="AL57" s="39" t="str">
        <f>IF(AK57="","",
   IF(
      COUNTIF('Paste Here'!$AA$2:$AA$1000,AK57)=0,
      "",
      ROUNDDOWN(COUNTIF('Paste Here'!$AA$2:$AA$1000,AK57)/2,0)
   )
)</f>
        <v/>
      </c>
      <c r="AM57" s="39" t="str" cm="1">
        <f t="array" ref="AM57">IFERROR(IF(LOOKUP(2,1/($AA$2:$AA$1000=AK57),$AD$2:$AD$1000)=0,"",
LOOKUP(2,1/($AA$2:$AA$1000=AK57),$AD$2:$AD$1000)),"")</f>
        <v/>
      </c>
      <c r="AO57" s="33" t="str" cm="1">
        <f t="array" ref="AO57">IFERROR(INDEX($AA$2:$AA$282,MATCH(0,COUNTIF('Paste Here'!$AK$1:AK56,$AA$2:$AA$282),0)),"")</f>
        <v/>
      </c>
      <c r="AP57" s="33" t="str">
        <f>IF(COUNTIF('Paste Here'!$AK$2:AK57,'Paste Here'!AK57)=1,VALUE('Paste Here'!AK57),"")</f>
        <v/>
      </c>
    </row>
    <row r="58" spans="1:42" x14ac:dyDescent="0.3">
      <c r="A58" s="2"/>
      <c r="B58" s="2"/>
      <c r="C58" s="2"/>
      <c r="D58" s="3"/>
      <c r="E58" s="2"/>
      <c r="F58" s="2"/>
      <c r="G58" s="2"/>
      <c r="H58" s="2"/>
      <c r="AA58" s="33" t="str">
        <f t="shared" si="1"/>
        <v/>
      </c>
      <c r="AC58" s="33">
        <f t="shared" si="0"/>
        <v>1048540</v>
      </c>
      <c r="AD58" s="33" t="str">
        <f t="shared" si="2"/>
        <v/>
      </c>
      <c r="AE58" s="33" t="str" cm="1">
        <f t="array" ref="AE58">LOOKUP(2,1/($AB$2:$AB$1000=AB58),$AD$2:$AD$1000)</f>
        <v/>
      </c>
      <c r="AK58" s="40"/>
      <c r="AL58" s="39" t="str">
        <f>IF(AK58="","",
   IF(
      COUNTIF('Paste Here'!$AA$2:$AA$1000,AK58)=0,
      "",
      ROUNDDOWN(COUNTIF('Paste Here'!$AA$2:$AA$1000,AK58)/2,0)
   )
)</f>
        <v/>
      </c>
      <c r="AM58" s="39" t="str" cm="1">
        <f t="array" ref="AM58">IFERROR(IF(LOOKUP(2,1/($AA$2:$AA$1000=AK58),$AD$2:$AD$1000)=0,"",
LOOKUP(2,1/($AA$2:$AA$1000=AK58),$AD$2:$AD$1000)),"")</f>
        <v/>
      </c>
      <c r="AO58" s="33" t="str" cm="1">
        <f t="array" ref="AO58">IFERROR(INDEX($AA$2:$AA$282,MATCH(0,COUNTIF('Paste Here'!$AK$1:AK57,$AA$2:$AA$282),0)),"")</f>
        <v/>
      </c>
      <c r="AP58" s="33" t="str">
        <f>IF(COUNTIF('Paste Here'!$AK$2:AK58,'Paste Here'!AK58)=1,VALUE('Paste Here'!AK58),"")</f>
        <v/>
      </c>
    </row>
    <row r="59" spans="1:42" x14ac:dyDescent="0.3">
      <c r="A59" s="2"/>
      <c r="B59" s="2"/>
      <c r="C59" s="2"/>
      <c r="D59" s="3"/>
      <c r="E59" s="2"/>
      <c r="F59" s="2"/>
      <c r="G59" s="2"/>
      <c r="H59" s="2"/>
      <c r="AA59" s="33" t="str">
        <f t="shared" si="1"/>
        <v/>
      </c>
      <c r="AC59" s="33">
        <f t="shared" si="0"/>
        <v>1048540</v>
      </c>
      <c r="AD59" s="33" t="str">
        <f t="shared" si="2"/>
        <v/>
      </c>
      <c r="AE59" s="33" t="str" cm="1">
        <f t="array" ref="AE59">LOOKUP(2,1/($AB$2:$AB$1000=AB59),$AD$2:$AD$1000)</f>
        <v/>
      </c>
      <c r="AK59" s="40"/>
      <c r="AL59" s="39" t="str">
        <f>IF(AK59="","",
   IF(
      COUNTIF('Paste Here'!$AA$2:$AA$1000,AK59)=0,
      "",
      ROUNDDOWN(COUNTIF('Paste Here'!$AA$2:$AA$1000,AK59)/2,0)
   )
)</f>
        <v/>
      </c>
      <c r="AM59" s="39" t="str" cm="1">
        <f t="array" ref="AM59">IFERROR(IF(LOOKUP(2,1/($AA$2:$AA$1000=AK59),$AD$2:$AD$1000)=0,"",
LOOKUP(2,1/($AA$2:$AA$1000=AK59),$AD$2:$AD$1000)),"")</f>
        <v/>
      </c>
      <c r="AO59" s="33" t="str" cm="1">
        <f t="array" ref="AO59">IFERROR(INDEX($AA$2:$AA$282,MATCH(0,COUNTIF('Paste Here'!$AK$1:AK58,$AA$2:$AA$282),0)),"")</f>
        <v/>
      </c>
      <c r="AP59" s="33" t="str">
        <f>IF(COUNTIF('Paste Here'!$AK$2:AK59,'Paste Here'!AK59)=1,VALUE('Paste Here'!AK59),"")</f>
        <v/>
      </c>
    </row>
    <row r="60" spans="1:42" x14ac:dyDescent="0.3">
      <c r="A60" s="2"/>
      <c r="B60" s="2"/>
      <c r="C60" s="2"/>
      <c r="D60" s="3"/>
      <c r="E60" s="2"/>
      <c r="F60" s="2"/>
      <c r="G60" s="2"/>
      <c r="H60" s="2"/>
      <c r="AA60" s="33" t="str">
        <f t="shared" si="1"/>
        <v/>
      </c>
      <c r="AC60" s="33">
        <f t="shared" si="0"/>
        <v>1048540</v>
      </c>
      <c r="AD60" s="33" t="str">
        <f t="shared" si="2"/>
        <v/>
      </c>
      <c r="AE60" s="33" t="str" cm="1">
        <f t="array" ref="AE60">LOOKUP(2,1/($AB$2:$AB$1000=AB60),$AD$2:$AD$1000)</f>
        <v/>
      </c>
      <c r="AK60" s="40"/>
      <c r="AL60" s="39" t="str">
        <f>IF(AK60="","",
   IF(
      COUNTIF('Paste Here'!$AA$2:$AA$1000,AK60)=0,
      "",
      ROUNDDOWN(COUNTIF('Paste Here'!$AA$2:$AA$1000,AK60)/2,0)
   )
)</f>
        <v/>
      </c>
      <c r="AM60" s="39" t="str" cm="1">
        <f t="array" ref="AM60">IFERROR(IF(LOOKUP(2,1/($AA$2:$AA$1000=AK60),$AD$2:$AD$1000)=0,"",
LOOKUP(2,1/($AA$2:$AA$1000=AK60),$AD$2:$AD$1000)),"")</f>
        <v/>
      </c>
      <c r="AO60" s="33" t="str" cm="1">
        <f t="array" ref="AO60">IFERROR(INDEX($AA$2:$AA$282,MATCH(0,COUNTIF('Paste Here'!$AK$1:AK59,$AA$2:$AA$282),0)),"")</f>
        <v/>
      </c>
      <c r="AP60" s="33" t="str">
        <f>IF(COUNTIF('Paste Here'!$AK$2:AK60,'Paste Here'!AK60)=1,VALUE('Paste Here'!AK60),"")</f>
        <v/>
      </c>
    </row>
    <row r="61" spans="1:42" x14ac:dyDescent="0.3">
      <c r="A61" s="2"/>
      <c r="B61" s="2"/>
      <c r="C61" s="2"/>
      <c r="D61" s="3"/>
      <c r="E61" s="2"/>
      <c r="F61" s="2"/>
      <c r="G61" s="2"/>
      <c r="H61" s="2"/>
      <c r="AA61" s="33" t="str">
        <f t="shared" si="1"/>
        <v/>
      </c>
      <c r="AC61" s="33">
        <f t="shared" si="0"/>
        <v>1048540</v>
      </c>
      <c r="AD61" s="33" t="str">
        <f t="shared" si="2"/>
        <v/>
      </c>
      <c r="AE61" s="33" t="str" cm="1">
        <f t="array" ref="AE61">LOOKUP(2,1/($AB$2:$AB$1000=AB61),$AD$2:$AD$1000)</f>
        <v/>
      </c>
      <c r="AK61" s="40"/>
      <c r="AL61" s="39" t="str">
        <f>IF(AK61="","",
   IF(
      COUNTIF('Paste Here'!$AA$2:$AA$1000,AK61)=0,
      "",
      ROUNDDOWN(COUNTIF('Paste Here'!$AA$2:$AA$1000,AK61)/2,0)
   )
)</f>
        <v/>
      </c>
      <c r="AM61" s="39" t="str" cm="1">
        <f t="array" ref="AM61">IFERROR(IF(LOOKUP(2,1/($AA$2:$AA$1000=AK61),$AD$2:$AD$1000)=0,"",
LOOKUP(2,1/($AA$2:$AA$1000=AK61),$AD$2:$AD$1000)),"")</f>
        <v/>
      </c>
      <c r="AO61" s="33" t="str" cm="1">
        <f t="array" ref="AO61">IFERROR(INDEX($AA$2:$AA$282,MATCH(0,COUNTIF('Paste Here'!$AK$1:AK60,$AA$2:$AA$282),0)),"")</f>
        <v/>
      </c>
      <c r="AP61" s="33" t="str">
        <f>IF(COUNTIF('Paste Here'!$AK$2:AK61,'Paste Here'!AK61)=1,VALUE('Paste Here'!AK61),"")</f>
        <v/>
      </c>
    </row>
    <row r="62" spans="1:42" x14ac:dyDescent="0.3">
      <c r="A62" s="2"/>
      <c r="B62" s="2"/>
      <c r="C62" s="2"/>
      <c r="D62" s="3"/>
      <c r="E62" s="2"/>
      <c r="F62" s="2"/>
      <c r="G62" s="2"/>
      <c r="H62" s="2"/>
      <c r="AA62" s="33" t="str">
        <f t="shared" si="1"/>
        <v/>
      </c>
      <c r="AC62" s="33">
        <f t="shared" si="0"/>
        <v>1048540</v>
      </c>
      <c r="AD62" s="33" t="str">
        <f t="shared" si="2"/>
        <v/>
      </c>
      <c r="AE62" s="33" t="str" cm="1">
        <f t="array" ref="AE62">LOOKUP(2,1/($AB$2:$AB$1000=AB62),$AD$2:$AD$1000)</f>
        <v/>
      </c>
      <c r="AK62" s="40"/>
      <c r="AL62" s="39" t="str">
        <f>IF(AK62="","",
   IF(
      COUNTIF('Paste Here'!$AA$2:$AA$1000,AK62)=0,
      "",
      ROUNDDOWN(COUNTIF('Paste Here'!$AA$2:$AA$1000,AK62)/2,0)
   )
)</f>
        <v/>
      </c>
      <c r="AM62" s="39" t="str" cm="1">
        <f t="array" ref="AM62">IFERROR(IF(LOOKUP(2,1/($AA$2:$AA$1000=AK62),$AD$2:$AD$1000)=0,"",
LOOKUP(2,1/($AA$2:$AA$1000=AK62),$AD$2:$AD$1000)),"")</f>
        <v/>
      </c>
      <c r="AO62" s="33" t="str" cm="1">
        <f t="array" ref="AO62">IFERROR(INDEX($AA$2:$AA$282,MATCH(0,COUNTIF('Paste Here'!$AK$1:AK61,$AA$2:$AA$282),0)),"")</f>
        <v/>
      </c>
      <c r="AP62" s="33" t="str">
        <f>IF(COUNTIF('Paste Here'!$AK$2:AK62,'Paste Here'!AK62)=1,VALUE('Paste Here'!AK62),"")</f>
        <v/>
      </c>
    </row>
    <row r="63" spans="1:42" x14ac:dyDescent="0.3">
      <c r="A63" s="2"/>
      <c r="B63" s="2"/>
      <c r="C63" s="2"/>
      <c r="D63" s="3"/>
      <c r="E63" s="2"/>
      <c r="F63" s="2"/>
      <c r="G63" s="2"/>
      <c r="H63" s="2"/>
      <c r="AA63" s="33" t="str">
        <f t="shared" si="1"/>
        <v/>
      </c>
      <c r="AC63" s="33">
        <f t="shared" si="0"/>
        <v>1048540</v>
      </c>
      <c r="AD63" s="33" t="str">
        <f t="shared" si="2"/>
        <v/>
      </c>
      <c r="AE63" s="33" t="str" cm="1">
        <f t="array" ref="AE63">LOOKUP(2,1/($AB$2:$AB$1000=AB63),$AD$2:$AD$1000)</f>
        <v/>
      </c>
      <c r="AK63" s="40"/>
      <c r="AL63" s="39" t="str">
        <f>IF(AK63="","",
   IF(
      COUNTIF('Paste Here'!$AA$2:$AA$1000,AK63)=0,
      "",
      ROUNDDOWN(COUNTIF('Paste Here'!$AA$2:$AA$1000,AK63)/2,0)
   )
)</f>
        <v/>
      </c>
      <c r="AM63" s="39" t="str" cm="1">
        <f t="array" ref="AM63">IFERROR(IF(LOOKUP(2,1/($AA$2:$AA$1000=AK63),$AD$2:$AD$1000)=0,"",
LOOKUP(2,1/($AA$2:$AA$1000=AK63),$AD$2:$AD$1000)),"")</f>
        <v/>
      </c>
      <c r="AO63" s="33" t="str" cm="1">
        <f t="array" ref="AO63">IFERROR(INDEX($AA$2:$AA$282,MATCH(0,COUNTIF('Paste Here'!$AK$1:AK62,$AA$2:$AA$282),0)),"")</f>
        <v/>
      </c>
      <c r="AP63" s="33" t="str">
        <f>IF(COUNTIF('Paste Here'!$AK$2:AK63,'Paste Here'!AK63)=1,VALUE('Paste Here'!AK63),"")</f>
        <v/>
      </c>
    </row>
    <row r="64" spans="1:42" x14ac:dyDescent="0.3">
      <c r="A64" s="2"/>
      <c r="B64" s="2"/>
      <c r="C64" s="2"/>
      <c r="D64" s="3"/>
      <c r="E64" s="2"/>
      <c r="F64" s="2"/>
      <c r="G64" s="2"/>
      <c r="H64" s="2"/>
      <c r="AA64" s="33" t="str">
        <f t="shared" si="1"/>
        <v/>
      </c>
      <c r="AC64" s="33">
        <f t="shared" si="0"/>
        <v>1048540</v>
      </c>
      <c r="AD64" s="33" t="str">
        <f t="shared" si="2"/>
        <v/>
      </c>
      <c r="AE64" s="33" t="str" cm="1">
        <f t="array" ref="AE64">LOOKUP(2,1/($AB$2:$AB$1000=AB64),$AD$2:$AD$1000)</f>
        <v/>
      </c>
      <c r="AK64" s="40"/>
      <c r="AL64" s="39" t="str">
        <f>IF(AK64="","",
   IF(
      COUNTIF('Paste Here'!$AA$2:$AA$1000,AK64)=0,
      "",
      ROUNDDOWN(COUNTIF('Paste Here'!$AA$2:$AA$1000,AK64)/2,0)
   )
)</f>
        <v/>
      </c>
      <c r="AM64" s="39" t="str" cm="1">
        <f t="array" ref="AM64">IFERROR(IF(LOOKUP(2,1/($AA$2:$AA$1000=AK64),$AD$2:$AD$1000)=0,"",
LOOKUP(2,1/($AA$2:$AA$1000=AK64),$AD$2:$AD$1000)),"")</f>
        <v/>
      </c>
      <c r="AO64" s="33" t="str" cm="1">
        <f t="array" ref="AO64">IFERROR(INDEX($AA$2:$AA$282,MATCH(0,COUNTIF('Paste Here'!$AK$1:AK63,$AA$2:$AA$282),0)),"")</f>
        <v/>
      </c>
      <c r="AP64" s="33" t="str">
        <f>IF(COUNTIF('Paste Here'!$AK$2:AK64,'Paste Here'!AK64)=1,VALUE('Paste Here'!AK64),"")</f>
        <v/>
      </c>
    </row>
    <row r="65" spans="1:42" x14ac:dyDescent="0.3">
      <c r="A65" s="2"/>
      <c r="B65" s="2"/>
      <c r="C65" s="2"/>
      <c r="D65" s="3"/>
      <c r="E65" s="2"/>
      <c r="F65" s="2"/>
      <c r="G65" s="2"/>
      <c r="H65" s="2"/>
      <c r="AA65" s="33" t="str">
        <f t="shared" si="1"/>
        <v/>
      </c>
      <c r="AC65" s="33">
        <f t="shared" si="0"/>
        <v>1048540</v>
      </c>
      <c r="AD65" s="33" t="str">
        <f t="shared" si="2"/>
        <v/>
      </c>
      <c r="AE65" s="33" t="str" cm="1">
        <f t="array" ref="AE65">LOOKUP(2,1/($AB$2:$AB$1000=AB65),$AD$2:$AD$1000)</f>
        <v/>
      </c>
      <c r="AK65" s="40"/>
      <c r="AL65" s="39" t="str">
        <f>IF(AK65="","",
   IF(
      COUNTIF('Paste Here'!$AA$2:$AA$1000,AK65)=0,
      "",
      ROUNDDOWN(COUNTIF('Paste Here'!$AA$2:$AA$1000,AK65)/2,0)
   )
)</f>
        <v/>
      </c>
      <c r="AM65" s="39" t="str" cm="1">
        <f t="array" ref="AM65">IFERROR(IF(LOOKUP(2,1/($AA$2:$AA$1000=AK65),$AD$2:$AD$1000)=0,"",
LOOKUP(2,1/($AA$2:$AA$1000=AK65),$AD$2:$AD$1000)),"")</f>
        <v/>
      </c>
      <c r="AO65" s="33" t="str" cm="1">
        <f t="array" ref="AO65">IFERROR(INDEX($AA$2:$AA$282,MATCH(0,COUNTIF('Paste Here'!$AK$1:AK64,$AA$2:$AA$282),0)),"")</f>
        <v/>
      </c>
      <c r="AP65" s="33" t="str">
        <f>IF(COUNTIF('Paste Here'!$AK$2:AK65,'Paste Here'!AK65)=1,VALUE('Paste Here'!AK65),"")</f>
        <v/>
      </c>
    </row>
    <row r="66" spans="1:42" x14ac:dyDescent="0.3">
      <c r="A66" s="2"/>
      <c r="B66" s="2"/>
      <c r="C66" s="2"/>
      <c r="D66" s="3"/>
      <c r="E66" s="2"/>
      <c r="F66" s="2"/>
      <c r="G66" s="2"/>
      <c r="H66" s="2"/>
      <c r="AA66" s="33" t="str">
        <f t="shared" si="1"/>
        <v/>
      </c>
      <c r="AC66" s="33">
        <f t="shared" ref="AC66:AC129" si="3">COUNTIF($AA:$AA,AA66)</f>
        <v>1048540</v>
      </c>
      <c r="AD66" s="33" t="str">
        <f t="shared" si="2"/>
        <v/>
      </c>
      <c r="AE66" s="33" t="str" cm="1">
        <f t="array" ref="AE66">LOOKUP(2,1/($AB$2:$AB$1000=AB66),$AD$2:$AD$1000)</f>
        <v/>
      </c>
      <c r="AK66" s="40"/>
      <c r="AL66" s="39" t="str">
        <f>IF(AK66="","",
   IF(
      COUNTIF('Paste Here'!$AA$2:$AA$1000,AK66)=0,
      "",
      ROUNDDOWN(COUNTIF('Paste Here'!$AA$2:$AA$1000,AK66)/2,0)
   )
)</f>
        <v/>
      </c>
      <c r="AM66" s="39" t="str" cm="1">
        <f t="array" ref="AM66">IFERROR(IF(LOOKUP(2,1/($AA$2:$AA$1000=AK66),$AD$2:$AD$1000)=0,"",
LOOKUP(2,1/($AA$2:$AA$1000=AK66),$AD$2:$AD$1000)),"")</f>
        <v/>
      </c>
      <c r="AO66" s="33" t="str" cm="1">
        <f t="array" ref="AO66">IFERROR(INDEX($AA$2:$AA$282,MATCH(0,COUNTIF('Paste Here'!$AK$1:AK65,$AA$2:$AA$282),0)),"")</f>
        <v/>
      </c>
      <c r="AP66" s="33" t="str">
        <f>IF(COUNTIF('Paste Here'!$AK$2:AK66,'Paste Here'!AK66)=1,VALUE('Paste Here'!AK66),"")</f>
        <v/>
      </c>
    </row>
    <row r="67" spans="1:42" x14ac:dyDescent="0.3">
      <c r="A67"/>
      <c r="B67"/>
      <c r="C67"/>
      <c r="D67" s="4"/>
      <c r="E67"/>
      <c r="F67"/>
      <c r="G67"/>
      <c r="H67"/>
      <c r="AA67" s="33" t="str">
        <f t="shared" ref="AA67:AA130" si="4">IFERROR(MID(G67,FIND("LR-",G67)+3,FIND("-",G67,FIND("LR-",G67)+3)-FIND("LR-",G67)-3),"")</f>
        <v/>
      </c>
      <c r="AC67" s="33">
        <f t="shared" si="3"/>
        <v>1048540</v>
      </c>
      <c r="AD67" s="33" t="str">
        <f t="shared" ref="AD67:AD130" si="5">IF(F67=0,"",F67)</f>
        <v/>
      </c>
      <c r="AE67" s="33" t="str" cm="1">
        <f t="array" ref="AE67">LOOKUP(2,1/($AB$2:$AB$1000=AB67),$AD$2:$AD$1000)</f>
        <v/>
      </c>
      <c r="AK67" s="40"/>
      <c r="AL67" s="39" t="str">
        <f>IF(AK67="","",
   IF(
      COUNTIF('Paste Here'!$AA$2:$AA$1000,AK67)=0,
      "",
      ROUNDDOWN(COUNTIF('Paste Here'!$AA$2:$AA$1000,AK67)/2,0)
   )
)</f>
        <v/>
      </c>
      <c r="AM67" s="39" t="str" cm="1">
        <f t="array" ref="AM67">IFERROR(IF(LOOKUP(2,1/($AA$2:$AA$1000=AK67),$AD$2:$AD$1000)=0,"",
LOOKUP(2,1/($AA$2:$AA$1000=AK67),$AD$2:$AD$1000)),"")</f>
        <v/>
      </c>
      <c r="AO67" s="33" t="str" cm="1">
        <f t="array" ref="AO67">IFERROR(INDEX($AA$2:$AA$282,MATCH(0,COUNTIF('Paste Here'!$AK$1:AK66,$AA$2:$AA$282),0)),"")</f>
        <v/>
      </c>
      <c r="AP67" s="33" t="str">
        <f>IF(COUNTIF('Paste Here'!$AK$2:AK67,'Paste Here'!AK67)=1,VALUE('Paste Here'!AK67),"")</f>
        <v/>
      </c>
    </row>
    <row r="68" spans="1:42" x14ac:dyDescent="0.3">
      <c r="A68"/>
      <c r="B68"/>
      <c r="C68"/>
      <c r="D68" s="4"/>
      <c r="E68"/>
      <c r="F68"/>
      <c r="G68"/>
      <c r="H68"/>
      <c r="AA68" s="33" t="str">
        <f t="shared" si="4"/>
        <v/>
      </c>
      <c r="AC68" s="33">
        <f t="shared" si="3"/>
        <v>1048540</v>
      </c>
      <c r="AD68" s="33" t="str">
        <f t="shared" si="5"/>
        <v/>
      </c>
      <c r="AE68" s="33" t="str" cm="1">
        <f t="array" ref="AE68">LOOKUP(2,1/($AB$2:$AB$1000=AB68),$AD$2:$AD$1000)</f>
        <v/>
      </c>
      <c r="AK68" s="40"/>
      <c r="AL68" s="39" t="str">
        <f>IF(AK68="","",
   IF(
      COUNTIF('Paste Here'!$AA$2:$AA$1000,AK68)=0,
      "",
      ROUNDDOWN(COUNTIF('Paste Here'!$AA$2:$AA$1000,AK68)/2,0)
   )
)</f>
        <v/>
      </c>
      <c r="AM68" s="39" t="str" cm="1">
        <f t="array" ref="AM68">IFERROR(IF(LOOKUP(2,1/($AA$2:$AA$1000=AK68),$AD$2:$AD$1000)=0,"",
LOOKUP(2,1/($AA$2:$AA$1000=AK68),$AD$2:$AD$1000)),"")</f>
        <v/>
      </c>
      <c r="AO68" s="33" t="str" cm="1">
        <f t="array" ref="AO68">IFERROR(INDEX($AA$2:$AA$282,MATCH(0,COUNTIF('Paste Here'!$AK$1:AK67,$AA$2:$AA$282),0)),"")</f>
        <v/>
      </c>
      <c r="AP68" s="33" t="str">
        <f>IF(COUNTIF('Paste Here'!$AK$2:AK68,'Paste Here'!AK68)=1,VALUE('Paste Here'!AK68),"")</f>
        <v/>
      </c>
    </row>
    <row r="69" spans="1:42" x14ac:dyDescent="0.3">
      <c r="A69"/>
      <c r="B69"/>
      <c r="C69"/>
      <c r="D69" s="4"/>
      <c r="E69"/>
      <c r="F69"/>
      <c r="G69"/>
      <c r="H69"/>
      <c r="AA69" s="33" t="str">
        <f t="shared" si="4"/>
        <v/>
      </c>
      <c r="AC69" s="33">
        <f t="shared" si="3"/>
        <v>1048540</v>
      </c>
      <c r="AD69" s="33" t="str">
        <f t="shared" si="5"/>
        <v/>
      </c>
      <c r="AE69" s="33" t="str" cm="1">
        <f t="array" ref="AE69">LOOKUP(2,1/($AB$2:$AB$1000=AB69),$AD$2:$AD$1000)</f>
        <v/>
      </c>
      <c r="AK69" s="40"/>
      <c r="AL69" s="39" t="str">
        <f>IF(AK69="","",
   IF(
      COUNTIF('Paste Here'!$AA$2:$AA$1000,AK69)=0,
      "",
      ROUNDDOWN(COUNTIF('Paste Here'!$AA$2:$AA$1000,AK69)/2,0)
   )
)</f>
        <v/>
      </c>
      <c r="AM69" s="39" t="str" cm="1">
        <f t="array" ref="AM69">IFERROR(IF(LOOKUP(2,1/($AA$2:$AA$1000=AK69),$AD$2:$AD$1000)=0,"",
LOOKUP(2,1/($AA$2:$AA$1000=AK69),$AD$2:$AD$1000)),"")</f>
        <v/>
      </c>
      <c r="AO69" s="33" t="str" cm="1">
        <f t="array" ref="AO69">IFERROR(INDEX($AA$2:$AA$282,MATCH(0,COUNTIF('Paste Here'!$AK$1:AK68,$AA$2:$AA$282),0)),"")</f>
        <v/>
      </c>
      <c r="AP69" s="33" t="str">
        <f>IF(COUNTIF('Paste Here'!$AK$2:AK69,'Paste Here'!AK69)=1,VALUE('Paste Here'!AK69),"")</f>
        <v/>
      </c>
    </row>
    <row r="70" spans="1:42" x14ac:dyDescent="0.3">
      <c r="A70" s="2"/>
      <c r="B70" s="2"/>
      <c r="C70" s="2"/>
      <c r="D70" s="3"/>
      <c r="E70" s="2"/>
      <c r="F70" s="2"/>
      <c r="G70" s="2"/>
      <c r="H70" s="2"/>
      <c r="AA70" s="33" t="str">
        <f t="shared" si="4"/>
        <v/>
      </c>
      <c r="AC70" s="33">
        <f t="shared" si="3"/>
        <v>1048540</v>
      </c>
      <c r="AD70" s="33" t="str">
        <f t="shared" si="5"/>
        <v/>
      </c>
      <c r="AE70" s="33" t="str" cm="1">
        <f t="array" ref="AE70">LOOKUP(2,1/($AB$2:$AB$1000=AB70),$AD$2:$AD$1000)</f>
        <v/>
      </c>
      <c r="AK70" s="40"/>
      <c r="AL70" s="39" t="str">
        <f>IF(AK70="","",
   IF(
      COUNTIF('Paste Here'!$AA$2:$AA$1000,AK70)=0,
      "",
      ROUNDDOWN(COUNTIF('Paste Here'!$AA$2:$AA$1000,AK70)/2,0)
   )
)</f>
        <v/>
      </c>
      <c r="AM70" s="39" t="str" cm="1">
        <f t="array" ref="AM70">IFERROR(IF(LOOKUP(2,1/($AA$2:$AA$1000=AK70),$AD$2:$AD$1000)=0,"",
LOOKUP(2,1/($AA$2:$AA$1000=AK70),$AD$2:$AD$1000)),"")</f>
        <v/>
      </c>
      <c r="AO70" s="33" t="str" cm="1">
        <f t="array" ref="AO70">IFERROR(INDEX($AA$2:$AA$282,MATCH(0,COUNTIF('Paste Here'!$AK$1:AK69,$AA$2:$AA$282),0)),"")</f>
        <v/>
      </c>
      <c r="AP70" s="33" t="str">
        <f>IF(COUNTIF('Paste Here'!$AK$2:AK70,'Paste Here'!AK70)=1,VALUE('Paste Here'!AK70),"")</f>
        <v/>
      </c>
    </row>
    <row r="71" spans="1:42" x14ac:dyDescent="0.3">
      <c r="A71" s="2"/>
      <c r="B71" s="2"/>
      <c r="C71" s="2"/>
      <c r="D71" s="3"/>
      <c r="E71" s="2"/>
      <c r="F71" s="2"/>
      <c r="G71" s="2"/>
      <c r="H71" s="2"/>
      <c r="AA71" s="33" t="str">
        <f t="shared" si="4"/>
        <v/>
      </c>
      <c r="AC71" s="33">
        <f t="shared" si="3"/>
        <v>1048540</v>
      </c>
      <c r="AD71" s="33" t="str">
        <f t="shared" si="5"/>
        <v/>
      </c>
      <c r="AE71" s="33" t="str" cm="1">
        <f t="array" ref="AE71">LOOKUP(2,1/($AB$2:$AB$1000=AB71),$AD$2:$AD$1000)</f>
        <v/>
      </c>
      <c r="AK71" s="40"/>
      <c r="AL71" s="39" t="str">
        <f>IF(AK71="","",
   IF(
      COUNTIF('Paste Here'!$AA$2:$AA$1000,AK71)=0,
      "",
      ROUNDDOWN(COUNTIF('Paste Here'!$AA$2:$AA$1000,AK71)/2,0)
   )
)</f>
        <v/>
      </c>
      <c r="AM71" s="39" t="str" cm="1">
        <f t="array" ref="AM71">IFERROR(IF(LOOKUP(2,1/($AA$2:$AA$1000=AK71),$AD$2:$AD$1000)=0,"",
LOOKUP(2,1/($AA$2:$AA$1000=AK71),$AD$2:$AD$1000)),"")</f>
        <v/>
      </c>
      <c r="AO71" s="33" t="str" cm="1">
        <f t="array" ref="AO71">IFERROR(INDEX($AA$2:$AA$282,MATCH(0,COUNTIF('Paste Here'!$AK$1:AK70,$AA$2:$AA$282),0)),"")</f>
        <v/>
      </c>
      <c r="AP71" s="33" t="str">
        <f>IF(COUNTIF('Paste Here'!$AK$2:AK71,'Paste Here'!AK71)=1,VALUE('Paste Here'!AK71),"")</f>
        <v/>
      </c>
    </row>
    <row r="72" spans="1:42" x14ac:dyDescent="0.3">
      <c r="A72" s="2"/>
      <c r="B72" s="2"/>
      <c r="C72" s="2"/>
      <c r="D72" s="3"/>
      <c r="E72" s="2"/>
      <c r="F72" s="2"/>
      <c r="G72" s="2"/>
      <c r="H72" s="2"/>
      <c r="AA72" s="33" t="str">
        <f t="shared" si="4"/>
        <v/>
      </c>
      <c r="AC72" s="33">
        <f t="shared" si="3"/>
        <v>1048540</v>
      </c>
      <c r="AD72" s="33" t="str">
        <f t="shared" si="5"/>
        <v/>
      </c>
      <c r="AE72" s="33" t="str" cm="1">
        <f t="array" ref="AE72">LOOKUP(2,1/($AB$2:$AB$1000=AB72),$AD$2:$AD$1000)</f>
        <v/>
      </c>
      <c r="AK72" s="40"/>
      <c r="AL72" s="39" t="str">
        <f>IF(AK72="","",
   IF(
      COUNTIF('Paste Here'!$AA$2:$AA$1000,AK72)=0,
      "",
      ROUNDDOWN(COUNTIF('Paste Here'!$AA$2:$AA$1000,AK72)/2,0)
   )
)</f>
        <v/>
      </c>
      <c r="AM72" s="39" t="str" cm="1">
        <f t="array" ref="AM72">IFERROR(IF(LOOKUP(2,1/($AA$2:$AA$1000=AK72),$AD$2:$AD$1000)=0,"",
LOOKUP(2,1/($AA$2:$AA$1000=AK72),$AD$2:$AD$1000)),"")</f>
        <v/>
      </c>
      <c r="AO72" s="33" t="str" cm="1">
        <f t="array" ref="AO72">IFERROR(INDEX($AA$2:$AA$282,MATCH(0,COUNTIF('Paste Here'!$AK$1:AK71,$AA$2:$AA$282),0)),"")</f>
        <v/>
      </c>
      <c r="AP72" s="33" t="str">
        <f>IF(COUNTIF('Paste Here'!$AK$2:AK72,'Paste Here'!AK72)=1,VALUE('Paste Here'!AK72),"")</f>
        <v/>
      </c>
    </row>
    <row r="73" spans="1:42" x14ac:dyDescent="0.3">
      <c r="A73"/>
      <c r="B73"/>
      <c r="C73"/>
      <c r="D73" s="4"/>
      <c r="E73"/>
      <c r="F73"/>
      <c r="G73"/>
      <c r="H73"/>
      <c r="AA73" s="33" t="str">
        <f t="shared" si="4"/>
        <v/>
      </c>
      <c r="AC73" s="33">
        <f t="shared" si="3"/>
        <v>1048540</v>
      </c>
      <c r="AD73" s="33" t="str">
        <f t="shared" si="5"/>
        <v/>
      </c>
      <c r="AE73" s="33" t="str" cm="1">
        <f t="array" ref="AE73">LOOKUP(2,1/($AB$2:$AB$1000=AB73),$AD$2:$AD$1000)</f>
        <v/>
      </c>
      <c r="AK73" s="40"/>
      <c r="AL73" s="39" t="str">
        <f>IF(AK73="","",
   IF(
      COUNTIF('Paste Here'!$AA$2:$AA$1000,AK73)=0,
      "",
      ROUNDDOWN(COUNTIF('Paste Here'!$AA$2:$AA$1000,AK73)/2,0)
   )
)</f>
        <v/>
      </c>
      <c r="AM73" s="39" t="str" cm="1">
        <f t="array" ref="AM73">IFERROR(IF(LOOKUP(2,1/($AA$2:$AA$1000=AK73),$AD$2:$AD$1000)=0,"",
LOOKUP(2,1/($AA$2:$AA$1000=AK73),$AD$2:$AD$1000)),"")</f>
        <v/>
      </c>
      <c r="AO73" s="33" t="str" cm="1">
        <f t="array" ref="AO73">IFERROR(INDEX($AA$2:$AA$282,MATCH(0,COUNTIF('Paste Here'!$AK$1:AK72,$AA$2:$AA$282),0)),"")</f>
        <v/>
      </c>
      <c r="AP73" s="33" t="str">
        <f>IF(COUNTIF('Paste Here'!$AK$2:AK73,'Paste Here'!AK73)=1,VALUE('Paste Here'!AK73),"")</f>
        <v/>
      </c>
    </row>
    <row r="74" spans="1:42" x14ac:dyDescent="0.3">
      <c r="A74"/>
      <c r="B74"/>
      <c r="C74"/>
      <c r="D74" s="4"/>
      <c r="E74"/>
      <c r="F74"/>
      <c r="G74"/>
      <c r="H74"/>
      <c r="AA74" s="33" t="str">
        <f t="shared" si="4"/>
        <v/>
      </c>
      <c r="AC74" s="33">
        <f t="shared" si="3"/>
        <v>1048540</v>
      </c>
      <c r="AD74" s="33" t="str">
        <f t="shared" si="5"/>
        <v/>
      </c>
      <c r="AE74" s="33" t="str" cm="1">
        <f t="array" ref="AE74">LOOKUP(2,1/($AB$2:$AB$1000=AB74),$AD$2:$AD$1000)</f>
        <v/>
      </c>
      <c r="AK74" s="40"/>
      <c r="AL74" s="39" t="str">
        <f>IF(AK74="","",
   IF(
      COUNTIF('Paste Here'!$AA$2:$AA$1000,AK74)=0,
      "",
      ROUNDDOWN(COUNTIF('Paste Here'!$AA$2:$AA$1000,AK74)/2,0)
   )
)</f>
        <v/>
      </c>
      <c r="AM74" s="39" t="str" cm="1">
        <f t="array" ref="AM74">IFERROR(IF(LOOKUP(2,1/($AA$2:$AA$1000=AK74),$AD$2:$AD$1000)=0,"",
LOOKUP(2,1/($AA$2:$AA$1000=AK74),$AD$2:$AD$1000)),"")</f>
        <v/>
      </c>
      <c r="AO74" s="33" t="str" cm="1">
        <f t="array" ref="AO74">IFERROR(INDEX($AA$2:$AA$282,MATCH(0,COUNTIF('Paste Here'!$AK$1:AK73,$AA$2:$AA$282),0)),"")</f>
        <v/>
      </c>
      <c r="AP74" s="33" t="str">
        <f>IF(COUNTIF('Paste Here'!$AK$2:AK74,'Paste Here'!AK74)=1,VALUE('Paste Here'!AK74),"")</f>
        <v/>
      </c>
    </row>
    <row r="75" spans="1:42" x14ac:dyDescent="0.3">
      <c r="A75"/>
      <c r="B75"/>
      <c r="C75"/>
      <c r="D75" s="4"/>
      <c r="E75"/>
      <c r="F75"/>
      <c r="G75"/>
      <c r="H75"/>
      <c r="AA75" s="33" t="str">
        <f t="shared" si="4"/>
        <v/>
      </c>
      <c r="AC75" s="33">
        <f t="shared" si="3"/>
        <v>1048540</v>
      </c>
      <c r="AD75" s="33" t="str">
        <f t="shared" si="5"/>
        <v/>
      </c>
      <c r="AE75" s="33" t="str" cm="1">
        <f t="array" ref="AE75">LOOKUP(2,1/($AB$2:$AB$1000=AB75),$AD$2:$AD$1000)</f>
        <v/>
      </c>
      <c r="AK75" s="40"/>
      <c r="AL75" s="39" t="str">
        <f>IF(AK75="","",
   IF(
      COUNTIF('Paste Here'!$AA$2:$AA$1000,AK75)=0,
      "",
      ROUNDDOWN(COUNTIF('Paste Here'!$AA$2:$AA$1000,AK75)/2,0)
   )
)</f>
        <v/>
      </c>
      <c r="AM75" s="39" t="str" cm="1">
        <f t="array" ref="AM75">IFERROR(IF(LOOKUP(2,1/($AA$2:$AA$1000=AK75),$AD$2:$AD$1000)=0,"",
LOOKUP(2,1/($AA$2:$AA$1000=AK75),$AD$2:$AD$1000)),"")</f>
        <v/>
      </c>
      <c r="AO75" s="33" t="str" cm="1">
        <f t="array" ref="AO75">IFERROR(INDEX($AA$2:$AA$282,MATCH(0,COUNTIF('Paste Here'!$AK$1:AK74,$AA$2:$AA$282),0)),"")</f>
        <v/>
      </c>
      <c r="AP75" s="33" t="str">
        <f>IF(COUNTIF('Paste Here'!$AK$2:AK75,'Paste Here'!AK75)=1,VALUE('Paste Here'!AK75),"")</f>
        <v/>
      </c>
    </row>
    <row r="76" spans="1:42" x14ac:dyDescent="0.3">
      <c r="A76"/>
      <c r="B76"/>
      <c r="C76"/>
      <c r="D76" s="4"/>
      <c r="E76"/>
      <c r="F76"/>
      <c r="G76"/>
      <c r="H76"/>
      <c r="AA76" s="33" t="str">
        <f t="shared" si="4"/>
        <v/>
      </c>
      <c r="AC76" s="33">
        <f t="shared" si="3"/>
        <v>1048540</v>
      </c>
      <c r="AD76" s="33" t="str">
        <f t="shared" si="5"/>
        <v/>
      </c>
      <c r="AE76" s="33" t="str" cm="1">
        <f t="array" ref="AE76">LOOKUP(2,1/($AB$2:$AB$1000=AB76),$AD$2:$AD$1000)</f>
        <v/>
      </c>
      <c r="AK76" s="40"/>
      <c r="AL76" s="39" t="str">
        <f>IF(AK76="","",
   IF(
      COUNTIF('Paste Here'!$AA$2:$AA$1000,AK76)=0,
      "",
      ROUNDDOWN(COUNTIF('Paste Here'!$AA$2:$AA$1000,AK76)/2,0)
   )
)</f>
        <v/>
      </c>
      <c r="AM76" s="39" t="str" cm="1">
        <f t="array" ref="AM76">IFERROR(IF(LOOKUP(2,1/($AA$2:$AA$1000=AK76),$AD$2:$AD$1000)=0,"",
LOOKUP(2,1/($AA$2:$AA$1000=AK76),$AD$2:$AD$1000)),"")</f>
        <v/>
      </c>
      <c r="AO76" s="33" t="str" cm="1">
        <f t="array" ref="AO76">IFERROR(INDEX($AA$2:$AA$282,MATCH(0,COUNTIF('Paste Here'!$AK$1:AK75,$AA$2:$AA$282),0)),"")</f>
        <v/>
      </c>
      <c r="AP76" s="33" t="str">
        <f>IF(COUNTIF('Paste Here'!$AK$2:AK76,'Paste Here'!AK76)=1,VALUE('Paste Here'!AK76),"")</f>
        <v/>
      </c>
    </row>
    <row r="77" spans="1:42" x14ac:dyDescent="0.3">
      <c r="A77"/>
      <c r="B77"/>
      <c r="C77"/>
      <c r="D77" s="4"/>
      <c r="E77"/>
      <c r="F77"/>
      <c r="G77"/>
      <c r="H77"/>
      <c r="AA77" s="33" t="str">
        <f t="shared" si="4"/>
        <v/>
      </c>
      <c r="AC77" s="33">
        <f t="shared" si="3"/>
        <v>1048540</v>
      </c>
      <c r="AD77" s="33" t="str">
        <f t="shared" si="5"/>
        <v/>
      </c>
      <c r="AE77" s="33" t="str" cm="1">
        <f t="array" ref="AE77">LOOKUP(2,1/($AB$2:$AB$1000=AB77),$AD$2:$AD$1000)</f>
        <v/>
      </c>
      <c r="AK77" s="40"/>
      <c r="AL77" s="39" t="str">
        <f>IF(AK77="","",
   IF(
      COUNTIF('Paste Here'!$AA$2:$AA$1000,AK77)=0,
      "",
      ROUNDDOWN(COUNTIF('Paste Here'!$AA$2:$AA$1000,AK77)/2,0)
   )
)</f>
        <v/>
      </c>
      <c r="AM77" s="39" t="str" cm="1">
        <f t="array" ref="AM77">IFERROR(IF(LOOKUP(2,1/($AA$2:$AA$1000=AK77),$AD$2:$AD$1000)=0,"",
LOOKUP(2,1/($AA$2:$AA$1000=AK77),$AD$2:$AD$1000)),"")</f>
        <v/>
      </c>
      <c r="AO77" s="33" t="str" cm="1">
        <f t="array" ref="AO77">IFERROR(INDEX($AA$2:$AA$282,MATCH(0,COUNTIF('Paste Here'!$AK$1:AK76,$AA$2:$AA$282),0)),"")</f>
        <v/>
      </c>
      <c r="AP77" s="33" t="str">
        <f>IF(COUNTIF('Paste Here'!$AK$2:AK77,'Paste Here'!AK77)=1,VALUE('Paste Here'!AK77),"")</f>
        <v/>
      </c>
    </row>
    <row r="78" spans="1:42" x14ac:dyDescent="0.3">
      <c r="A78"/>
      <c r="B78"/>
      <c r="C78"/>
      <c r="D78" s="4"/>
      <c r="E78"/>
      <c r="F78"/>
      <c r="G78"/>
      <c r="H78"/>
      <c r="AA78" s="33" t="str">
        <f t="shared" si="4"/>
        <v/>
      </c>
      <c r="AC78" s="33">
        <f t="shared" si="3"/>
        <v>1048540</v>
      </c>
      <c r="AD78" s="33" t="str">
        <f t="shared" si="5"/>
        <v/>
      </c>
      <c r="AE78" s="33" t="str" cm="1">
        <f t="array" ref="AE78">LOOKUP(2,1/($AB$2:$AB$1000=AB78),$AD$2:$AD$1000)</f>
        <v/>
      </c>
      <c r="AK78" s="40"/>
      <c r="AL78" s="39" t="str">
        <f>IF(AK78="","",
   IF(
      COUNTIF('Paste Here'!$AA$2:$AA$1000,AK78)=0,
      "",
      ROUNDDOWN(COUNTIF('Paste Here'!$AA$2:$AA$1000,AK78)/2,0)
   )
)</f>
        <v/>
      </c>
      <c r="AM78" s="39" t="str" cm="1">
        <f t="array" ref="AM78">IFERROR(IF(LOOKUP(2,1/($AA$2:$AA$1000=AK78),$AD$2:$AD$1000)=0,"",
LOOKUP(2,1/($AA$2:$AA$1000=AK78),$AD$2:$AD$1000)),"")</f>
        <v/>
      </c>
      <c r="AO78" s="33" t="str" cm="1">
        <f t="array" ref="AO78">IFERROR(INDEX($AA$2:$AA$282,MATCH(0,COUNTIF('Paste Here'!$AK$1:AK77,$AA$2:$AA$282),0)),"")</f>
        <v/>
      </c>
      <c r="AP78" s="33" t="str">
        <f>IF(COUNTIF('Paste Here'!$AK$2:AK78,'Paste Here'!AK78)=1,VALUE('Paste Here'!AK78),"")</f>
        <v/>
      </c>
    </row>
    <row r="79" spans="1:42" x14ac:dyDescent="0.3">
      <c r="A79"/>
      <c r="B79"/>
      <c r="C79"/>
      <c r="D79" s="4"/>
      <c r="E79"/>
      <c r="F79"/>
      <c r="G79"/>
      <c r="H79"/>
      <c r="AA79" s="33" t="str">
        <f t="shared" si="4"/>
        <v/>
      </c>
      <c r="AC79" s="33">
        <f t="shared" si="3"/>
        <v>1048540</v>
      </c>
      <c r="AD79" s="33" t="str">
        <f t="shared" si="5"/>
        <v/>
      </c>
      <c r="AE79" s="33" t="str" cm="1">
        <f t="array" ref="AE79">LOOKUP(2,1/($AB$2:$AB$1000=AB79),$AD$2:$AD$1000)</f>
        <v/>
      </c>
      <c r="AK79" s="40"/>
      <c r="AL79" s="39" t="str">
        <f>IF(AK79="","",
   IF(
      COUNTIF('Paste Here'!$AA$2:$AA$1000,AK79)=0,
      "",
      ROUNDDOWN(COUNTIF('Paste Here'!$AA$2:$AA$1000,AK79)/2,0)
   )
)</f>
        <v/>
      </c>
      <c r="AM79" s="39" t="str" cm="1">
        <f t="array" ref="AM79">IFERROR(IF(LOOKUP(2,1/($AA$2:$AA$1000=AK79),$AD$2:$AD$1000)=0,"",
LOOKUP(2,1/($AA$2:$AA$1000=AK79),$AD$2:$AD$1000)),"")</f>
        <v/>
      </c>
      <c r="AO79" s="33" t="str" cm="1">
        <f t="array" ref="AO79">IFERROR(INDEX($AA$2:$AA$282,MATCH(0,COUNTIF('Paste Here'!$AK$1:AK78,$AA$2:$AA$282),0)),"")</f>
        <v/>
      </c>
      <c r="AP79" s="33" t="str">
        <f>IF(COUNTIF('Paste Here'!$AK$2:AK79,'Paste Here'!AK79)=1,VALUE('Paste Here'!AK79),"")</f>
        <v/>
      </c>
    </row>
    <row r="80" spans="1:42" x14ac:dyDescent="0.3">
      <c r="A80"/>
      <c r="B80"/>
      <c r="C80"/>
      <c r="D80" s="4"/>
      <c r="E80"/>
      <c r="F80"/>
      <c r="G80"/>
      <c r="H80"/>
      <c r="AA80" s="33" t="str">
        <f t="shared" si="4"/>
        <v/>
      </c>
      <c r="AC80" s="33">
        <f t="shared" si="3"/>
        <v>1048540</v>
      </c>
      <c r="AD80" s="33" t="str">
        <f t="shared" si="5"/>
        <v/>
      </c>
      <c r="AE80" s="33" t="str" cm="1">
        <f t="array" ref="AE80">LOOKUP(2,1/($AB$2:$AB$1000=AB80),$AD$2:$AD$1000)</f>
        <v/>
      </c>
      <c r="AK80" s="40"/>
      <c r="AL80" s="39" t="str">
        <f>IF(AK80="","",
   IF(
      COUNTIF('Paste Here'!$AA$2:$AA$1000,AK80)=0,
      "",
      ROUNDDOWN(COUNTIF('Paste Here'!$AA$2:$AA$1000,AK80)/2,0)
   )
)</f>
        <v/>
      </c>
      <c r="AM80" s="39" t="str" cm="1">
        <f t="array" ref="AM80">IFERROR(IF(LOOKUP(2,1/($AA$2:$AA$1000=AK80),$AD$2:$AD$1000)=0,"",
LOOKUP(2,1/($AA$2:$AA$1000=AK80),$AD$2:$AD$1000)),"")</f>
        <v/>
      </c>
      <c r="AO80" s="33" t="str" cm="1">
        <f t="array" ref="AO80">IFERROR(INDEX($AA$2:$AA$282,MATCH(0,COUNTIF('Paste Here'!$AK$1:AK79,$AA$2:$AA$282),0)),"")</f>
        <v/>
      </c>
      <c r="AP80" s="33" t="str">
        <f>IF(COUNTIF('Paste Here'!$AK$2:AK80,'Paste Here'!AK80)=1,VALUE('Paste Here'!AK80),"")</f>
        <v/>
      </c>
    </row>
    <row r="81" spans="1:42" x14ac:dyDescent="0.3">
      <c r="A81"/>
      <c r="B81"/>
      <c r="C81"/>
      <c r="D81" s="4"/>
      <c r="E81"/>
      <c r="F81"/>
      <c r="G81"/>
      <c r="H81"/>
      <c r="AA81" s="33" t="str">
        <f t="shared" si="4"/>
        <v/>
      </c>
      <c r="AC81" s="33">
        <f t="shared" si="3"/>
        <v>1048540</v>
      </c>
      <c r="AD81" s="33" t="str">
        <f t="shared" si="5"/>
        <v/>
      </c>
      <c r="AE81" s="33" t="str" cm="1">
        <f t="array" ref="AE81">LOOKUP(2,1/($AB$2:$AB$1000=AB81),$AD$2:$AD$1000)</f>
        <v/>
      </c>
      <c r="AK81" s="40"/>
      <c r="AL81" s="39" t="str">
        <f>IF(AK81="","",
   IF(
      COUNTIF('Paste Here'!$AA$2:$AA$1000,AK81)=0,
      "",
      ROUNDDOWN(COUNTIF('Paste Here'!$AA$2:$AA$1000,AK81)/2,0)
   )
)</f>
        <v/>
      </c>
      <c r="AM81" s="39" t="str" cm="1">
        <f t="array" ref="AM81">IFERROR(IF(LOOKUP(2,1/($AA$2:$AA$1000=AK81),$AD$2:$AD$1000)=0,"",
LOOKUP(2,1/($AA$2:$AA$1000=AK81),$AD$2:$AD$1000)),"")</f>
        <v/>
      </c>
      <c r="AO81" s="33" t="str" cm="1">
        <f t="array" ref="AO81">IFERROR(INDEX($AA$2:$AA$282,MATCH(0,COUNTIF('Paste Here'!$AK$1:AK80,$AA$2:$AA$282),0)),"")</f>
        <v/>
      </c>
      <c r="AP81" s="33" t="str">
        <f>IF(COUNTIF('Paste Here'!$AK$2:AK81,'Paste Here'!AK81)=1,VALUE('Paste Here'!AK81),"")</f>
        <v/>
      </c>
    </row>
    <row r="82" spans="1:42" x14ac:dyDescent="0.3">
      <c r="A82"/>
      <c r="B82"/>
      <c r="C82"/>
      <c r="D82" s="4"/>
      <c r="E82"/>
      <c r="F82"/>
      <c r="G82"/>
      <c r="H82"/>
      <c r="AA82" s="33" t="str">
        <f t="shared" si="4"/>
        <v/>
      </c>
      <c r="AC82" s="33">
        <f t="shared" si="3"/>
        <v>1048540</v>
      </c>
      <c r="AD82" s="33" t="str">
        <f t="shared" si="5"/>
        <v/>
      </c>
      <c r="AE82" s="33" t="str" cm="1">
        <f t="array" ref="AE82">LOOKUP(2,1/($AB$2:$AB$1000=AB82),$AD$2:$AD$1000)</f>
        <v/>
      </c>
      <c r="AK82" s="40"/>
      <c r="AL82" s="39" t="str">
        <f>IF(AK82="","",
   IF(
      COUNTIF('Paste Here'!$AA$2:$AA$1000,AK82)=0,
      "",
      ROUNDDOWN(COUNTIF('Paste Here'!$AA$2:$AA$1000,AK82)/2,0)
   )
)</f>
        <v/>
      </c>
      <c r="AM82" s="39" t="str" cm="1">
        <f t="array" ref="AM82">IFERROR(IF(LOOKUP(2,1/($AA$2:$AA$1000=AK82),$AD$2:$AD$1000)=0,"",
LOOKUP(2,1/($AA$2:$AA$1000=AK82),$AD$2:$AD$1000)),"")</f>
        <v/>
      </c>
      <c r="AO82" s="33" t="str" cm="1">
        <f t="array" ref="AO82">IFERROR(INDEX($AA$2:$AA$282,MATCH(0,COUNTIF('Paste Here'!$AK$1:AK81,$AA$2:$AA$282),0)),"")</f>
        <v/>
      </c>
      <c r="AP82" s="33" t="str">
        <f>IF(COUNTIF('Paste Here'!$AK$2:AK82,'Paste Here'!AK82)=1,VALUE('Paste Here'!AK82),"")</f>
        <v/>
      </c>
    </row>
    <row r="83" spans="1:42" x14ac:dyDescent="0.3">
      <c r="A83"/>
      <c r="B83"/>
      <c r="C83"/>
      <c r="D83" s="4"/>
      <c r="E83"/>
      <c r="F83"/>
      <c r="G83"/>
      <c r="H83"/>
      <c r="AA83" s="33" t="str">
        <f t="shared" si="4"/>
        <v/>
      </c>
      <c r="AC83" s="33">
        <f t="shared" si="3"/>
        <v>1048540</v>
      </c>
      <c r="AD83" s="33" t="str">
        <f t="shared" si="5"/>
        <v/>
      </c>
      <c r="AE83" s="33" t="str" cm="1">
        <f t="array" ref="AE83">LOOKUP(2,1/($AB$2:$AB$1000=AB83),$AD$2:$AD$1000)</f>
        <v/>
      </c>
      <c r="AK83" s="40"/>
      <c r="AL83" s="39" t="str">
        <f>IF(AK83="","",
   IF(
      COUNTIF('Paste Here'!$AA$2:$AA$1000,AK83)=0,
      "",
      ROUNDDOWN(COUNTIF('Paste Here'!$AA$2:$AA$1000,AK83)/2,0)
   )
)</f>
        <v/>
      </c>
      <c r="AM83" s="39" t="str" cm="1">
        <f t="array" ref="AM83">IFERROR(IF(LOOKUP(2,1/($AA$2:$AA$1000=AK83),$AD$2:$AD$1000)=0,"",
LOOKUP(2,1/($AA$2:$AA$1000=AK83),$AD$2:$AD$1000)),"")</f>
        <v/>
      </c>
      <c r="AO83" s="33" t="str" cm="1">
        <f t="array" ref="AO83">IFERROR(INDEX($AA$2:$AA$282,MATCH(0,COUNTIF('Paste Here'!$AK$1:AK82,$AA$2:$AA$282),0)),"")</f>
        <v/>
      </c>
      <c r="AP83" s="33" t="str">
        <f>IF(COUNTIF('Paste Here'!$AK$2:AK83,'Paste Here'!AK83)=1,VALUE('Paste Here'!AK83),"")</f>
        <v/>
      </c>
    </row>
    <row r="84" spans="1:42" x14ac:dyDescent="0.3">
      <c r="A84"/>
      <c r="B84"/>
      <c r="C84"/>
      <c r="D84" s="4"/>
      <c r="E84"/>
      <c r="F84"/>
      <c r="G84"/>
      <c r="H84"/>
      <c r="AA84" s="33" t="str">
        <f t="shared" si="4"/>
        <v/>
      </c>
      <c r="AC84" s="33">
        <f t="shared" si="3"/>
        <v>1048540</v>
      </c>
      <c r="AD84" s="33" t="str">
        <f t="shared" si="5"/>
        <v/>
      </c>
      <c r="AE84" s="33" t="str" cm="1">
        <f t="array" ref="AE84">LOOKUP(2,1/($AB$2:$AB$1000=AB84),$AD$2:$AD$1000)</f>
        <v/>
      </c>
      <c r="AK84" s="40"/>
      <c r="AL84" s="39" t="str">
        <f>IF(AK84="","",
   IF(
      COUNTIF('Paste Here'!$AA$2:$AA$1000,AK84)=0,
      "",
      ROUNDDOWN(COUNTIF('Paste Here'!$AA$2:$AA$1000,AK84)/2,0)
   )
)</f>
        <v/>
      </c>
      <c r="AM84" s="39" t="str" cm="1">
        <f t="array" ref="AM84">IFERROR(IF(LOOKUP(2,1/($AA$2:$AA$1000=AK84),$AD$2:$AD$1000)=0,"",
LOOKUP(2,1/($AA$2:$AA$1000=AK84),$AD$2:$AD$1000)),"")</f>
        <v/>
      </c>
      <c r="AO84" s="33" t="str" cm="1">
        <f t="array" ref="AO84">IFERROR(INDEX($AA$2:$AA$282,MATCH(0,COUNTIF('Paste Here'!$AK$1:AK83,$AA$2:$AA$282),0)),"")</f>
        <v/>
      </c>
      <c r="AP84" s="33" t="str">
        <f>IF(COUNTIF('Paste Here'!$AK$2:AK84,'Paste Here'!AK84)=1,VALUE('Paste Here'!AK84),"")</f>
        <v/>
      </c>
    </row>
    <row r="85" spans="1:42" x14ac:dyDescent="0.3">
      <c r="A85"/>
      <c r="B85"/>
      <c r="C85"/>
      <c r="D85" s="4"/>
      <c r="E85"/>
      <c r="F85"/>
      <c r="G85"/>
      <c r="H85"/>
      <c r="AA85" s="33" t="str">
        <f t="shared" si="4"/>
        <v/>
      </c>
      <c r="AC85" s="33">
        <f t="shared" si="3"/>
        <v>1048540</v>
      </c>
      <c r="AD85" s="33" t="str">
        <f t="shared" si="5"/>
        <v/>
      </c>
      <c r="AE85" s="33" t="str" cm="1">
        <f t="array" ref="AE85">LOOKUP(2,1/($AB$2:$AB$1000=AB85),$AD$2:$AD$1000)</f>
        <v/>
      </c>
      <c r="AK85" s="40"/>
      <c r="AL85" s="39" t="str">
        <f>IF(AK85="","",
   IF(
      COUNTIF('Paste Here'!$AA$2:$AA$1000,AK85)=0,
      "",
      ROUNDDOWN(COUNTIF('Paste Here'!$AA$2:$AA$1000,AK85)/2,0)
   )
)</f>
        <v/>
      </c>
      <c r="AM85" s="39" t="str" cm="1">
        <f t="array" ref="AM85">IFERROR(IF(LOOKUP(2,1/($AA$2:$AA$1000=AK85),$AD$2:$AD$1000)=0,"",
LOOKUP(2,1/($AA$2:$AA$1000=AK85),$AD$2:$AD$1000)),"")</f>
        <v/>
      </c>
      <c r="AO85" s="33" t="str" cm="1">
        <f t="array" ref="AO85">IFERROR(INDEX($AA$2:$AA$282,MATCH(0,COUNTIF('Paste Here'!$AK$1:AK84,$AA$2:$AA$282),0)),"")</f>
        <v/>
      </c>
      <c r="AP85" s="33" t="str">
        <f>IF(COUNTIF('Paste Here'!$AK$2:AK85,'Paste Here'!AK85)=1,VALUE('Paste Here'!AK85),"")</f>
        <v/>
      </c>
    </row>
    <row r="86" spans="1:42" x14ac:dyDescent="0.3">
      <c r="A86"/>
      <c r="B86"/>
      <c r="C86"/>
      <c r="D86" s="4"/>
      <c r="E86"/>
      <c r="F86"/>
      <c r="G86"/>
      <c r="H86"/>
      <c r="AA86" s="33" t="str">
        <f t="shared" si="4"/>
        <v/>
      </c>
      <c r="AC86" s="33">
        <f t="shared" si="3"/>
        <v>1048540</v>
      </c>
      <c r="AD86" s="33" t="str">
        <f t="shared" si="5"/>
        <v/>
      </c>
      <c r="AE86" s="33" t="str" cm="1">
        <f t="array" ref="AE86">LOOKUP(2,1/($AB$2:$AB$1000=AB86),$AD$2:$AD$1000)</f>
        <v/>
      </c>
      <c r="AK86" s="40"/>
      <c r="AL86" s="39" t="str">
        <f>IF(AK86="","",
   IF(
      COUNTIF('Paste Here'!$AA$2:$AA$1000,AK86)=0,
      "",
      ROUNDDOWN(COUNTIF('Paste Here'!$AA$2:$AA$1000,AK86)/2,0)
   )
)</f>
        <v/>
      </c>
      <c r="AM86" s="39" t="str" cm="1">
        <f t="array" ref="AM86">IFERROR(IF(LOOKUP(2,1/($AA$2:$AA$1000=AK86),$AD$2:$AD$1000)=0,"",
LOOKUP(2,1/($AA$2:$AA$1000=AK86),$AD$2:$AD$1000)),"")</f>
        <v/>
      </c>
      <c r="AO86" s="33" t="str" cm="1">
        <f t="array" ref="AO86">IFERROR(INDEX($AA$2:$AA$282,MATCH(0,COUNTIF('Paste Here'!$AK$1:AK85,$AA$2:$AA$282),0)),"")</f>
        <v/>
      </c>
      <c r="AP86" s="33" t="str">
        <f>IF(COUNTIF('Paste Here'!$AK$2:AK86,'Paste Here'!AK86)=1,VALUE('Paste Here'!AK86),"")</f>
        <v/>
      </c>
    </row>
    <row r="87" spans="1:42" x14ac:dyDescent="0.3">
      <c r="A87"/>
      <c r="B87"/>
      <c r="C87"/>
      <c r="D87" s="4"/>
      <c r="E87"/>
      <c r="F87"/>
      <c r="G87"/>
      <c r="H87"/>
      <c r="AA87" s="33" t="str">
        <f t="shared" si="4"/>
        <v/>
      </c>
      <c r="AC87" s="33">
        <f t="shared" si="3"/>
        <v>1048540</v>
      </c>
      <c r="AD87" s="33" t="str">
        <f t="shared" si="5"/>
        <v/>
      </c>
      <c r="AE87" s="33" t="str" cm="1">
        <f t="array" ref="AE87">LOOKUP(2,1/($AB$2:$AB$1000=AB87),$AD$2:$AD$1000)</f>
        <v/>
      </c>
      <c r="AK87" s="40"/>
      <c r="AL87" s="39" t="str">
        <f>IF(AK87="","",
   IF(
      COUNTIF('Paste Here'!$AA$2:$AA$1000,AK87)=0,
      "",
      ROUNDDOWN(COUNTIF('Paste Here'!$AA$2:$AA$1000,AK87)/2,0)
   )
)</f>
        <v/>
      </c>
      <c r="AM87" s="39" t="str" cm="1">
        <f t="array" ref="AM87">IFERROR(IF(LOOKUP(2,1/($AA$2:$AA$1000=AK87),$AD$2:$AD$1000)=0,"",
LOOKUP(2,1/($AA$2:$AA$1000=AK87),$AD$2:$AD$1000)),"")</f>
        <v/>
      </c>
      <c r="AO87" s="33" t="str" cm="1">
        <f t="array" ref="AO87">IFERROR(INDEX($AA$2:$AA$282,MATCH(0,COUNTIF('Paste Here'!$AK$1:AK86,$AA$2:$AA$282),0)),"")</f>
        <v/>
      </c>
      <c r="AP87" s="33" t="str">
        <f>IF(COUNTIF('Paste Here'!$AK$2:AK87,'Paste Here'!AK87)=1,VALUE('Paste Here'!AK87),"")</f>
        <v/>
      </c>
    </row>
    <row r="88" spans="1:42" x14ac:dyDescent="0.3">
      <c r="A88"/>
      <c r="B88"/>
      <c r="C88"/>
      <c r="D88" s="4"/>
      <c r="E88"/>
      <c r="F88"/>
      <c r="G88"/>
      <c r="H88"/>
      <c r="AA88" s="33" t="str">
        <f t="shared" si="4"/>
        <v/>
      </c>
      <c r="AC88" s="33">
        <f t="shared" si="3"/>
        <v>1048540</v>
      </c>
      <c r="AD88" s="33" t="str">
        <f t="shared" si="5"/>
        <v/>
      </c>
      <c r="AE88" s="33" t="str" cm="1">
        <f t="array" ref="AE88">LOOKUP(2,1/($AB$2:$AB$1000=AB88),$AD$2:$AD$1000)</f>
        <v/>
      </c>
      <c r="AK88" s="40"/>
      <c r="AL88" s="39" t="str">
        <f>IF(AK88="","",
   IF(
      COUNTIF('Paste Here'!$AA$2:$AA$1000,AK88)=0,
      "",
      ROUNDDOWN(COUNTIF('Paste Here'!$AA$2:$AA$1000,AK88)/2,0)
   )
)</f>
        <v/>
      </c>
      <c r="AM88" s="39" t="str" cm="1">
        <f t="array" ref="AM88">IFERROR(IF(LOOKUP(2,1/($AA$2:$AA$1000=AK88),$AD$2:$AD$1000)=0,"",
LOOKUP(2,1/($AA$2:$AA$1000=AK88),$AD$2:$AD$1000)),"")</f>
        <v/>
      </c>
      <c r="AO88" s="33" t="str" cm="1">
        <f t="array" ref="AO88">IFERROR(INDEX($AA$2:$AA$282,MATCH(0,COUNTIF('Paste Here'!$AK$1:AK87,$AA$2:$AA$282),0)),"")</f>
        <v/>
      </c>
      <c r="AP88" s="33" t="str">
        <f>IF(COUNTIF('Paste Here'!$AK$2:AK88,'Paste Here'!AK88)=1,VALUE('Paste Here'!AK88),"")</f>
        <v/>
      </c>
    </row>
    <row r="89" spans="1:42" x14ac:dyDescent="0.3">
      <c r="A89"/>
      <c r="B89"/>
      <c r="C89"/>
      <c r="D89" s="4"/>
      <c r="E89"/>
      <c r="F89"/>
      <c r="G89"/>
      <c r="H89"/>
      <c r="AA89" s="33" t="str">
        <f t="shared" si="4"/>
        <v/>
      </c>
      <c r="AC89" s="33">
        <f t="shared" si="3"/>
        <v>1048540</v>
      </c>
      <c r="AD89" s="33" t="str">
        <f t="shared" si="5"/>
        <v/>
      </c>
      <c r="AE89" s="33" t="str" cm="1">
        <f t="array" ref="AE89">LOOKUP(2,1/($AB$2:$AB$1000=AB89),$AD$2:$AD$1000)</f>
        <v/>
      </c>
      <c r="AK89" s="40"/>
      <c r="AL89" s="39" t="str">
        <f>IF(AK89="","",
   IF(
      COUNTIF('Paste Here'!$AA$2:$AA$1000,AK89)=0,
      "",
      ROUNDDOWN(COUNTIF('Paste Here'!$AA$2:$AA$1000,AK89)/2,0)
   )
)</f>
        <v/>
      </c>
      <c r="AM89" s="39" t="str" cm="1">
        <f t="array" ref="AM89">IFERROR(IF(LOOKUP(2,1/($AA$2:$AA$1000=AK89),$AD$2:$AD$1000)=0,"",
LOOKUP(2,1/($AA$2:$AA$1000=AK89),$AD$2:$AD$1000)),"")</f>
        <v/>
      </c>
      <c r="AO89" s="33" t="str" cm="1">
        <f t="array" ref="AO89">IFERROR(INDEX($AA$2:$AA$282,MATCH(0,COUNTIF('Paste Here'!$AK$1:AK88,$AA$2:$AA$282),0)),"")</f>
        <v/>
      </c>
      <c r="AP89" s="33" t="str">
        <f>IF(COUNTIF('Paste Here'!$AK$2:AK89,'Paste Here'!AK89)=1,VALUE('Paste Here'!AK89),"")</f>
        <v/>
      </c>
    </row>
    <row r="90" spans="1:42" x14ac:dyDescent="0.3">
      <c r="A90"/>
      <c r="B90"/>
      <c r="C90"/>
      <c r="D90" s="4"/>
      <c r="E90"/>
      <c r="F90"/>
      <c r="G90"/>
      <c r="H90"/>
      <c r="AA90" s="33" t="str">
        <f t="shared" si="4"/>
        <v/>
      </c>
      <c r="AC90" s="33">
        <f t="shared" si="3"/>
        <v>1048540</v>
      </c>
      <c r="AD90" s="33" t="str">
        <f t="shared" si="5"/>
        <v/>
      </c>
      <c r="AE90" s="33" t="str" cm="1">
        <f t="array" ref="AE90">LOOKUP(2,1/($AB$2:$AB$1000=AB90),$AD$2:$AD$1000)</f>
        <v/>
      </c>
      <c r="AK90" s="40"/>
      <c r="AL90" s="39" t="str">
        <f>IF(AK90="","",
   IF(
      COUNTIF('Paste Here'!$AA$2:$AA$1000,AK90)=0,
      "",
      ROUNDDOWN(COUNTIF('Paste Here'!$AA$2:$AA$1000,AK90)/2,0)
   )
)</f>
        <v/>
      </c>
      <c r="AM90" s="39" t="str" cm="1">
        <f t="array" ref="AM90">IFERROR(IF(LOOKUP(2,1/($AA$2:$AA$1000=AK90),$AD$2:$AD$1000)=0,"",
LOOKUP(2,1/($AA$2:$AA$1000=AK90),$AD$2:$AD$1000)),"")</f>
        <v/>
      </c>
      <c r="AO90" s="33" t="str" cm="1">
        <f t="array" ref="AO90">IFERROR(INDEX($AA$2:$AA$282,MATCH(0,COUNTIF('Paste Here'!$AK$1:AK89,$AA$2:$AA$282),0)),"")</f>
        <v/>
      </c>
      <c r="AP90" s="33" t="str">
        <f>IF(COUNTIF('Paste Here'!$AK$2:AK90,'Paste Here'!AK90)=1,VALUE('Paste Here'!AK90),"")</f>
        <v/>
      </c>
    </row>
    <row r="91" spans="1:42" x14ac:dyDescent="0.3">
      <c r="A91"/>
      <c r="B91"/>
      <c r="C91"/>
      <c r="D91" s="4"/>
      <c r="E91"/>
      <c r="F91"/>
      <c r="G91"/>
      <c r="H91"/>
      <c r="AA91" s="33" t="str">
        <f t="shared" si="4"/>
        <v/>
      </c>
      <c r="AC91" s="33">
        <f t="shared" si="3"/>
        <v>1048540</v>
      </c>
      <c r="AD91" s="33" t="str">
        <f t="shared" si="5"/>
        <v/>
      </c>
      <c r="AE91" s="33" t="str" cm="1">
        <f t="array" ref="AE91">LOOKUP(2,1/($AB$2:$AB$1000=AB91),$AD$2:$AD$1000)</f>
        <v/>
      </c>
      <c r="AK91" s="40"/>
      <c r="AL91" s="39" t="str">
        <f>IF(AK91="","",
   IF(
      COUNTIF('Paste Here'!$AA$2:$AA$1000,AK91)=0,
      "",
      ROUNDDOWN(COUNTIF('Paste Here'!$AA$2:$AA$1000,AK91)/2,0)
   )
)</f>
        <v/>
      </c>
      <c r="AM91" s="39" t="str" cm="1">
        <f t="array" ref="AM91">IFERROR(IF(LOOKUP(2,1/($AA$2:$AA$1000=AK91),$AD$2:$AD$1000)=0,"",
LOOKUP(2,1/($AA$2:$AA$1000=AK91),$AD$2:$AD$1000)),"")</f>
        <v/>
      </c>
      <c r="AO91" s="33" t="str" cm="1">
        <f t="array" ref="AO91">IFERROR(INDEX($AA$2:$AA$282,MATCH(0,COUNTIF('Paste Here'!$AK$1:AK90,$AA$2:$AA$282),0)),"")</f>
        <v/>
      </c>
      <c r="AP91" s="33" t="str">
        <f>IF(COUNTIF('Paste Here'!$AK$2:AK91,'Paste Here'!AK91)=1,VALUE('Paste Here'!AK91),"")</f>
        <v/>
      </c>
    </row>
    <row r="92" spans="1:42" x14ac:dyDescent="0.3">
      <c r="A92"/>
      <c r="B92"/>
      <c r="C92"/>
      <c r="D92" s="4"/>
      <c r="E92"/>
      <c r="F92"/>
      <c r="G92"/>
      <c r="H92"/>
      <c r="AA92" s="33" t="str">
        <f t="shared" si="4"/>
        <v/>
      </c>
      <c r="AC92" s="33">
        <f t="shared" si="3"/>
        <v>1048540</v>
      </c>
      <c r="AD92" s="33" t="str">
        <f t="shared" si="5"/>
        <v/>
      </c>
      <c r="AE92" s="33" t="str" cm="1">
        <f t="array" ref="AE92">LOOKUP(2,1/($AB$2:$AB$1000=AB92),$AD$2:$AD$1000)</f>
        <v/>
      </c>
      <c r="AK92" s="40"/>
      <c r="AL92" s="39" t="str">
        <f>IF(AK92="","",
   IF(
      COUNTIF('Paste Here'!$AA$2:$AA$1000,AK92)=0,
      "",
      ROUNDDOWN(COUNTIF('Paste Here'!$AA$2:$AA$1000,AK92)/2,0)
   )
)</f>
        <v/>
      </c>
      <c r="AM92" s="39" t="str" cm="1">
        <f t="array" ref="AM92">IFERROR(IF(LOOKUP(2,1/($AA$2:$AA$1000=AK92),$AD$2:$AD$1000)=0,"",
LOOKUP(2,1/($AA$2:$AA$1000=AK92),$AD$2:$AD$1000)),"")</f>
        <v/>
      </c>
      <c r="AO92" s="33" t="str" cm="1">
        <f t="array" ref="AO92">IFERROR(INDEX($AA$2:$AA$282,MATCH(0,COUNTIF('Paste Here'!$AK$1:AK91,$AA$2:$AA$282),0)),"")</f>
        <v/>
      </c>
      <c r="AP92" s="33" t="str">
        <f>IF(COUNTIF('Paste Here'!$AK$2:AK92,'Paste Here'!AK92)=1,VALUE('Paste Here'!AK92),"")</f>
        <v/>
      </c>
    </row>
    <row r="93" spans="1:42" x14ac:dyDescent="0.3">
      <c r="A93"/>
      <c r="B93"/>
      <c r="C93"/>
      <c r="D93" s="4"/>
      <c r="E93"/>
      <c r="F93"/>
      <c r="G93"/>
      <c r="H93"/>
      <c r="AA93" s="33" t="str">
        <f t="shared" si="4"/>
        <v/>
      </c>
      <c r="AC93" s="33">
        <f t="shared" si="3"/>
        <v>1048540</v>
      </c>
      <c r="AD93" s="33" t="str">
        <f t="shared" si="5"/>
        <v/>
      </c>
      <c r="AE93" s="33" t="str" cm="1">
        <f t="array" ref="AE93">LOOKUP(2,1/($AB$2:$AB$1000=AB93),$AD$2:$AD$1000)</f>
        <v/>
      </c>
      <c r="AK93" s="40"/>
      <c r="AL93" s="39" t="str">
        <f>IF(AK93="","",
   IF(
      COUNTIF('Paste Here'!$AA$2:$AA$1000,AK93)=0,
      "",
      ROUNDDOWN(COUNTIF('Paste Here'!$AA$2:$AA$1000,AK93)/2,0)
   )
)</f>
        <v/>
      </c>
      <c r="AM93" s="39" t="str" cm="1">
        <f t="array" ref="AM93">IFERROR(IF(LOOKUP(2,1/($AA$2:$AA$1000=AK93),$AD$2:$AD$1000)=0,"",
LOOKUP(2,1/($AA$2:$AA$1000=AK93),$AD$2:$AD$1000)),"")</f>
        <v/>
      </c>
      <c r="AO93" s="33" t="str" cm="1">
        <f t="array" ref="AO93">IFERROR(INDEX($AA$2:$AA$282,MATCH(0,COUNTIF('Paste Here'!$AK$1:AK92,$AA$2:$AA$282),0)),"")</f>
        <v/>
      </c>
      <c r="AP93" s="33" t="str">
        <f>IF(COUNTIF('Paste Here'!$AK$2:AK93,'Paste Here'!AK93)=1,VALUE('Paste Here'!AK93),"")</f>
        <v/>
      </c>
    </row>
    <row r="94" spans="1:42" x14ac:dyDescent="0.3">
      <c r="A94"/>
      <c r="B94"/>
      <c r="C94"/>
      <c r="D94" s="4"/>
      <c r="E94"/>
      <c r="F94"/>
      <c r="G94"/>
      <c r="H94"/>
      <c r="AA94" s="33" t="str">
        <f t="shared" si="4"/>
        <v/>
      </c>
      <c r="AC94" s="33">
        <f t="shared" si="3"/>
        <v>1048540</v>
      </c>
      <c r="AD94" s="33" t="str">
        <f t="shared" si="5"/>
        <v/>
      </c>
      <c r="AE94" s="33" t="str" cm="1">
        <f t="array" ref="AE94">LOOKUP(2,1/($AB$2:$AB$1000=AB94),$AD$2:$AD$1000)</f>
        <v/>
      </c>
      <c r="AK94" s="40"/>
      <c r="AL94" s="39" t="str">
        <f>IF(AK94="","",
   IF(
      COUNTIF('Paste Here'!$AA$2:$AA$1000,AK94)=0,
      "",
      ROUNDDOWN(COUNTIF('Paste Here'!$AA$2:$AA$1000,AK94)/2,0)
   )
)</f>
        <v/>
      </c>
      <c r="AM94" s="39" t="str" cm="1">
        <f t="array" ref="AM94">IFERROR(IF(LOOKUP(2,1/($AA$2:$AA$1000=AK94),$AD$2:$AD$1000)=0,"",
LOOKUP(2,1/($AA$2:$AA$1000=AK94),$AD$2:$AD$1000)),"")</f>
        <v/>
      </c>
      <c r="AO94" s="33" t="str" cm="1">
        <f t="array" ref="AO94">IFERROR(INDEX($AA$2:$AA$282,MATCH(0,COUNTIF('Paste Here'!$AK$1:AK93,$AA$2:$AA$282),0)),"")</f>
        <v/>
      </c>
      <c r="AP94" s="33" t="str">
        <f>IF(COUNTIF('Paste Here'!$AK$2:AK94,'Paste Here'!AK94)=1,VALUE('Paste Here'!AK94),"")</f>
        <v/>
      </c>
    </row>
    <row r="95" spans="1:42" x14ac:dyDescent="0.3">
      <c r="A95" s="2"/>
      <c r="B95" s="2"/>
      <c r="C95" s="2"/>
      <c r="D95" s="3"/>
      <c r="E95" s="2"/>
      <c r="F95" s="2"/>
      <c r="G95" s="2"/>
      <c r="H95" s="2"/>
      <c r="AA95" s="33" t="str">
        <f t="shared" si="4"/>
        <v/>
      </c>
      <c r="AC95" s="33">
        <f t="shared" si="3"/>
        <v>1048540</v>
      </c>
      <c r="AD95" s="33" t="str">
        <f t="shared" si="5"/>
        <v/>
      </c>
      <c r="AE95" s="33" t="str" cm="1">
        <f t="array" ref="AE95">LOOKUP(2,1/($AB$2:$AB$1000=AB95),$AD$2:$AD$1000)</f>
        <v/>
      </c>
      <c r="AK95" s="40"/>
      <c r="AL95" s="39" t="str">
        <f>IF(AK95="","",
   IF(
      COUNTIF('Paste Here'!$AA$2:$AA$1000,AK95)=0,
      "",
      ROUNDDOWN(COUNTIF('Paste Here'!$AA$2:$AA$1000,AK95)/2,0)
   )
)</f>
        <v/>
      </c>
      <c r="AM95" s="39" t="str" cm="1">
        <f t="array" ref="AM95">IFERROR(IF(LOOKUP(2,1/($AA$2:$AA$1000=AK95),$AD$2:$AD$1000)=0,"",
LOOKUP(2,1/($AA$2:$AA$1000=AK95),$AD$2:$AD$1000)),"")</f>
        <v/>
      </c>
      <c r="AO95" s="33" t="str" cm="1">
        <f t="array" ref="AO95">IFERROR(INDEX($AA$2:$AA$282,MATCH(0,COUNTIF('Paste Here'!$AK$1:AK94,$AA$2:$AA$282),0)),"")</f>
        <v/>
      </c>
      <c r="AP95" s="33" t="str">
        <f>IF(COUNTIF('Paste Here'!$AK$2:AK95,'Paste Here'!AK95)=1,VALUE('Paste Here'!AK95),"")</f>
        <v/>
      </c>
    </row>
    <row r="96" spans="1:42" x14ac:dyDescent="0.3">
      <c r="A96" s="2"/>
      <c r="B96" s="2"/>
      <c r="C96" s="2"/>
      <c r="D96" s="3"/>
      <c r="E96" s="2"/>
      <c r="F96" s="2"/>
      <c r="G96" s="2"/>
      <c r="H96" s="2"/>
      <c r="AA96" s="33" t="str">
        <f t="shared" si="4"/>
        <v/>
      </c>
      <c r="AC96" s="33">
        <f t="shared" si="3"/>
        <v>1048540</v>
      </c>
      <c r="AD96" s="33" t="str">
        <f t="shared" si="5"/>
        <v/>
      </c>
      <c r="AE96" s="33" t="str" cm="1">
        <f t="array" ref="AE96">LOOKUP(2,1/($AB$2:$AB$1000=AB96),$AD$2:$AD$1000)</f>
        <v/>
      </c>
      <c r="AK96" s="40"/>
      <c r="AL96" s="39" t="str">
        <f>IF(AK96="","",
   IF(
      COUNTIF('Paste Here'!$AA$2:$AA$1000,AK96)=0,
      "",
      ROUNDDOWN(COUNTIF('Paste Here'!$AA$2:$AA$1000,AK96)/2,0)
   )
)</f>
        <v/>
      </c>
      <c r="AM96" s="39" t="str" cm="1">
        <f t="array" ref="AM96">IFERROR(IF(LOOKUP(2,1/($AA$2:$AA$1000=AK96),$AD$2:$AD$1000)=0,"",
LOOKUP(2,1/($AA$2:$AA$1000=AK96),$AD$2:$AD$1000)),"")</f>
        <v/>
      </c>
      <c r="AO96" s="33" t="str" cm="1">
        <f t="array" ref="AO96">IFERROR(INDEX($AA$2:$AA$282,MATCH(0,COUNTIF('Paste Here'!$AK$1:AK95,$AA$2:$AA$282),0)),"")</f>
        <v/>
      </c>
      <c r="AP96" s="33" t="str">
        <f>IF(COUNTIF('Paste Here'!$AK$2:AK96,'Paste Here'!AK96)=1,VALUE('Paste Here'!AK96),"")</f>
        <v/>
      </c>
    </row>
    <row r="97" spans="1:42" x14ac:dyDescent="0.3">
      <c r="A97" s="2"/>
      <c r="B97" s="2"/>
      <c r="C97" s="2"/>
      <c r="D97" s="3"/>
      <c r="E97" s="2"/>
      <c r="F97" s="2"/>
      <c r="G97" s="2"/>
      <c r="H97" s="2"/>
      <c r="AA97" s="33" t="str">
        <f t="shared" si="4"/>
        <v/>
      </c>
      <c r="AC97" s="33">
        <f t="shared" si="3"/>
        <v>1048540</v>
      </c>
      <c r="AD97" s="33" t="str">
        <f t="shared" si="5"/>
        <v/>
      </c>
      <c r="AE97" s="33" t="str" cm="1">
        <f t="array" ref="AE97">LOOKUP(2,1/($AB$2:$AB$1000=AB97),$AD$2:$AD$1000)</f>
        <v/>
      </c>
      <c r="AK97" s="40"/>
      <c r="AL97" s="39" t="str">
        <f>IF(AK97="","",
   IF(
      COUNTIF('Paste Here'!$AA$2:$AA$1000,AK97)=0,
      "",
      ROUNDDOWN(COUNTIF('Paste Here'!$AA$2:$AA$1000,AK97)/2,0)
   )
)</f>
        <v/>
      </c>
      <c r="AM97" s="39" t="str" cm="1">
        <f t="array" ref="AM97">IFERROR(IF(LOOKUP(2,1/($AA$2:$AA$1000=AK97),$AD$2:$AD$1000)=0,"",
LOOKUP(2,1/($AA$2:$AA$1000=AK97),$AD$2:$AD$1000)),"")</f>
        <v/>
      </c>
      <c r="AO97" s="33" t="str" cm="1">
        <f t="array" ref="AO97">IFERROR(INDEX($AA$2:$AA$282,MATCH(0,COUNTIF('Paste Here'!$AK$1:AK96,$AA$2:$AA$282),0)),"")</f>
        <v/>
      </c>
      <c r="AP97" s="33" t="str">
        <f>IF(COUNTIF('Paste Here'!$AK$2:AK97,'Paste Here'!AK97)=1,VALUE('Paste Here'!AK97),"")</f>
        <v/>
      </c>
    </row>
    <row r="98" spans="1:42" x14ac:dyDescent="0.3">
      <c r="A98"/>
      <c r="B98"/>
      <c r="C98"/>
      <c r="D98" s="4"/>
      <c r="E98"/>
      <c r="F98"/>
      <c r="G98"/>
      <c r="H98"/>
      <c r="AA98" s="33" t="str">
        <f t="shared" si="4"/>
        <v/>
      </c>
      <c r="AC98" s="33">
        <f t="shared" si="3"/>
        <v>1048540</v>
      </c>
      <c r="AD98" s="33" t="str">
        <f t="shared" si="5"/>
        <v/>
      </c>
      <c r="AE98" s="33" t="str" cm="1">
        <f t="array" ref="AE98">LOOKUP(2,1/($AB$2:$AB$1000=AB98),$AD$2:$AD$1000)</f>
        <v/>
      </c>
      <c r="AK98" s="40"/>
      <c r="AL98" s="39" t="str">
        <f>IF(AK98="","",
   IF(
      COUNTIF('Paste Here'!$AA$2:$AA$1000,AK98)=0,
      "",
      ROUNDDOWN(COUNTIF('Paste Here'!$AA$2:$AA$1000,AK98)/2,0)
   )
)</f>
        <v/>
      </c>
      <c r="AM98" s="39" t="str" cm="1">
        <f t="array" ref="AM98">IFERROR(IF(LOOKUP(2,1/($AA$2:$AA$1000=AK98),$AD$2:$AD$1000)=0,"",
LOOKUP(2,1/($AA$2:$AA$1000=AK98),$AD$2:$AD$1000)),"")</f>
        <v/>
      </c>
      <c r="AO98" s="33" t="str" cm="1">
        <f t="array" ref="AO98">IFERROR(INDEX($AA$2:$AA$282,MATCH(0,COUNTIF('Paste Here'!$AK$1:AK97,$AA$2:$AA$282),0)),"")</f>
        <v/>
      </c>
      <c r="AP98" s="33" t="str">
        <f>IF(COUNTIF('Paste Here'!$AK$2:AK98,'Paste Here'!AK98)=1,VALUE('Paste Here'!AK98),"")</f>
        <v/>
      </c>
    </row>
    <row r="99" spans="1:42" x14ac:dyDescent="0.3">
      <c r="A99" s="2"/>
      <c r="B99" s="2"/>
      <c r="C99" s="2"/>
      <c r="D99" s="3"/>
      <c r="E99" s="2"/>
      <c r="F99" s="2"/>
      <c r="G99" s="2"/>
      <c r="H99" s="2"/>
      <c r="AA99" s="33" t="str">
        <f t="shared" si="4"/>
        <v/>
      </c>
      <c r="AC99" s="33">
        <f t="shared" si="3"/>
        <v>1048540</v>
      </c>
      <c r="AD99" s="33" t="str">
        <f t="shared" si="5"/>
        <v/>
      </c>
      <c r="AE99" s="33" t="str" cm="1">
        <f t="array" ref="AE99">LOOKUP(2,1/($AB$2:$AB$1000=AB99),$AD$2:$AD$1000)</f>
        <v/>
      </c>
      <c r="AK99" s="40"/>
      <c r="AL99" s="39" t="str">
        <f>IF(AK99="","",
   IF(
      COUNTIF('Paste Here'!$AA$2:$AA$1000,AK99)=0,
      "",
      ROUNDDOWN(COUNTIF('Paste Here'!$AA$2:$AA$1000,AK99)/2,0)
   )
)</f>
        <v/>
      </c>
      <c r="AM99" s="39" t="str" cm="1">
        <f t="array" ref="AM99">IFERROR(IF(LOOKUP(2,1/($AA$2:$AA$1000=AK99),$AD$2:$AD$1000)=0,"",
LOOKUP(2,1/($AA$2:$AA$1000=AK99),$AD$2:$AD$1000)),"")</f>
        <v/>
      </c>
      <c r="AO99" s="33" t="str" cm="1">
        <f t="array" ref="AO99">IFERROR(INDEX($AA$2:$AA$282,MATCH(0,COUNTIF('Paste Here'!$AK$1:AK98,$AA$2:$AA$282),0)),"")</f>
        <v/>
      </c>
      <c r="AP99" s="33" t="str">
        <f>IF(COUNTIF('Paste Here'!$AK$2:AK99,'Paste Here'!AK99)=1,VALUE('Paste Here'!AK99),"")</f>
        <v/>
      </c>
    </row>
    <row r="100" spans="1:42" x14ac:dyDescent="0.3">
      <c r="A100"/>
      <c r="B100"/>
      <c r="C100"/>
      <c r="D100" s="4"/>
      <c r="E100"/>
      <c r="F100"/>
      <c r="G100"/>
      <c r="H100"/>
      <c r="AA100" s="33" t="str">
        <f t="shared" si="4"/>
        <v/>
      </c>
      <c r="AC100" s="33">
        <f t="shared" si="3"/>
        <v>1048540</v>
      </c>
      <c r="AD100" s="33" t="str">
        <f t="shared" si="5"/>
        <v/>
      </c>
      <c r="AE100" s="33" t="str" cm="1">
        <f t="array" ref="AE100">LOOKUP(2,1/($AB$2:$AB$1000=AB100),$AD$2:$AD$1000)</f>
        <v/>
      </c>
      <c r="AK100" s="40"/>
      <c r="AL100" s="39" t="str">
        <f>IF(AK100="","",
   IF(
      COUNTIF('Paste Here'!$AA$2:$AA$1000,AK100)=0,
      "",
      ROUNDDOWN(COUNTIF('Paste Here'!$AA$2:$AA$1000,AK100)/2,0)
   )
)</f>
        <v/>
      </c>
      <c r="AM100" s="39" t="str" cm="1">
        <f t="array" ref="AM100">IFERROR(IF(LOOKUP(2,1/($AA$2:$AA$1000=AK100),$AD$2:$AD$1000)=0,"",
LOOKUP(2,1/($AA$2:$AA$1000=AK100),$AD$2:$AD$1000)),"")</f>
        <v/>
      </c>
      <c r="AO100" s="33" t="str" cm="1">
        <f t="array" ref="AO100">IFERROR(INDEX($AA$2:$AA$282,MATCH(0,COUNTIF('Paste Here'!$AK$1:AK99,$AA$2:$AA$282),0)),"")</f>
        <v/>
      </c>
      <c r="AP100" s="33" t="str">
        <f>IF(COUNTIF('Paste Here'!$AK$2:AK100,'Paste Here'!AK100)=1,VALUE('Paste Here'!AK100),"")</f>
        <v/>
      </c>
    </row>
    <row r="101" spans="1:42" x14ac:dyDescent="0.3">
      <c r="A101"/>
      <c r="B101"/>
      <c r="C101"/>
      <c r="D101" s="4"/>
      <c r="E101"/>
      <c r="F101"/>
      <c r="G101"/>
      <c r="H101"/>
      <c r="AA101" s="33" t="str">
        <f t="shared" si="4"/>
        <v/>
      </c>
      <c r="AC101" s="33">
        <f t="shared" si="3"/>
        <v>1048540</v>
      </c>
      <c r="AD101" s="33" t="str">
        <f t="shared" si="5"/>
        <v/>
      </c>
      <c r="AE101" s="33" t="str" cm="1">
        <f t="array" ref="AE101">LOOKUP(2,1/($AB$2:$AB$1000=AB101),$AD$2:$AD$1000)</f>
        <v/>
      </c>
      <c r="AK101" s="40"/>
      <c r="AL101" s="39" t="str">
        <f>IF(AK101="","",
   IF(
      COUNTIF('Paste Here'!$AA$2:$AA$1000,AK101)=0,
      "",
      ROUNDDOWN(COUNTIF('Paste Here'!$AA$2:$AA$1000,AK101)/2,0)
   )
)</f>
        <v/>
      </c>
      <c r="AM101" s="39" t="str" cm="1">
        <f t="array" ref="AM101">IFERROR(IF(LOOKUP(2,1/($AA$2:$AA$1000=AK101),$AD$2:$AD$1000)=0,"",
LOOKUP(2,1/($AA$2:$AA$1000=AK101),$AD$2:$AD$1000)),"")</f>
        <v/>
      </c>
      <c r="AO101" s="33" t="str" cm="1">
        <f t="array" ref="AO101">IFERROR(INDEX($AA$2:$AA$282,MATCH(0,COUNTIF('Paste Here'!$AK$1:AK100,$AA$2:$AA$282),0)),"")</f>
        <v/>
      </c>
      <c r="AP101" s="33" t="str">
        <f>IF(COUNTIF('Paste Here'!$AK$2:AK101,'Paste Here'!AK101)=1,VALUE('Paste Here'!AK101),"")</f>
        <v/>
      </c>
    </row>
    <row r="102" spans="1:42" x14ac:dyDescent="0.3">
      <c r="A102"/>
      <c r="B102"/>
      <c r="C102"/>
      <c r="D102" s="4"/>
      <c r="E102"/>
      <c r="F102"/>
      <c r="G102"/>
      <c r="H102"/>
      <c r="AA102" s="33" t="str">
        <f t="shared" si="4"/>
        <v/>
      </c>
      <c r="AC102" s="33">
        <f t="shared" si="3"/>
        <v>1048540</v>
      </c>
      <c r="AD102" s="33" t="str">
        <f t="shared" si="5"/>
        <v/>
      </c>
      <c r="AE102" s="33" t="str" cm="1">
        <f t="array" ref="AE102">LOOKUP(2,1/($AB$2:$AB$1000=AB102),$AD$2:$AD$1000)</f>
        <v/>
      </c>
      <c r="AK102" s="40"/>
      <c r="AL102" s="39" t="str">
        <f>IF(AK102="","",
   IF(
      COUNTIF('Paste Here'!$AA$2:$AA$1000,AK102)=0,
      "",
      ROUNDDOWN(COUNTIF('Paste Here'!$AA$2:$AA$1000,AK102)/2,0)
   )
)</f>
        <v/>
      </c>
      <c r="AM102" s="39" t="str" cm="1">
        <f t="array" ref="AM102">IFERROR(IF(LOOKUP(2,1/($AA$2:$AA$1000=AK102),$AD$2:$AD$1000)=0,"",
LOOKUP(2,1/($AA$2:$AA$1000=AK102),$AD$2:$AD$1000)),"")</f>
        <v/>
      </c>
      <c r="AO102" s="33" t="str" cm="1">
        <f t="array" ref="AO102">IFERROR(INDEX($AA$2:$AA$282,MATCH(0,COUNTIF('Paste Here'!$AK$1:AK101,$AA$2:$AA$282),0)),"")</f>
        <v/>
      </c>
      <c r="AP102" s="33" t="str">
        <f>IF(COUNTIF('Paste Here'!$AK$2:AK102,'Paste Here'!AK102)=1,VALUE('Paste Here'!AK102),"")</f>
        <v/>
      </c>
    </row>
    <row r="103" spans="1:42" x14ac:dyDescent="0.3">
      <c r="A103" s="2"/>
      <c r="B103" s="2"/>
      <c r="C103" s="2"/>
      <c r="D103" s="3"/>
      <c r="E103" s="2"/>
      <c r="F103" s="2"/>
      <c r="G103" s="2"/>
      <c r="H103" s="2"/>
      <c r="AA103" s="33" t="str">
        <f t="shared" si="4"/>
        <v/>
      </c>
      <c r="AC103" s="33">
        <f t="shared" si="3"/>
        <v>1048540</v>
      </c>
      <c r="AD103" s="33" t="str">
        <f t="shared" si="5"/>
        <v/>
      </c>
      <c r="AE103" s="33" t="str" cm="1">
        <f t="array" ref="AE103">LOOKUP(2,1/($AB$2:$AB$1000=AB103),$AD$2:$AD$1000)</f>
        <v/>
      </c>
      <c r="AK103" s="40"/>
      <c r="AL103" s="39" t="str">
        <f>IF(AK103="","",
   IF(
      COUNTIF('Paste Here'!$AA$2:$AA$1000,AK103)=0,
      "",
      ROUNDDOWN(COUNTIF('Paste Here'!$AA$2:$AA$1000,AK103)/2,0)
   )
)</f>
        <v/>
      </c>
      <c r="AM103" s="39" t="str" cm="1">
        <f t="array" ref="AM103">IFERROR(IF(LOOKUP(2,1/($AA$2:$AA$1000=AK103),$AD$2:$AD$1000)=0,"",
LOOKUP(2,1/($AA$2:$AA$1000=AK103),$AD$2:$AD$1000)),"")</f>
        <v/>
      </c>
      <c r="AO103" s="33" t="str" cm="1">
        <f t="array" ref="AO103">IFERROR(INDEX($AA$2:$AA$282,MATCH(0,COUNTIF('Paste Here'!$AK$1:AK102,$AA$2:$AA$282),0)),"")</f>
        <v/>
      </c>
      <c r="AP103" s="33" t="str">
        <f>IF(COUNTIF('Paste Here'!$AK$2:AK103,'Paste Here'!AK103)=1,VALUE('Paste Here'!AK103),"")</f>
        <v/>
      </c>
    </row>
    <row r="104" spans="1:42" x14ac:dyDescent="0.3">
      <c r="A104" s="2"/>
      <c r="B104" s="2"/>
      <c r="C104" s="2"/>
      <c r="D104" s="3"/>
      <c r="E104" s="2"/>
      <c r="F104" s="2"/>
      <c r="G104" s="2"/>
      <c r="H104" s="2"/>
      <c r="AA104" s="33" t="str">
        <f t="shared" si="4"/>
        <v/>
      </c>
      <c r="AC104" s="33">
        <f t="shared" si="3"/>
        <v>1048540</v>
      </c>
      <c r="AD104" s="33" t="str">
        <f t="shared" si="5"/>
        <v/>
      </c>
      <c r="AE104" s="33" t="str" cm="1">
        <f t="array" ref="AE104">LOOKUP(2,1/($AB$2:$AB$1000=AB104),$AD$2:$AD$1000)</f>
        <v/>
      </c>
      <c r="AK104" s="40"/>
      <c r="AL104" s="39" t="str">
        <f>IF(AK104="","",
   IF(
      COUNTIF('Paste Here'!$AA$2:$AA$1000,AK104)=0,
      "",
      ROUNDDOWN(COUNTIF('Paste Here'!$AA$2:$AA$1000,AK104)/2,0)
   )
)</f>
        <v/>
      </c>
      <c r="AM104" s="39" t="str" cm="1">
        <f t="array" ref="AM104">IFERROR(IF(LOOKUP(2,1/($AA$2:$AA$1000=AK104),$AD$2:$AD$1000)=0,"",
LOOKUP(2,1/($AA$2:$AA$1000=AK104),$AD$2:$AD$1000)),"")</f>
        <v/>
      </c>
      <c r="AO104" s="33" t="str" cm="1">
        <f t="array" ref="AO104">IFERROR(INDEX($AA$2:$AA$282,MATCH(0,COUNTIF('Paste Here'!$AK$1:AK103,$AA$2:$AA$282),0)),"")</f>
        <v/>
      </c>
      <c r="AP104" s="33" t="str">
        <f>IF(COUNTIF('Paste Here'!$AK$2:AK104,'Paste Here'!AK104)=1,VALUE('Paste Here'!AK104),"")</f>
        <v/>
      </c>
    </row>
    <row r="105" spans="1:42" x14ac:dyDescent="0.3">
      <c r="A105" s="2"/>
      <c r="B105" s="2"/>
      <c r="C105" s="2"/>
      <c r="D105" s="3"/>
      <c r="E105" s="2"/>
      <c r="F105" s="2"/>
      <c r="G105" s="2"/>
      <c r="H105" s="2"/>
      <c r="AA105" s="33" t="str">
        <f t="shared" si="4"/>
        <v/>
      </c>
      <c r="AC105" s="33">
        <f t="shared" si="3"/>
        <v>1048540</v>
      </c>
      <c r="AD105" s="33" t="str">
        <f t="shared" si="5"/>
        <v/>
      </c>
      <c r="AE105" s="33" t="str" cm="1">
        <f t="array" ref="AE105">LOOKUP(2,1/($AB$2:$AB$1000=AB105),$AD$2:$AD$1000)</f>
        <v/>
      </c>
      <c r="AK105" s="40"/>
      <c r="AL105" s="39" t="str">
        <f>IF(AK105="","",
   IF(
      COUNTIF('Paste Here'!$AA$2:$AA$1000,AK105)=0,
      "",
      ROUNDDOWN(COUNTIF('Paste Here'!$AA$2:$AA$1000,AK105)/2,0)
   )
)</f>
        <v/>
      </c>
      <c r="AM105" s="39" t="str" cm="1">
        <f t="array" ref="AM105">IFERROR(IF(LOOKUP(2,1/($AA$2:$AA$1000=AK105),$AD$2:$AD$1000)=0,"",
LOOKUP(2,1/($AA$2:$AA$1000=AK105),$AD$2:$AD$1000)),"")</f>
        <v/>
      </c>
      <c r="AO105" s="33" t="str" cm="1">
        <f t="array" ref="AO105">IFERROR(INDEX($AA$2:$AA$282,MATCH(0,COUNTIF('Paste Here'!$AK$1:AK104,$AA$2:$AA$282),0)),"")</f>
        <v/>
      </c>
      <c r="AP105" s="33" t="str">
        <f>IF(COUNTIF('Paste Here'!$AK$2:AK105,'Paste Here'!AK105)=1,VALUE('Paste Here'!AK105),"")</f>
        <v/>
      </c>
    </row>
    <row r="106" spans="1:42" x14ac:dyDescent="0.3">
      <c r="A106"/>
      <c r="B106"/>
      <c r="C106"/>
      <c r="D106" s="4"/>
      <c r="E106"/>
      <c r="F106"/>
      <c r="G106"/>
      <c r="H106"/>
      <c r="AA106" s="33" t="str">
        <f t="shared" si="4"/>
        <v/>
      </c>
      <c r="AC106" s="33">
        <f t="shared" si="3"/>
        <v>1048540</v>
      </c>
      <c r="AD106" s="33" t="str">
        <f t="shared" si="5"/>
        <v/>
      </c>
      <c r="AE106" s="33" t="str" cm="1">
        <f t="array" ref="AE106">LOOKUP(2,1/($AB$2:$AB$1000=AB106),$AD$2:$AD$1000)</f>
        <v/>
      </c>
      <c r="AK106" s="40"/>
      <c r="AL106" s="39" t="str">
        <f>IF(AK106="","",
   IF(
      COUNTIF('Paste Here'!$AA$2:$AA$1000,AK106)=0,
      "",
      ROUNDDOWN(COUNTIF('Paste Here'!$AA$2:$AA$1000,AK106)/2,0)
   )
)</f>
        <v/>
      </c>
      <c r="AM106" s="39" t="str" cm="1">
        <f t="array" ref="AM106">IFERROR(IF(LOOKUP(2,1/($AA$2:$AA$1000=AK106),$AD$2:$AD$1000)=0,"",
LOOKUP(2,1/($AA$2:$AA$1000=AK106),$AD$2:$AD$1000)),"")</f>
        <v/>
      </c>
      <c r="AO106" s="33" t="str" cm="1">
        <f t="array" ref="AO106">IFERROR(INDEX($AA$2:$AA$282,MATCH(0,COUNTIF('Paste Here'!$AK$1:AK105,$AA$2:$AA$282),0)),"")</f>
        <v/>
      </c>
      <c r="AP106" s="33" t="str">
        <f>IF(COUNTIF('Paste Here'!$AK$2:AK106,'Paste Here'!AK106)=1,VALUE('Paste Here'!AK106),"")</f>
        <v/>
      </c>
    </row>
    <row r="107" spans="1:42" x14ac:dyDescent="0.3">
      <c r="A107"/>
      <c r="B107"/>
      <c r="C107"/>
      <c r="D107" s="4"/>
      <c r="E107"/>
      <c r="F107"/>
      <c r="G107"/>
      <c r="H107"/>
      <c r="AA107" s="33" t="str">
        <f t="shared" si="4"/>
        <v/>
      </c>
      <c r="AC107" s="33">
        <f t="shared" si="3"/>
        <v>1048540</v>
      </c>
      <c r="AD107" s="33" t="str">
        <f t="shared" si="5"/>
        <v/>
      </c>
      <c r="AE107" s="33" t="str" cm="1">
        <f t="array" ref="AE107">LOOKUP(2,1/($AB$2:$AB$1000=AB107),$AD$2:$AD$1000)</f>
        <v/>
      </c>
      <c r="AK107" s="40"/>
      <c r="AL107" s="39" t="str">
        <f>IF(AK107="","",
   IF(
      COUNTIF('Paste Here'!$AA$2:$AA$1000,AK107)=0,
      "",
      ROUNDDOWN(COUNTIF('Paste Here'!$AA$2:$AA$1000,AK107)/2,0)
   )
)</f>
        <v/>
      </c>
      <c r="AM107" s="39" t="str" cm="1">
        <f t="array" ref="AM107">IFERROR(IF(LOOKUP(2,1/($AA$2:$AA$1000=AK107),$AD$2:$AD$1000)=0,"",
LOOKUP(2,1/($AA$2:$AA$1000=AK107),$AD$2:$AD$1000)),"")</f>
        <v/>
      </c>
      <c r="AO107" s="33" t="str" cm="1">
        <f t="array" ref="AO107">IFERROR(INDEX($AA$2:$AA$282,MATCH(0,COUNTIF('Paste Here'!$AK$1:AK106,$AA$2:$AA$282),0)),"")</f>
        <v/>
      </c>
      <c r="AP107" s="33" t="str">
        <f>IF(COUNTIF('Paste Here'!$AK$2:AK107,'Paste Here'!AK107)=1,VALUE('Paste Here'!AK107),"")</f>
        <v/>
      </c>
    </row>
    <row r="108" spans="1:42" x14ac:dyDescent="0.3">
      <c r="A108" s="2"/>
      <c r="B108" s="2"/>
      <c r="C108" s="2"/>
      <c r="D108" s="3"/>
      <c r="E108" s="2"/>
      <c r="F108" s="2"/>
      <c r="G108" s="2"/>
      <c r="H108" s="2"/>
      <c r="AA108" s="33" t="str">
        <f t="shared" si="4"/>
        <v/>
      </c>
      <c r="AC108" s="33">
        <f t="shared" si="3"/>
        <v>1048540</v>
      </c>
      <c r="AD108" s="33" t="str">
        <f t="shared" si="5"/>
        <v/>
      </c>
      <c r="AE108" s="33" t="str" cm="1">
        <f t="array" ref="AE108">LOOKUP(2,1/($AB$2:$AB$1000=AB108),$AD$2:$AD$1000)</f>
        <v/>
      </c>
      <c r="AK108" s="40"/>
      <c r="AL108" s="39" t="str">
        <f>IF(AK108="","",
   IF(
      COUNTIF('Paste Here'!$AA$2:$AA$1000,AK108)=0,
      "",
      ROUNDDOWN(COUNTIF('Paste Here'!$AA$2:$AA$1000,AK108)/2,0)
   )
)</f>
        <v/>
      </c>
      <c r="AM108" s="39" t="str" cm="1">
        <f t="array" ref="AM108">IFERROR(IF(LOOKUP(2,1/($AA$2:$AA$1000=AK108),$AD$2:$AD$1000)=0,"",
LOOKUP(2,1/($AA$2:$AA$1000=AK108),$AD$2:$AD$1000)),"")</f>
        <v/>
      </c>
      <c r="AO108" s="33" t="str" cm="1">
        <f t="array" ref="AO108">IFERROR(INDEX($AA$2:$AA$282,MATCH(0,COUNTIF('Paste Here'!$AK$1:AK107,$AA$2:$AA$282),0)),"")</f>
        <v/>
      </c>
      <c r="AP108" s="33" t="str">
        <f>IF(COUNTIF('Paste Here'!$AK$2:AK108,'Paste Here'!AK108)=1,VALUE('Paste Here'!AK108),"")</f>
        <v/>
      </c>
    </row>
    <row r="109" spans="1:42" x14ac:dyDescent="0.3">
      <c r="A109" s="2"/>
      <c r="B109" s="2"/>
      <c r="C109" s="2"/>
      <c r="D109" s="3"/>
      <c r="E109" s="2"/>
      <c r="F109" s="2"/>
      <c r="G109" s="2"/>
      <c r="H109" s="2"/>
      <c r="AA109" s="33" t="str">
        <f t="shared" si="4"/>
        <v/>
      </c>
      <c r="AC109" s="33">
        <f t="shared" si="3"/>
        <v>1048540</v>
      </c>
      <c r="AD109" s="33" t="str">
        <f t="shared" si="5"/>
        <v/>
      </c>
      <c r="AE109" s="33" t="str" cm="1">
        <f t="array" ref="AE109">LOOKUP(2,1/($AB$2:$AB$1000=AB109),$AD$2:$AD$1000)</f>
        <v/>
      </c>
      <c r="AK109" s="40"/>
      <c r="AL109" s="39" t="str">
        <f>IF(AK109="","",
   IF(
      COUNTIF('Paste Here'!$AA$2:$AA$1000,AK109)=0,
      "",
      ROUNDDOWN(COUNTIF('Paste Here'!$AA$2:$AA$1000,AK109)/2,0)
   )
)</f>
        <v/>
      </c>
      <c r="AM109" s="39" t="str" cm="1">
        <f t="array" ref="AM109">IFERROR(IF(LOOKUP(2,1/($AA$2:$AA$1000=AK109),$AD$2:$AD$1000)=0,"",
LOOKUP(2,1/($AA$2:$AA$1000=AK109),$AD$2:$AD$1000)),"")</f>
        <v/>
      </c>
      <c r="AO109" s="33" t="str" cm="1">
        <f t="array" ref="AO109">IFERROR(INDEX($AA$2:$AA$282,MATCH(0,COUNTIF('Paste Here'!$AK$1:AK108,$AA$2:$AA$282),0)),"")</f>
        <v/>
      </c>
      <c r="AP109" s="33" t="str">
        <f>IF(COUNTIF('Paste Here'!$AK$2:AK109,'Paste Here'!AK109)=1,VALUE('Paste Here'!AK109),"")</f>
        <v/>
      </c>
    </row>
    <row r="110" spans="1:42" x14ac:dyDescent="0.3">
      <c r="A110"/>
      <c r="B110"/>
      <c r="C110"/>
      <c r="D110" s="4"/>
      <c r="E110"/>
      <c r="F110"/>
      <c r="G110"/>
      <c r="H110"/>
      <c r="AA110" s="33" t="str">
        <f t="shared" si="4"/>
        <v/>
      </c>
      <c r="AC110" s="33">
        <f t="shared" si="3"/>
        <v>1048540</v>
      </c>
      <c r="AD110" s="33" t="str">
        <f t="shared" si="5"/>
        <v/>
      </c>
      <c r="AE110" s="33" t="str" cm="1">
        <f t="array" ref="AE110">LOOKUP(2,1/($AB$2:$AB$1000=AB110),$AD$2:$AD$1000)</f>
        <v/>
      </c>
      <c r="AK110" s="40"/>
      <c r="AL110" s="39" t="str">
        <f>IF(AK110="","",
   IF(
      COUNTIF('Paste Here'!$AA$2:$AA$1000,AK110)=0,
      "",
      ROUNDDOWN(COUNTIF('Paste Here'!$AA$2:$AA$1000,AK110)/2,0)
   )
)</f>
        <v/>
      </c>
      <c r="AM110" s="39" t="str" cm="1">
        <f t="array" ref="AM110">IFERROR(IF(LOOKUP(2,1/($AA$2:$AA$1000=AK110),$AD$2:$AD$1000)=0,"",
LOOKUP(2,1/($AA$2:$AA$1000=AK110),$AD$2:$AD$1000)),"")</f>
        <v/>
      </c>
      <c r="AO110" s="33" t="str" cm="1">
        <f t="array" ref="AO110">IFERROR(INDEX($AA$2:$AA$282,MATCH(0,COUNTIF('Paste Here'!$AK$1:AK109,$AA$2:$AA$282),0)),"")</f>
        <v/>
      </c>
      <c r="AP110" s="33" t="str">
        <f>IF(COUNTIF('Paste Here'!$AK$2:AK110,'Paste Here'!AK110)=1,VALUE('Paste Here'!AK110),"")</f>
        <v/>
      </c>
    </row>
    <row r="111" spans="1:42" x14ac:dyDescent="0.3">
      <c r="A111"/>
      <c r="B111"/>
      <c r="C111"/>
      <c r="D111" s="4"/>
      <c r="E111"/>
      <c r="F111"/>
      <c r="G111"/>
      <c r="H111"/>
      <c r="AA111" s="33" t="str">
        <f t="shared" si="4"/>
        <v/>
      </c>
      <c r="AC111" s="33">
        <f t="shared" si="3"/>
        <v>1048540</v>
      </c>
      <c r="AD111" s="33" t="str">
        <f t="shared" si="5"/>
        <v/>
      </c>
      <c r="AE111" s="33" t="str" cm="1">
        <f t="array" ref="AE111">LOOKUP(2,1/($AB$2:$AB$1000=AB111),$AD$2:$AD$1000)</f>
        <v/>
      </c>
      <c r="AK111" s="40"/>
      <c r="AL111" s="39" t="str">
        <f>IF(AK111="","",
   IF(
      COUNTIF('Paste Here'!$AA$2:$AA$1000,AK111)=0,
      "",
      ROUNDDOWN(COUNTIF('Paste Here'!$AA$2:$AA$1000,AK111)/2,0)
   )
)</f>
        <v/>
      </c>
      <c r="AM111" s="39" t="str" cm="1">
        <f t="array" ref="AM111">IFERROR(IF(LOOKUP(2,1/($AA$2:$AA$1000=AK111),$AD$2:$AD$1000)=0,"",
LOOKUP(2,1/($AA$2:$AA$1000=AK111),$AD$2:$AD$1000)),"")</f>
        <v/>
      </c>
      <c r="AO111" s="33" t="str" cm="1">
        <f t="array" ref="AO111">IFERROR(INDEX($AA$2:$AA$282,MATCH(0,COUNTIF('Paste Here'!$AK$1:AK110,$AA$2:$AA$282),0)),"")</f>
        <v/>
      </c>
      <c r="AP111" s="33" t="str">
        <f>IF(COUNTIF('Paste Here'!$AK$2:AK111,'Paste Here'!AK111)=1,VALUE('Paste Here'!AK111),"")</f>
        <v/>
      </c>
    </row>
    <row r="112" spans="1:42" x14ac:dyDescent="0.3">
      <c r="A112"/>
      <c r="B112"/>
      <c r="C112"/>
      <c r="D112" s="4"/>
      <c r="E112"/>
      <c r="F112"/>
      <c r="G112"/>
      <c r="H112"/>
      <c r="AA112" s="33" t="str">
        <f t="shared" si="4"/>
        <v/>
      </c>
      <c r="AC112" s="33">
        <f t="shared" si="3"/>
        <v>1048540</v>
      </c>
      <c r="AD112" s="33" t="str">
        <f t="shared" si="5"/>
        <v/>
      </c>
      <c r="AE112" s="33" t="str" cm="1">
        <f t="array" ref="AE112">LOOKUP(2,1/($AB$2:$AB$1000=AB112),$AD$2:$AD$1000)</f>
        <v/>
      </c>
      <c r="AK112" s="40"/>
      <c r="AL112" s="39" t="str">
        <f>IF(AK112="","",
   IF(
      COUNTIF('Paste Here'!$AA$2:$AA$1000,AK112)=0,
      "",
      ROUNDDOWN(COUNTIF('Paste Here'!$AA$2:$AA$1000,AK112)/2,0)
   )
)</f>
        <v/>
      </c>
      <c r="AM112" s="39" t="str" cm="1">
        <f t="array" ref="AM112">IFERROR(IF(LOOKUP(2,1/($AA$2:$AA$1000=AK112),$AD$2:$AD$1000)=0,"",
LOOKUP(2,1/($AA$2:$AA$1000=AK112),$AD$2:$AD$1000)),"")</f>
        <v/>
      </c>
      <c r="AO112" s="33" t="str" cm="1">
        <f t="array" ref="AO112">IFERROR(INDEX($AA$2:$AA$282,MATCH(0,COUNTIF('Paste Here'!$AK$1:AK111,$AA$2:$AA$282),0)),"")</f>
        <v/>
      </c>
      <c r="AP112" s="33" t="str">
        <f>IF(COUNTIF('Paste Here'!$AK$2:AK112,'Paste Here'!AK112)=1,VALUE('Paste Here'!AK112),"")</f>
        <v/>
      </c>
    </row>
    <row r="113" spans="1:42" x14ac:dyDescent="0.3">
      <c r="A113" s="2"/>
      <c r="B113" s="2"/>
      <c r="C113" s="2"/>
      <c r="D113" s="3"/>
      <c r="E113" s="2"/>
      <c r="F113" s="2"/>
      <c r="G113" s="2"/>
      <c r="H113" s="2"/>
      <c r="AA113" s="33" t="str">
        <f t="shared" si="4"/>
        <v/>
      </c>
      <c r="AC113" s="33">
        <f t="shared" si="3"/>
        <v>1048540</v>
      </c>
      <c r="AD113" s="33" t="str">
        <f t="shared" si="5"/>
        <v/>
      </c>
      <c r="AE113" s="33" t="str" cm="1">
        <f t="array" ref="AE113">LOOKUP(2,1/($AB$2:$AB$1000=AB113),$AD$2:$AD$1000)</f>
        <v/>
      </c>
      <c r="AK113" s="40"/>
      <c r="AL113" s="39" t="str">
        <f>IF(AK113="","",
   IF(
      COUNTIF('Paste Here'!$AA$2:$AA$1000,AK113)=0,
      "",
      ROUNDDOWN(COUNTIF('Paste Here'!$AA$2:$AA$1000,AK113)/2,0)
   )
)</f>
        <v/>
      </c>
      <c r="AM113" s="39" t="str" cm="1">
        <f t="array" ref="AM113">IFERROR(IF(LOOKUP(2,1/($AA$2:$AA$1000=AK113),$AD$2:$AD$1000)=0,"",
LOOKUP(2,1/($AA$2:$AA$1000=AK113),$AD$2:$AD$1000)),"")</f>
        <v/>
      </c>
      <c r="AO113" s="33" t="str" cm="1">
        <f t="array" ref="AO113">IFERROR(INDEX($AA$2:$AA$282,MATCH(0,COUNTIF('Paste Here'!$AK$1:AK112,$AA$2:$AA$282),0)),"")</f>
        <v/>
      </c>
      <c r="AP113" s="33" t="str">
        <f>IF(COUNTIF('Paste Here'!$AK$2:AK113,'Paste Here'!AK113)=1,VALUE('Paste Here'!AK113),"")</f>
        <v/>
      </c>
    </row>
    <row r="114" spans="1:42" x14ac:dyDescent="0.3">
      <c r="A114" s="2"/>
      <c r="B114" s="2"/>
      <c r="C114" s="2"/>
      <c r="D114" s="3"/>
      <c r="E114" s="2"/>
      <c r="F114" s="2"/>
      <c r="G114" s="2"/>
      <c r="H114" s="2"/>
      <c r="AA114" s="33" t="str">
        <f t="shared" si="4"/>
        <v/>
      </c>
      <c r="AC114" s="33">
        <f t="shared" si="3"/>
        <v>1048540</v>
      </c>
      <c r="AD114" s="33" t="str">
        <f t="shared" si="5"/>
        <v/>
      </c>
      <c r="AE114" s="33" t="str" cm="1">
        <f t="array" ref="AE114">LOOKUP(2,1/($AB$2:$AB$1000=AB114),$AD$2:$AD$1000)</f>
        <v/>
      </c>
      <c r="AK114" s="40"/>
      <c r="AL114" s="39" t="str">
        <f>IF(AK114="","",
   IF(
      COUNTIF('Paste Here'!$AA$2:$AA$1000,AK114)=0,
      "",
      ROUNDDOWN(COUNTIF('Paste Here'!$AA$2:$AA$1000,AK114)/2,0)
   )
)</f>
        <v/>
      </c>
      <c r="AM114" s="39" t="str" cm="1">
        <f t="array" ref="AM114">IFERROR(IF(LOOKUP(2,1/($AA$2:$AA$1000=AK114),$AD$2:$AD$1000)=0,"",
LOOKUP(2,1/($AA$2:$AA$1000=AK114),$AD$2:$AD$1000)),"")</f>
        <v/>
      </c>
      <c r="AO114" s="33" t="str" cm="1">
        <f t="array" ref="AO114">IFERROR(INDEX($AA$2:$AA$282,MATCH(0,COUNTIF('Paste Here'!$AK$1:AK113,$AA$2:$AA$282),0)),"")</f>
        <v/>
      </c>
      <c r="AP114" s="33" t="str">
        <f>IF(COUNTIF('Paste Here'!$AK$2:AK114,'Paste Here'!AK114)=1,VALUE('Paste Here'!AK114),"")</f>
        <v/>
      </c>
    </row>
    <row r="115" spans="1:42" x14ac:dyDescent="0.3">
      <c r="A115" s="2"/>
      <c r="B115" s="2"/>
      <c r="C115" s="2"/>
      <c r="D115" s="3"/>
      <c r="E115" s="2"/>
      <c r="F115" s="2"/>
      <c r="G115" s="2"/>
      <c r="H115" s="2"/>
      <c r="AA115" s="33" t="str">
        <f t="shared" si="4"/>
        <v/>
      </c>
      <c r="AC115" s="33">
        <f t="shared" si="3"/>
        <v>1048540</v>
      </c>
      <c r="AD115" s="33" t="str">
        <f t="shared" si="5"/>
        <v/>
      </c>
      <c r="AE115" s="33" t="str" cm="1">
        <f t="array" ref="AE115">LOOKUP(2,1/($AB$2:$AB$1000=AB115),$AD$2:$AD$1000)</f>
        <v/>
      </c>
      <c r="AK115" s="40"/>
      <c r="AL115" s="39" t="str">
        <f>IF(AK115="","",
   IF(
      COUNTIF('Paste Here'!$AA$2:$AA$1000,AK115)=0,
      "",
      ROUNDDOWN(COUNTIF('Paste Here'!$AA$2:$AA$1000,AK115)/2,0)
   )
)</f>
        <v/>
      </c>
      <c r="AM115" s="39" t="str" cm="1">
        <f t="array" ref="AM115">IFERROR(IF(LOOKUP(2,1/($AA$2:$AA$1000=AK115),$AD$2:$AD$1000)=0,"",
LOOKUP(2,1/($AA$2:$AA$1000=AK115),$AD$2:$AD$1000)),"")</f>
        <v/>
      </c>
      <c r="AO115" s="33" t="str" cm="1">
        <f t="array" ref="AO115">IFERROR(INDEX($AA$2:$AA$282,MATCH(0,COUNTIF('Paste Here'!$AK$1:AK114,$AA$2:$AA$282),0)),"")</f>
        <v/>
      </c>
      <c r="AP115" s="33" t="str">
        <f>IF(COUNTIF('Paste Here'!$AK$2:AK115,'Paste Here'!AK115)=1,VALUE('Paste Here'!AK115),"")</f>
        <v/>
      </c>
    </row>
    <row r="116" spans="1:42" x14ac:dyDescent="0.3">
      <c r="A116"/>
      <c r="B116"/>
      <c r="C116"/>
      <c r="D116" s="4"/>
      <c r="E116"/>
      <c r="F116"/>
      <c r="G116"/>
      <c r="H116"/>
      <c r="AA116" s="33" t="str">
        <f t="shared" si="4"/>
        <v/>
      </c>
      <c r="AC116" s="33">
        <f t="shared" si="3"/>
        <v>1048540</v>
      </c>
      <c r="AD116" s="33" t="str">
        <f t="shared" si="5"/>
        <v/>
      </c>
      <c r="AE116" s="33" t="str" cm="1">
        <f t="array" ref="AE116">LOOKUP(2,1/($AB$2:$AB$1000=AB116),$AD$2:$AD$1000)</f>
        <v/>
      </c>
      <c r="AK116" s="40"/>
      <c r="AL116" s="39" t="str">
        <f>IF(AK116="","",
   IF(
      COUNTIF('Paste Here'!$AA$2:$AA$1000,AK116)=0,
      "",
      ROUNDDOWN(COUNTIF('Paste Here'!$AA$2:$AA$1000,AK116)/2,0)
   )
)</f>
        <v/>
      </c>
      <c r="AM116" s="39" t="str" cm="1">
        <f t="array" ref="AM116">IFERROR(IF(LOOKUP(2,1/($AA$2:$AA$1000=AK116),$AD$2:$AD$1000)=0,"",
LOOKUP(2,1/($AA$2:$AA$1000=AK116),$AD$2:$AD$1000)),"")</f>
        <v/>
      </c>
      <c r="AO116" s="33" t="str" cm="1">
        <f t="array" ref="AO116">IFERROR(INDEX($AA$2:$AA$282,MATCH(0,COUNTIF('Paste Here'!$AK$1:AK115,$AA$2:$AA$282),0)),"")</f>
        <v/>
      </c>
      <c r="AP116" s="33" t="str">
        <f>IF(COUNTIF('Paste Here'!$AK$2:AK116,'Paste Here'!AK116)=1,VALUE('Paste Here'!AK116),"")</f>
        <v/>
      </c>
    </row>
    <row r="117" spans="1:42" x14ac:dyDescent="0.3">
      <c r="A117"/>
      <c r="B117"/>
      <c r="C117"/>
      <c r="D117" s="4"/>
      <c r="E117"/>
      <c r="F117"/>
      <c r="G117"/>
      <c r="H117"/>
      <c r="AA117" s="33" t="str">
        <f t="shared" si="4"/>
        <v/>
      </c>
      <c r="AC117" s="33">
        <f t="shared" si="3"/>
        <v>1048540</v>
      </c>
      <c r="AD117" s="33" t="str">
        <f t="shared" si="5"/>
        <v/>
      </c>
      <c r="AE117" s="33" t="str" cm="1">
        <f t="array" ref="AE117">LOOKUP(2,1/($AB$2:$AB$1000=AB117),$AD$2:$AD$1000)</f>
        <v/>
      </c>
      <c r="AK117" s="40"/>
      <c r="AL117" s="39" t="str">
        <f>IF(AK117="","",
   IF(
      COUNTIF('Paste Here'!$AA$2:$AA$1000,AK117)=0,
      "",
      ROUNDDOWN(COUNTIF('Paste Here'!$AA$2:$AA$1000,AK117)/2,0)
   )
)</f>
        <v/>
      </c>
      <c r="AM117" s="39" t="str" cm="1">
        <f t="array" ref="AM117">IFERROR(IF(LOOKUP(2,1/($AA$2:$AA$1000=AK117),$AD$2:$AD$1000)=0,"",
LOOKUP(2,1/($AA$2:$AA$1000=AK117),$AD$2:$AD$1000)),"")</f>
        <v/>
      </c>
      <c r="AO117" s="33" t="str" cm="1">
        <f t="array" ref="AO117">IFERROR(INDEX($AA$2:$AA$282,MATCH(0,COUNTIF('Paste Here'!$AK$1:AK116,$AA$2:$AA$282),0)),"")</f>
        <v/>
      </c>
      <c r="AP117" s="33" t="str">
        <f>IF(COUNTIF('Paste Here'!$AK$2:AK117,'Paste Here'!AK117)=1,VALUE('Paste Here'!AK117),"")</f>
        <v/>
      </c>
    </row>
    <row r="118" spans="1:42" x14ac:dyDescent="0.3">
      <c r="A118"/>
      <c r="B118"/>
      <c r="C118"/>
      <c r="D118" s="4"/>
      <c r="E118"/>
      <c r="F118"/>
      <c r="G118"/>
      <c r="H118"/>
      <c r="AA118" s="33" t="str">
        <f t="shared" si="4"/>
        <v/>
      </c>
      <c r="AC118" s="33">
        <f t="shared" si="3"/>
        <v>1048540</v>
      </c>
      <c r="AD118" s="33" t="str">
        <f t="shared" si="5"/>
        <v/>
      </c>
      <c r="AE118" s="33" t="str" cm="1">
        <f t="array" ref="AE118">LOOKUP(2,1/($AB$2:$AB$1000=AB118),$AD$2:$AD$1000)</f>
        <v/>
      </c>
      <c r="AK118" s="40"/>
      <c r="AL118" s="39" t="str">
        <f>IF(AK118="","",
   IF(
      COUNTIF('Paste Here'!$AA$2:$AA$1000,AK118)=0,
      "",
      ROUNDDOWN(COUNTIF('Paste Here'!$AA$2:$AA$1000,AK118)/2,0)
   )
)</f>
        <v/>
      </c>
      <c r="AM118" s="39" t="str" cm="1">
        <f t="array" ref="AM118">IFERROR(IF(LOOKUP(2,1/($AA$2:$AA$1000=AK118),$AD$2:$AD$1000)=0,"",
LOOKUP(2,1/($AA$2:$AA$1000=AK118),$AD$2:$AD$1000)),"")</f>
        <v/>
      </c>
      <c r="AO118" s="33" t="str" cm="1">
        <f t="array" ref="AO118">IFERROR(INDEX($AA$2:$AA$282,MATCH(0,COUNTIF('Paste Here'!$AK$1:AK117,$AA$2:$AA$282),0)),"")</f>
        <v/>
      </c>
      <c r="AP118" s="33" t="str">
        <f>IF(COUNTIF('Paste Here'!$AK$2:AK118,'Paste Here'!AK118)=1,VALUE('Paste Here'!AK118),"")</f>
        <v/>
      </c>
    </row>
    <row r="119" spans="1:42" x14ac:dyDescent="0.3">
      <c r="A119"/>
      <c r="B119"/>
      <c r="C119"/>
      <c r="D119" s="4"/>
      <c r="E119"/>
      <c r="F119"/>
      <c r="G119"/>
      <c r="H119"/>
      <c r="AA119" s="33" t="str">
        <f t="shared" si="4"/>
        <v/>
      </c>
      <c r="AC119" s="33">
        <f t="shared" si="3"/>
        <v>1048540</v>
      </c>
      <c r="AD119" s="33" t="str">
        <f t="shared" si="5"/>
        <v/>
      </c>
      <c r="AE119" s="33" t="str" cm="1">
        <f t="array" ref="AE119">LOOKUP(2,1/($AB$2:$AB$1000=AB119),$AD$2:$AD$1000)</f>
        <v/>
      </c>
      <c r="AK119" s="40"/>
      <c r="AL119" s="39" t="str">
        <f>IF(AK119="","",
   IF(
      COUNTIF('Paste Here'!$AA$2:$AA$1000,AK119)=0,
      "",
      ROUNDDOWN(COUNTIF('Paste Here'!$AA$2:$AA$1000,AK119)/2,0)
   )
)</f>
        <v/>
      </c>
      <c r="AM119" s="39" t="str" cm="1">
        <f t="array" ref="AM119">IFERROR(IF(LOOKUP(2,1/($AA$2:$AA$1000=AK119),$AD$2:$AD$1000)=0,"",
LOOKUP(2,1/($AA$2:$AA$1000=AK119),$AD$2:$AD$1000)),"")</f>
        <v/>
      </c>
      <c r="AO119" s="33" t="str" cm="1">
        <f t="array" ref="AO119">IFERROR(INDEX($AA$2:$AA$282,MATCH(0,COUNTIF('Paste Here'!$AK$1:AK118,$AA$2:$AA$282),0)),"")</f>
        <v/>
      </c>
      <c r="AP119" s="33" t="str">
        <f>IF(COUNTIF('Paste Here'!$AK$2:AK119,'Paste Here'!AK119)=1,VALUE('Paste Here'!AK119),"")</f>
        <v/>
      </c>
    </row>
    <row r="120" spans="1:42" x14ac:dyDescent="0.3">
      <c r="A120"/>
      <c r="B120"/>
      <c r="C120"/>
      <c r="D120" s="4"/>
      <c r="E120"/>
      <c r="F120"/>
      <c r="G120"/>
      <c r="H120"/>
      <c r="AA120" s="33" t="str">
        <f t="shared" si="4"/>
        <v/>
      </c>
      <c r="AC120" s="33">
        <f t="shared" si="3"/>
        <v>1048540</v>
      </c>
      <c r="AD120" s="33" t="str">
        <f t="shared" si="5"/>
        <v/>
      </c>
      <c r="AE120" s="33" t="str" cm="1">
        <f t="array" ref="AE120">LOOKUP(2,1/($AB$2:$AB$1000=AB120),$AD$2:$AD$1000)</f>
        <v/>
      </c>
      <c r="AK120" s="40"/>
      <c r="AL120" s="39" t="str">
        <f>IF(AK120="","",
   IF(
      COUNTIF('Paste Here'!$AA$2:$AA$1000,AK120)=0,
      "",
      ROUNDDOWN(COUNTIF('Paste Here'!$AA$2:$AA$1000,AK120)/2,0)
   )
)</f>
        <v/>
      </c>
      <c r="AM120" s="39" t="str" cm="1">
        <f t="array" ref="AM120">IFERROR(IF(LOOKUP(2,1/($AA$2:$AA$1000=AK120),$AD$2:$AD$1000)=0,"",
LOOKUP(2,1/($AA$2:$AA$1000=AK120),$AD$2:$AD$1000)),"")</f>
        <v/>
      </c>
      <c r="AO120" s="33" t="str" cm="1">
        <f t="array" ref="AO120">IFERROR(INDEX($AA$2:$AA$282,MATCH(0,COUNTIF('Paste Here'!$AK$1:AK119,$AA$2:$AA$282),0)),"")</f>
        <v/>
      </c>
      <c r="AP120" s="33" t="str">
        <f>IF(COUNTIF('Paste Here'!$AK$2:AK120,'Paste Here'!AK120)=1,VALUE('Paste Here'!AK120),"")</f>
        <v/>
      </c>
    </row>
    <row r="121" spans="1:42" x14ac:dyDescent="0.3">
      <c r="A121"/>
      <c r="B121"/>
      <c r="C121"/>
      <c r="D121" s="4"/>
      <c r="E121"/>
      <c r="F121"/>
      <c r="G121"/>
      <c r="H121"/>
      <c r="AA121" s="33" t="str">
        <f t="shared" si="4"/>
        <v/>
      </c>
      <c r="AC121" s="33">
        <f t="shared" si="3"/>
        <v>1048540</v>
      </c>
      <c r="AD121" s="33" t="str">
        <f t="shared" si="5"/>
        <v/>
      </c>
      <c r="AE121" s="33" t="str" cm="1">
        <f t="array" ref="AE121">LOOKUP(2,1/($AB$2:$AB$1000=AB121),$AD$2:$AD$1000)</f>
        <v/>
      </c>
      <c r="AK121" s="40"/>
      <c r="AL121" s="39" t="str">
        <f>IF(AK121="","",
   IF(
      COUNTIF('Paste Here'!$AA$2:$AA$1000,AK121)=0,
      "",
      ROUNDDOWN(COUNTIF('Paste Here'!$AA$2:$AA$1000,AK121)/2,0)
   )
)</f>
        <v/>
      </c>
      <c r="AM121" s="39" t="str" cm="1">
        <f t="array" ref="AM121">IFERROR(IF(LOOKUP(2,1/($AA$2:$AA$1000=AK121),$AD$2:$AD$1000)=0,"",
LOOKUP(2,1/($AA$2:$AA$1000=AK121),$AD$2:$AD$1000)),"")</f>
        <v/>
      </c>
      <c r="AO121" s="33" t="str" cm="1">
        <f t="array" ref="AO121">IFERROR(INDEX($AA$2:$AA$282,MATCH(0,COUNTIF('Paste Here'!$AK$1:AK120,$AA$2:$AA$282),0)),"")</f>
        <v/>
      </c>
      <c r="AP121" s="33" t="str">
        <f>IF(COUNTIF('Paste Here'!$AK$2:AK121,'Paste Here'!AK121)=1,VALUE('Paste Here'!AK121),"")</f>
        <v/>
      </c>
    </row>
    <row r="122" spans="1:42" x14ac:dyDescent="0.3">
      <c r="A122"/>
      <c r="B122"/>
      <c r="C122"/>
      <c r="D122" s="4"/>
      <c r="E122"/>
      <c r="F122"/>
      <c r="G122"/>
      <c r="H122"/>
      <c r="AA122" s="33" t="str">
        <f t="shared" si="4"/>
        <v/>
      </c>
      <c r="AC122" s="33">
        <f t="shared" si="3"/>
        <v>1048540</v>
      </c>
      <c r="AD122" s="33" t="str">
        <f t="shared" si="5"/>
        <v/>
      </c>
      <c r="AE122" s="33" t="str" cm="1">
        <f t="array" ref="AE122">LOOKUP(2,1/($AB$2:$AB$1000=AB122),$AD$2:$AD$1000)</f>
        <v/>
      </c>
      <c r="AK122" s="40"/>
      <c r="AL122" s="39" t="str">
        <f>IF(AK122="","",
   IF(
      COUNTIF('Paste Here'!$AA$2:$AA$1000,AK122)=0,
      "",
      ROUNDDOWN(COUNTIF('Paste Here'!$AA$2:$AA$1000,AK122)/2,0)
   )
)</f>
        <v/>
      </c>
      <c r="AM122" s="39" t="str" cm="1">
        <f t="array" ref="AM122">IFERROR(IF(LOOKUP(2,1/($AA$2:$AA$1000=AK122),$AD$2:$AD$1000)=0,"",
LOOKUP(2,1/($AA$2:$AA$1000=AK122),$AD$2:$AD$1000)),"")</f>
        <v/>
      </c>
      <c r="AO122" s="33" t="str" cm="1">
        <f t="array" ref="AO122">IFERROR(INDEX($AA$2:$AA$282,MATCH(0,COUNTIF('Paste Here'!$AK$1:AK121,$AA$2:$AA$282),0)),"")</f>
        <v/>
      </c>
      <c r="AP122" s="33" t="str">
        <f>IF(COUNTIF('Paste Here'!$AK$2:AK122,'Paste Here'!AK122)=1,VALUE('Paste Here'!AK122),"")</f>
        <v/>
      </c>
    </row>
    <row r="123" spans="1:42" x14ac:dyDescent="0.3">
      <c r="A123"/>
      <c r="B123"/>
      <c r="C123"/>
      <c r="D123" s="4"/>
      <c r="E123"/>
      <c r="F123"/>
      <c r="G123"/>
      <c r="H123"/>
      <c r="AA123" s="33" t="str">
        <f t="shared" si="4"/>
        <v/>
      </c>
      <c r="AC123" s="33">
        <f t="shared" si="3"/>
        <v>1048540</v>
      </c>
      <c r="AD123" s="33" t="str">
        <f t="shared" si="5"/>
        <v/>
      </c>
      <c r="AE123" s="33" t="str" cm="1">
        <f t="array" ref="AE123">LOOKUP(2,1/($AB$2:$AB$1000=AB123),$AD$2:$AD$1000)</f>
        <v/>
      </c>
      <c r="AK123" s="40"/>
      <c r="AL123" s="39" t="str">
        <f>IF(AK123="","",
   IF(
      COUNTIF('Paste Here'!$AA$2:$AA$1000,AK123)=0,
      "",
      ROUNDDOWN(COUNTIF('Paste Here'!$AA$2:$AA$1000,AK123)/2,0)
   )
)</f>
        <v/>
      </c>
      <c r="AM123" s="39" t="str" cm="1">
        <f t="array" ref="AM123">IFERROR(IF(LOOKUP(2,1/($AA$2:$AA$1000=AK123),$AD$2:$AD$1000)=0,"",
LOOKUP(2,1/($AA$2:$AA$1000=AK123),$AD$2:$AD$1000)),"")</f>
        <v/>
      </c>
      <c r="AO123" s="33" t="str" cm="1">
        <f t="array" ref="AO123">IFERROR(INDEX($AA$2:$AA$282,MATCH(0,COUNTIF('Paste Here'!$AK$1:AK122,$AA$2:$AA$282),0)),"")</f>
        <v/>
      </c>
      <c r="AP123" s="33" t="str">
        <f>IF(COUNTIF('Paste Here'!$AK$2:AK123,'Paste Here'!AK123)=1,VALUE('Paste Here'!AK123),"")</f>
        <v/>
      </c>
    </row>
    <row r="124" spans="1:42" x14ac:dyDescent="0.3">
      <c r="A124"/>
      <c r="B124"/>
      <c r="C124"/>
      <c r="D124" s="4"/>
      <c r="E124"/>
      <c r="F124"/>
      <c r="G124"/>
      <c r="H124"/>
      <c r="AA124" s="33" t="str">
        <f t="shared" si="4"/>
        <v/>
      </c>
      <c r="AC124" s="33">
        <f t="shared" si="3"/>
        <v>1048540</v>
      </c>
      <c r="AD124" s="33" t="str">
        <f t="shared" si="5"/>
        <v/>
      </c>
      <c r="AE124" s="33" t="str" cm="1">
        <f t="array" ref="AE124">LOOKUP(2,1/($AB$2:$AB$1000=AB124),$AD$2:$AD$1000)</f>
        <v/>
      </c>
      <c r="AK124" s="40"/>
      <c r="AL124" s="39" t="str">
        <f>IF(AK124="","",
   IF(
      COUNTIF('Paste Here'!$AA$2:$AA$1000,AK124)=0,
      "",
      ROUNDDOWN(COUNTIF('Paste Here'!$AA$2:$AA$1000,AK124)/2,0)
   )
)</f>
        <v/>
      </c>
      <c r="AM124" s="39" t="str" cm="1">
        <f t="array" ref="AM124">IFERROR(IF(LOOKUP(2,1/($AA$2:$AA$1000=AK124),$AD$2:$AD$1000)=0,"",
LOOKUP(2,1/($AA$2:$AA$1000=AK124),$AD$2:$AD$1000)),"")</f>
        <v/>
      </c>
      <c r="AO124" s="33" t="str" cm="1">
        <f t="array" ref="AO124">IFERROR(INDEX($AA$2:$AA$282,MATCH(0,COUNTIF('Paste Here'!$AK$1:AK123,$AA$2:$AA$282),0)),"")</f>
        <v/>
      </c>
      <c r="AP124" s="33" t="str">
        <f>IF(COUNTIF('Paste Here'!$AK$2:AK124,'Paste Here'!AK124)=1,VALUE('Paste Here'!AK124),"")</f>
        <v/>
      </c>
    </row>
    <row r="125" spans="1:42" x14ac:dyDescent="0.3">
      <c r="A125"/>
      <c r="B125"/>
      <c r="C125"/>
      <c r="D125" s="4"/>
      <c r="E125"/>
      <c r="F125"/>
      <c r="G125"/>
      <c r="H125"/>
      <c r="AA125" s="33" t="str">
        <f t="shared" si="4"/>
        <v/>
      </c>
      <c r="AC125" s="33">
        <f t="shared" si="3"/>
        <v>1048540</v>
      </c>
      <c r="AD125" s="33" t="str">
        <f t="shared" si="5"/>
        <v/>
      </c>
      <c r="AE125" s="33" t="str" cm="1">
        <f t="array" ref="AE125">LOOKUP(2,1/($AB$2:$AB$1000=AB125),$AD$2:$AD$1000)</f>
        <v/>
      </c>
      <c r="AK125" s="40"/>
      <c r="AL125" s="39" t="str">
        <f>IF(AK125="","",
   IF(
      COUNTIF('Paste Here'!$AA$2:$AA$1000,AK125)=0,
      "",
      ROUNDDOWN(COUNTIF('Paste Here'!$AA$2:$AA$1000,AK125)/2,0)
   )
)</f>
        <v/>
      </c>
      <c r="AM125" s="39" t="str" cm="1">
        <f t="array" ref="AM125">IFERROR(IF(LOOKUP(2,1/($AA$2:$AA$1000=AK125),$AD$2:$AD$1000)=0,"",
LOOKUP(2,1/($AA$2:$AA$1000=AK125),$AD$2:$AD$1000)),"")</f>
        <v/>
      </c>
      <c r="AO125" s="33" t="str" cm="1">
        <f t="array" ref="AO125">IFERROR(INDEX($AA$2:$AA$282,MATCH(0,COUNTIF('Paste Here'!$AK$1:AK124,$AA$2:$AA$282),0)),"")</f>
        <v/>
      </c>
      <c r="AP125" s="33" t="str">
        <f>IF(COUNTIF('Paste Here'!$AK$2:AK125,'Paste Here'!AK125)=1,VALUE('Paste Here'!AK125),"")</f>
        <v/>
      </c>
    </row>
    <row r="126" spans="1:42" x14ac:dyDescent="0.3">
      <c r="A126"/>
      <c r="B126"/>
      <c r="C126"/>
      <c r="D126" s="4"/>
      <c r="E126"/>
      <c r="F126"/>
      <c r="G126"/>
      <c r="H126"/>
      <c r="AA126" s="33" t="str">
        <f t="shared" si="4"/>
        <v/>
      </c>
      <c r="AC126" s="33">
        <f t="shared" si="3"/>
        <v>1048540</v>
      </c>
      <c r="AD126" s="33" t="str">
        <f t="shared" si="5"/>
        <v/>
      </c>
      <c r="AE126" s="33" t="str" cm="1">
        <f t="array" ref="AE126">LOOKUP(2,1/($AB$2:$AB$1000=AB126),$AD$2:$AD$1000)</f>
        <v/>
      </c>
      <c r="AK126" s="40"/>
      <c r="AL126" s="39" t="str">
        <f>IF(AK126="","",
   IF(
      COUNTIF('Paste Here'!$AA$2:$AA$1000,AK126)=0,
      "",
      ROUNDDOWN(COUNTIF('Paste Here'!$AA$2:$AA$1000,AK126)/2,0)
   )
)</f>
        <v/>
      </c>
      <c r="AM126" s="39" t="str" cm="1">
        <f t="array" ref="AM126">IFERROR(IF(LOOKUP(2,1/($AA$2:$AA$1000=AK126),$AD$2:$AD$1000)=0,"",
LOOKUP(2,1/($AA$2:$AA$1000=AK126),$AD$2:$AD$1000)),"")</f>
        <v/>
      </c>
      <c r="AO126" s="33" t="str" cm="1">
        <f t="array" ref="AO126">IFERROR(INDEX($AA$2:$AA$282,MATCH(0,COUNTIF('Paste Here'!$AK$1:AK125,$AA$2:$AA$282),0)),"")</f>
        <v/>
      </c>
      <c r="AP126" s="33" t="str">
        <f>IF(COUNTIF('Paste Here'!$AK$2:AK126,'Paste Here'!AK126)=1,VALUE('Paste Here'!AK126),"")</f>
        <v/>
      </c>
    </row>
    <row r="127" spans="1:42" x14ac:dyDescent="0.3">
      <c r="A127"/>
      <c r="B127"/>
      <c r="C127"/>
      <c r="D127" s="4"/>
      <c r="E127"/>
      <c r="F127"/>
      <c r="G127"/>
      <c r="H127"/>
      <c r="AA127" s="33" t="str">
        <f t="shared" si="4"/>
        <v/>
      </c>
      <c r="AC127" s="33">
        <f t="shared" si="3"/>
        <v>1048540</v>
      </c>
      <c r="AD127" s="33" t="str">
        <f t="shared" si="5"/>
        <v/>
      </c>
      <c r="AE127" s="33" t="str" cm="1">
        <f t="array" ref="AE127">LOOKUP(2,1/($AB$2:$AB$1000=AB127),$AD$2:$AD$1000)</f>
        <v/>
      </c>
      <c r="AK127" s="40"/>
      <c r="AL127" s="39" t="str">
        <f>IF(AK127="","",
   IF(
      COUNTIF('Paste Here'!$AA$2:$AA$1000,AK127)=0,
      "",
      ROUNDDOWN(COUNTIF('Paste Here'!$AA$2:$AA$1000,AK127)/2,0)
   )
)</f>
        <v/>
      </c>
      <c r="AM127" s="39" t="str" cm="1">
        <f t="array" ref="AM127">IFERROR(IF(LOOKUP(2,1/($AA$2:$AA$1000=AK127),$AD$2:$AD$1000)=0,"",
LOOKUP(2,1/($AA$2:$AA$1000=AK127),$AD$2:$AD$1000)),"")</f>
        <v/>
      </c>
      <c r="AO127" s="33" t="str" cm="1">
        <f t="array" ref="AO127">IFERROR(INDEX($AA$2:$AA$282,MATCH(0,COUNTIF('Paste Here'!$AK$1:AK126,$AA$2:$AA$282),0)),"")</f>
        <v/>
      </c>
      <c r="AP127" s="33" t="str">
        <f>IF(COUNTIF('Paste Here'!$AK$2:AK127,'Paste Here'!AK127)=1,VALUE('Paste Here'!AK127),"")</f>
        <v/>
      </c>
    </row>
    <row r="128" spans="1:42" x14ac:dyDescent="0.3">
      <c r="A128"/>
      <c r="B128"/>
      <c r="C128"/>
      <c r="D128" s="4"/>
      <c r="E128"/>
      <c r="F128"/>
      <c r="G128"/>
      <c r="H128"/>
      <c r="AA128" s="33" t="str">
        <f t="shared" si="4"/>
        <v/>
      </c>
      <c r="AC128" s="33">
        <f t="shared" si="3"/>
        <v>1048540</v>
      </c>
      <c r="AD128" s="33" t="str">
        <f t="shared" si="5"/>
        <v/>
      </c>
      <c r="AE128" s="33" t="str" cm="1">
        <f t="array" ref="AE128">LOOKUP(2,1/($AB$2:$AB$1000=AB128),$AD$2:$AD$1000)</f>
        <v/>
      </c>
      <c r="AK128" s="40"/>
      <c r="AL128" s="39" t="str">
        <f>IF(AK128="","",
   IF(
      COUNTIF('Paste Here'!$AA$2:$AA$1000,AK128)=0,
      "",
      ROUNDDOWN(COUNTIF('Paste Here'!$AA$2:$AA$1000,AK128)/2,0)
   )
)</f>
        <v/>
      </c>
      <c r="AM128" s="39" t="str" cm="1">
        <f t="array" ref="AM128">IFERROR(IF(LOOKUP(2,1/($AA$2:$AA$1000=AK128),$AD$2:$AD$1000)=0,"",
LOOKUP(2,1/($AA$2:$AA$1000=AK128),$AD$2:$AD$1000)),"")</f>
        <v/>
      </c>
      <c r="AO128" s="33" t="str" cm="1">
        <f t="array" ref="AO128">IFERROR(INDEX($AA$2:$AA$282,MATCH(0,COUNTIF('Paste Here'!$AK$1:AK127,$AA$2:$AA$282),0)),"")</f>
        <v/>
      </c>
      <c r="AP128" s="33" t="str">
        <f>IF(COUNTIF('Paste Here'!$AK$2:AK128,'Paste Here'!AK128)=1,VALUE('Paste Here'!AK128),"")</f>
        <v/>
      </c>
    </row>
    <row r="129" spans="1:42" x14ac:dyDescent="0.3">
      <c r="A129"/>
      <c r="B129"/>
      <c r="C129"/>
      <c r="D129" s="4"/>
      <c r="E129"/>
      <c r="F129"/>
      <c r="G129"/>
      <c r="H129"/>
      <c r="AA129" s="33" t="str">
        <f t="shared" si="4"/>
        <v/>
      </c>
      <c r="AC129" s="33">
        <f t="shared" si="3"/>
        <v>1048540</v>
      </c>
      <c r="AD129" s="33" t="str">
        <f t="shared" si="5"/>
        <v/>
      </c>
      <c r="AE129" s="33" t="str" cm="1">
        <f t="array" ref="AE129">LOOKUP(2,1/($AB$2:$AB$1000=AB129),$AD$2:$AD$1000)</f>
        <v/>
      </c>
      <c r="AK129" s="40"/>
      <c r="AL129" s="39" t="str">
        <f>IF(AK129="","",
   IF(
      COUNTIF('Paste Here'!$AA$2:$AA$1000,AK129)=0,
      "",
      ROUNDDOWN(COUNTIF('Paste Here'!$AA$2:$AA$1000,AK129)/2,0)
   )
)</f>
        <v/>
      </c>
      <c r="AM129" s="39" t="str" cm="1">
        <f t="array" ref="AM129">IFERROR(IF(LOOKUP(2,1/($AA$2:$AA$1000=AK129),$AD$2:$AD$1000)=0,"",
LOOKUP(2,1/($AA$2:$AA$1000=AK129),$AD$2:$AD$1000)),"")</f>
        <v/>
      </c>
      <c r="AO129" s="33" t="str" cm="1">
        <f t="array" ref="AO129">IFERROR(INDEX($AA$2:$AA$282,MATCH(0,COUNTIF('Paste Here'!$AK$1:AK128,$AA$2:$AA$282),0)),"")</f>
        <v/>
      </c>
      <c r="AP129" s="33" t="str">
        <f>IF(COUNTIF('Paste Here'!$AK$2:AK129,'Paste Here'!AK129)=1,VALUE('Paste Here'!AK129),"")</f>
        <v/>
      </c>
    </row>
    <row r="130" spans="1:42" x14ac:dyDescent="0.3">
      <c r="A130"/>
      <c r="B130"/>
      <c r="C130"/>
      <c r="D130" s="4"/>
      <c r="E130"/>
      <c r="F130"/>
      <c r="G130"/>
      <c r="H130"/>
      <c r="AA130" s="33" t="str">
        <f t="shared" si="4"/>
        <v/>
      </c>
      <c r="AC130" s="33">
        <f t="shared" ref="AC130:AC193" si="6">COUNTIF($AA:$AA,AA130)</f>
        <v>1048540</v>
      </c>
      <c r="AD130" s="33" t="str">
        <f t="shared" si="5"/>
        <v/>
      </c>
      <c r="AE130" s="33" t="str" cm="1">
        <f t="array" ref="AE130">LOOKUP(2,1/($AB$2:$AB$1000=AB130),$AD$2:$AD$1000)</f>
        <v/>
      </c>
      <c r="AK130" s="40"/>
      <c r="AL130" s="39" t="str">
        <f>IF(AK130="","",
   IF(
      COUNTIF('Paste Here'!$AA$2:$AA$1000,AK130)=0,
      "",
      ROUNDDOWN(COUNTIF('Paste Here'!$AA$2:$AA$1000,AK130)/2,0)
   )
)</f>
        <v/>
      </c>
      <c r="AM130" s="39" t="str" cm="1">
        <f t="array" ref="AM130">IFERROR(IF(LOOKUP(2,1/($AA$2:$AA$1000=AK130),$AD$2:$AD$1000)=0,"",
LOOKUP(2,1/($AA$2:$AA$1000=AK130),$AD$2:$AD$1000)),"")</f>
        <v/>
      </c>
      <c r="AO130" s="33" t="str" cm="1">
        <f t="array" ref="AO130">IFERROR(INDEX($AA$2:$AA$282,MATCH(0,COUNTIF('Paste Here'!$AK$1:AK129,$AA$2:$AA$282),0)),"")</f>
        <v/>
      </c>
      <c r="AP130" s="33" t="str">
        <f>IF(COUNTIF('Paste Here'!$AK$2:AK130,'Paste Here'!AK130)=1,VALUE('Paste Here'!AK130),"")</f>
        <v/>
      </c>
    </row>
    <row r="131" spans="1:42" x14ac:dyDescent="0.3">
      <c r="A131"/>
      <c r="B131"/>
      <c r="C131"/>
      <c r="D131" s="4"/>
      <c r="E131"/>
      <c r="F131"/>
      <c r="G131"/>
      <c r="H131"/>
      <c r="AA131" s="33" t="str">
        <f t="shared" ref="AA131:AA194" si="7">IFERROR(MID(G131,FIND("LR-",G131)+3,FIND("-",G131,FIND("LR-",G131)+3)-FIND("LR-",G131)-3),"")</f>
        <v/>
      </c>
      <c r="AC131" s="33">
        <f t="shared" si="6"/>
        <v>1048540</v>
      </c>
      <c r="AD131" s="33" t="str">
        <f t="shared" ref="AD131:AD194" si="8">IF(F131=0,"",F131)</f>
        <v/>
      </c>
      <c r="AE131" s="33" t="str" cm="1">
        <f t="array" ref="AE131">LOOKUP(2,1/($AB$2:$AB$1000=AB131),$AD$2:$AD$1000)</f>
        <v/>
      </c>
      <c r="AK131" s="40"/>
      <c r="AL131" s="39" t="str">
        <f>IF(AK131="","",
   IF(
      COUNTIF('Paste Here'!$AA$2:$AA$1000,AK131)=0,
      "",
      ROUNDDOWN(COUNTIF('Paste Here'!$AA$2:$AA$1000,AK131)/2,0)
   )
)</f>
        <v/>
      </c>
      <c r="AM131" s="39" t="str" cm="1">
        <f t="array" ref="AM131">IFERROR(IF(LOOKUP(2,1/($AA$2:$AA$1000=AK131),$AD$2:$AD$1000)=0,"",
LOOKUP(2,1/($AA$2:$AA$1000=AK131),$AD$2:$AD$1000)),"")</f>
        <v/>
      </c>
      <c r="AO131" s="33" t="str" cm="1">
        <f t="array" ref="AO131">IFERROR(INDEX($AA$2:$AA$282,MATCH(0,COUNTIF('Paste Here'!$AK$1:AK130,$AA$2:$AA$282),0)),"")</f>
        <v/>
      </c>
      <c r="AP131" s="33" t="str">
        <f>IF(COUNTIF('Paste Here'!$AK$2:AK131,'Paste Here'!AK131)=1,VALUE('Paste Here'!AK131),"")</f>
        <v/>
      </c>
    </row>
    <row r="132" spans="1:42" x14ac:dyDescent="0.3">
      <c r="A132"/>
      <c r="B132"/>
      <c r="C132"/>
      <c r="D132" s="4"/>
      <c r="E132"/>
      <c r="F132"/>
      <c r="G132"/>
      <c r="H132"/>
      <c r="AA132" s="33" t="str">
        <f t="shared" si="7"/>
        <v/>
      </c>
      <c r="AC132" s="33">
        <f t="shared" si="6"/>
        <v>1048540</v>
      </c>
      <c r="AD132" s="33" t="str">
        <f t="shared" si="8"/>
        <v/>
      </c>
      <c r="AE132" s="33" t="str" cm="1">
        <f t="array" ref="AE132">LOOKUP(2,1/($AB$2:$AB$1000=AB132),$AD$2:$AD$1000)</f>
        <v/>
      </c>
      <c r="AK132" s="40"/>
      <c r="AL132" s="39" t="str">
        <f>IF(AK132="","",
   IF(
      COUNTIF('Paste Here'!$AA$2:$AA$1000,AK132)=0,
      "",
      ROUNDDOWN(COUNTIF('Paste Here'!$AA$2:$AA$1000,AK132)/2,0)
   )
)</f>
        <v/>
      </c>
      <c r="AM132" s="39" t="str" cm="1">
        <f t="array" ref="AM132">IFERROR(IF(LOOKUP(2,1/($AA$2:$AA$1000=AK132),$AD$2:$AD$1000)=0,"",
LOOKUP(2,1/($AA$2:$AA$1000=AK132),$AD$2:$AD$1000)),"")</f>
        <v/>
      </c>
      <c r="AO132" s="33" t="str" cm="1">
        <f t="array" ref="AO132">IFERROR(INDEX($AA$2:$AA$282,MATCH(0,COUNTIF('Paste Here'!$AK$1:AK131,$AA$2:$AA$282),0)),"")</f>
        <v/>
      </c>
      <c r="AP132" s="33" t="str">
        <f>IF(COUNTIF('Paste Here'!$AK$2:AK132,'Paste Here'!AK132)=1,VALUE('Paste Here'!AK132),"")</f>
        <v/>
      </c>
    </row>
    <row r="133" spans="1:42" x14ac:dyDescent="0.3">
      <c r="A133"/>
      <c r="B133"/>
      <c r="C133"/>
      <c r="D133" s="4"/>
      <c r="E133"/>
      <c r="F133"/>
      <c r="G133"/>
      <c r="H133"/>
      <c r="AA133" s="33" t="str">
        <f t="shared" si="7"/>
        <v/>
      </c>
      <c r="AC133" s="33">
        <f t="shared" si="6"/>
        <v>1048540</v>
      </c>
      <c r="AD133" s="33" t="str">
        <f t="shared" si="8"/>
        <v/>
      </c>
      <c r="AE133" s="33" t="str" cm="1">
        <f t="array" ref="AE133">LOOKUP(2,1/($AB$2:$AB$1000=AB133),$AD$2:$AD$1000)</f>
        <v/>
      </c>
      <c r="AK133" s="40"/>
      <c r="AL133" s="39" t="str">
        <f>IF(AK133="","",
   IF(
      COUNTIF('Paste Here'!$AA$2:$AA$1000,AK133)=0,
      "",
      ROUNDDOWN(COUNTIF('Paste Here'!$AA$2:$AA$1000,AK133)/2,0)
   )
)</f>
        <v/>
      </c>
      <c r="AM133" s="39" t="str" cm="1">
        <f t="array" ref="AM133">IFERROR(IF(LOOKUP(2,1/($AA$2:$AA$1000=AK133),$AD$2:$AD$1000)=0,"",
LOOKUP(2,1/($AA$2:$AA$1000=AK133),$AD$2:$AD$1000)),"")</f>
        <v/>
      </c>
      <c r="AO133" s="33" t="str" cm="1">
        <f t="array" ref="AO133">IFERROR(INDEX($AA$2:$AA$282,MATCH(0,COUNTIF('Paste Here'!$AK$1:AK132,$AA$2:$AA$282),0)),"")</f>
        <v/>
      </c>
      <c r="AP133" s="33" t="str">
        <f>IF(COUNTIF('Paste Here'!$AK$2:AK133,'Paste Here'!AK133)=1,VALUE('Paste Here'!AK133),"")</f>
        <v/>
      </c>
    </row>
    <row r="134" spans="1:42" x14ac:dyDescent="0.3">
      <c r="A134"/>
      <c r="B134"/>
      <c r="C134"/>
      <c r="D134" s="4"/>
      <c r="E134"/>
      <c r="F134"/>
      <c r="G134"/>
      <c r="H134"/>
      <c r="AA134" s="33" t="str">
        <f t="shared" si="7"/>
        <v/>
      </c>
      <c r="AC134" s="33">
        <f t="shared" si="6"/>
        <v>1048540</v>
      </c>
      <c r="AD134" s="33" t="str">
        <f t="shared" si="8"/>
        <v/>
      </c>
      <c r="AE134" s="33" t="str" cm="1">
        <f t="array" ref="AE134">LOOKUP(2,1/($AB$2:$AB$1000=AB134),$AD$2:$AD$1000)</f>
        <v/>
      </c>
      <c r="AK134" s="40"/>
      <c r="AL134" s="39" t="str">
        <f>IF(AK134="","",
   IF(
      COUNTIF('Paste Here'!$AA$2:$AA$1000,AK134)=0,
      "",
      ROUNDDOWN(COUNTIF('Paste Here'!$AA$2:$AA$1000,AK134)/2,0)
   )
)</f>
        <v/>
      </c>
      <c r="AM134" s="39" t="str" cm="1">
        <f t="array" ref="AM134">IFERROR(IF(LOOKUP(2,1/($AA$2:$AA$1000=AK134),$AD$2:$AD$1000)=0,"",
LOOKUP(2,1/($AA$2:$AA$1000=AK134),$AD$2:$AD$1000)),"")</f>
        <v/>
      </c>
      <c r="AO134" s="33" t="str" cm="1">
        <f t="array" ref="AO134">IFERROR(INDEX($AA$2:$AA$282,MATCH(0,COUNTIF('Paste Here'!$AK$1:AK133,$AA$2:$AA$282),0)),"")</f>
        <v/>
      </c>
      <c r="AP134" s="33" t="str">
        <f>IF(COUNTIF('Paste Here'!$AK$2:AK134,'Paste Here'!AK134)=1,VALUE('Paste Here'!AK134),"")</f>
        <v/>
      </c>
    </row>
    <row r="135" spans="1:42" x14ac:dyDescent="0.3">
      <c r="A135"/>
      <c r="B135"/>
      <c r="C135"/>
      <c r="D135" s="4"/>
      <c r="E135"/>
      <c r="F135"/>
      <c r="G135"/>
      <c r="H135"/>
      <c r="AA135" s="33" t="str">
        <f t="shared" si="7"/>
        <v/>
      </c>
      <c r="AC135" s="33">
        <f t="shared" si="6"/>
        <v>1048540</v>
      </c>
      <c r="AD135" s="33" t="str">
        <f t="shared" si="8"/>
        <v/>
      </c>
      <c r="AE135" s="33" t="str" cm="1">
        <f t="array" ref="AE135">LOOKUP(2,1/($AB$2:$AB$1000=AB135),$AD$2:$AD$1000)</f>
        <v/>
      </c>
      <c r="AK135" s="40"/>
      <c r="AL135" s="39" t="str">
        <f>IF(AK135="","",
   IF(
      COUNTIF('Paste Here'!$AA$2:$AA$1000,AK135)=0,
      "",
      ROUNDDOWN(COUNTIF('Paste Here'!$AA$2:$AA$1000,AK135)/2,0)
   )
)</f>
        <v/>
      </c>
      <c r="AM135" s="39" t="str" cm="1">
        <f t="array" ref="AM135">IFERROR(IF(LOOKUP(2,1/($AA$2:$AA$1000=AK135),$AD$2:$AD$1000)=0,"",
LOOKUP(2,1/($AA$2:$AA$1000=AK135),$AD$2:$AD$1000)),"")</f>
        <v/>
      </c>
      <c r="AO135" s="33" t="str" cm="1">
        <f t="array" ref="AO135">IFERROR(INDEX($AA$2:$AA$282,MATCH(0,COUNTIF('Paste Here'!$AK$1:AK134,$AA$2:$AA$282),0)),"")</f>
        <v/>
      </c>
      <c r="AP135" s="33" t="str">
        <f>IF(COUNTIF('Paste Here'!$AK$2:AK135,'Paste Here'!AK135)=1,VALUE('Paste Here'!AK135),"")</f>
        <v/>
      </c>
    </row>
    <row r="136" spans="1:42" x14ac:dyDescent="0.3">
      <c r="A136"/>
      <c r="B136"/>
      <c r="C136"/>
      <c r="D136" s="4"/>
      <c r="E136"/>
      <c r="F136"/>
      <c r="G136"/>
      <c r="H136"/>
      <c r="AA136" s="33" t="str">
        <f t="shared" si="7"/>
        <v/>
      </c>
      <c r="AC136" s="33">
        <f t="shared" si="6"/>
        <v>1048540</v>
      </c>
      <c r="AD136" s="33" t="str">
        <f t="shared" si="8"/>
        <v/>
      </c>
      <c r="AE136" s="33" t="str" cm="1">
        <f t="array" ref="AE136">LOOKUP(2,1/($AB$2:$AB$1000=AB136),$AD$2:$AD$1000)</f>
        <v/>
      </c>
      <c r="AK136" s="40"/>
      <c r="AL136" s="39" t="str">
        <f>IF(AK136="","",
   IF(
      COUNTIF('Paste Here'!$AA$2:$AA$1000,AK136)=0,
      "",
      ROUNDDOWN(COUNTIF('Paste Here'!$AA$2:$AA$1000,AK136)/2,0)
   )
)</f>
        <v/>
      </c>
      <c r="AM136" s="39" t="str" cm="1">
        <f t="array" ref="AM136">IFERROR(IF(LOOKUP(2,1/($AA$2:$AA$1000=AK136),$AD$2:$AD$1000)=0,"",
LOOKUP(2,1/($AA$2:$AA$1000=AK136),$AD$2:$AD$1000)),"")</f>
        <v/>
      </c>
      <c r="AO136" s="33" t="str" cm="1">
        <f t="array" ref="AO136">IFERROR(INDEX($AA$2:$AA$282,MATCH(0,COUNTIF('Paste Here'!$AK$1:AK135,$AA$2:$AA$282),0)),"")</f>
        <v/>
      </c>
      <c r="AP136" s="33" t="str">
        <f>IF(COUNTIF('Paste Here'!$AK$2:AK136,'Paste Here'!AK136)=1,VALUE('Paste Here'!AK136),"")</f>
        <v/>
      </c>
    </row>
    <row r="137" spans="1:42" x14ac:dyDescent="0.3">
      <c r="A137"/>
      <c r="B137"/>
      <c r="C137"/>
      <c r="D137" s="4"/>
      <c r="E137"/>
      <c r="F137"/>
      <c r="G137"/>
      <c r="H137"/>
      <c r="AA137" s="33" t="str">
        <f t="shared" si="7"/>
        <v/>
      </c>
      <c r="AC137" s="33">
        <f t="shared" si="6"/>
        <v>1048540</v>
      </c>
      <c r="AD137" s="33" t="str">
        <f t="shared" si="8"/>
        <v/>
      </c>
      <c r="AE137" s="33" t="str" cm="1">
        <f t="array" ref="AE137">LOOKUP(2,1/($AB$2:$AB$1000=AB137),$AD$2:$AD$1000)</f>
        <v/>
      </c>
      <c r="AK137" s="40"/>
      <c r="AL137" s="39" t="str">
        <f>IF(AK137="","",
   IF(
      COUNTIF('Paste Here'!$AA$2:$AA$1000,AK137)=0,
      "",
      ROUNDDOWN(COUNTIF('Paste Here'!$AA$2:$AA$1000,AK137)/2,0)
   )
)</f>
        <v/>
      </c>
      <c r="AM137" s="39" t="str" cm="1">
        <f t="array" ref="AM137">IFERROR(IF(LOOKUP(2,1/($AA$2:$AA$1000=AK137),$AD$2:$AD$1000)=0,"",
LOOKUP(2,1/($AA$2:$AA$1000=AK137),$AD$2:$AD$1000)),"")</f>
        <v/>
      </c>
      <c r="AO137" s="33" t="str" cm="1">
        <f t="array" ref="AO137">IFERROR(INDEX($AA$2:$AA$282,MATCH(0,COUNTIF('Paste Here'!$AK$1:AK136,$AA$2:$AA$282),0)),"")</f>
        <v/>
      </c>
      <c r="AP137" s="33" t="str">
        <f>IF(COUNTIF('Paste Here'!$AK$2:AK137,'Paste Here'!AK137)=1,VALUE('Paste Here'!AK137),"")</f>
        <v/>
      </c>
    </row>
    <row r="138" spans="1:42" x14ac:dyDescent="0.3">
      <c r="A138"/>
      <c r="B138"/>
      <c r="C138"/>
      <c r="D138" s="4"/>
      <c r="E138"/>
      <c r="F138"/>
      <c r="G138"/>
      <c r="H138"/>
      <c r="AA138" s="33" t="str">
        <f t="shared" si="7"/>
        <v/>
      </c>
      <c r="AC138" s="33">
        <f t="shared" si="6"/>
        <v>1048540</v>
      </c>
      <c r="AD138" s="33" t="str">
        <f t="shared" si="8"/>
        <v/>
      </c>
      <c r="AE138" s="33" t="str" cm="1">
        <f t="array" ref="AE138">LOOKUP(2,1/($AB$2:$AB$1000=AB138),$AD$2:$AD$1000)</f>
        <v/>
      </c>
      <c r="AK138" s="40"/>
      <c r="AL138" s="39" t="str">
        <f>IF(AK138="","",
   IF(
      COUNTIF('Paste Here'!$AA$2:$AA$1000,AK138)=0,
      "",
      ROUNDDOWN(COUNTIF('Paste Here'!$AA$2:$AA$1000,AK138)/2,0)
   )
)</f>
        <v/>
      </c>
      <c r="AM138" s="39" t="str" cm="1">
        <f t="array" ref="AM138">IFERROR(IF(LOOKUP(2,1/($AA$2:$AA$1000=AK138),$AD$2:$AD$1000)=0,"",
LOOKUP(2,1/($AA$2:$AA$1000=AK138),$AD$2:$AD$1000)),"")</f>
        <v/>
      </c>
      <c r="AO138" s="33" t="str" cm="1">
        <f t="array" ref="AO138">IFERROR(INDEX($AA$2:$AA$282,MATCH(0,COUNTIF('Paste Here'!$AK$1:AK137,$AA$2:$AA$282),0)),"")</f>
        <v/>
      </c>
      <c r="AP138" s="33" t="str">
        <f>IF(COUNTIF('Paste Here'!$AK$2:AK138,'Paste Here'!AK138)=1,VALUE('Paste Here'!AK138),"")</f>
        <v/>
      </c>
    </row>
    <row r="139" spans="1:42" x14ac:dyDescent="0.3">
      <c r="A139"/>
      <c r="B139"/>
      <c r="C139"/>
      <c r="D139" s="4"/>
      <c r="E139"/>
      <c r="F139"/>
      <c r="G139"/>
      <c r="H139"/>
      <c r="AA139" s="33" t="str">
        <f t="shared" si="7"/>
        <v/>
      </c>
      <c r="AC139" s="33">
        <f t="shared" si="6"/>
        <v>1048540</v>
      </c>
      <c r="AD139" s="33" t="str">
        <f t="shared" si="8"/>
        <v/>
      </c>
      <c r="AE139" s="33" t="str" cm="1">
        <f t="array" ref="AE139">LOOKUP(2,1/($AB$2:$AB$1000=AB139),$AD$2:$AD$1000)</f>
        <v/>
      </c>
      <c r="AK139" s="40"/>
      <c r="AL139" s="39" t="str">
        <f>IF(AK139="","",
   IF(
      COUNTIF('Paste Here'!$AA$2:$AA$1000,AK139)=0,
      "",
      ROUNDDOWN(COUNTIF('Paste Here'!$AA$2:$AA$1000,AK139)/2,0)
   )
)</f>
        <v/>
      </c>
      <c r="AM139" s="39" t="str" cm="1">
        <f t="array" ref="AM139">IFERROR(IF(LOOKUP(2,1/($AA$2:$AA$1000=AK139),$AD$2:$AD$1000)=0,"",
LOOKUP(2,1/($AA$2:$AA$1000=AK139),$AD$2:$AD$1000)),"")</f>
        <v/>
      </c>
      <c r="AO139" s="33" t="str" cm="1">
        <f t="array" ref="AO139">IFERROR(INDEX($AA$2:$AA$282,MATCH(0,COUNTIF('Paste Here'!$AK$1:AK138,$AA$2:$AA$282),0)),"")</f>
        <v/>
      </c>
      <c r="AP139" s="33" t="str">
        <f>IF(COUNTIF('Paste Here'!$AK$2:AK139,'Paste Here'!AK139)=1,VALUE('Paste Here'!AK139),"")</f>
        <v/>
      </c>
    </row>
    <row r="140" spans="1:42" x14ac:dyDescent="0.3">
      <c r="A140"/>
      <c r="B140"/>
      <c r="C140"/>
      <c r="D140" s="4"/>
      <c r="E140"/>
      <c r="F140"/>
      <c r="G140"/>
      <c r="H140"/>
      <c r="AA140" s="33" t="str">
        <f t="shared" si="7"/>
        <v/>
      </c>
      <c r="AC140" s="33">
        <f t="shared" si="6"/>
        <v>1048540</v>
      </c>
      <c r="AD140" s="33" t="str">
        <f t="shared" si="8"/>
        <v/>
      </c>
      <c r="AE140" s="33" t="str" cm="1">
        <f t="array" ref="AE140">LOOKUP(2,1/($AB$2:$AB$1000=AB140),$AD$2:$AD$1000)</f>
        <v/>
      </c>
      <c r="AK140" s="40"/>
      <c r="AL140" s="39" t="str">
        <f>IF(AK140="","",
   IF(
      COUNTIF('Paste Here'!$AA$2:$AA$1000,AK140)=0,
      "",
      ROUNDDOWN(COUNTIF('Paste Here'!$AA$2:$AA$1000,AK140)/2,0)
   )
)</f>
        <v/>
      </c>
      <c r="AM140" s="39" t="str" cm="1">
        <f t="array" ref="AM140">IFERROR(IF(LOOKUP(2,1/($AA$2:$AA$1000=AK140),$AD$2:$AD$1000)=0,"",
LOOKUP(2,1/($AA$2:$AA$1000=AK140),$AD$2:$AD$1000)),"")</f>
        <v/>
      </c>
      <c r="AO140" s="33" t="str" cm="1">
        <f t="array" ref="AO140">IFERROR(INDEX($AA$2:$AA$282,MATCH(0,COUNTIF('Paste Here'!$AK$1:AK139,$AA$2:$AA$282),0)),"")</f>
        <v/>
      </c>
      <c r="AP140" s="33" t="str">
        <f>IF(COUNTIF('Paste Here'!$AK$2:AK140,'Paste Here'!AK140)=1,VALUE('Paste Here'!AK140),"")</f>
        <v/>
      </c>
    </row>
    <row r="141" spans="1:42" x14ac:dyDescent="0.3">
      <c r="A141"/>
      <c r="B141"/>
      <c r="C141"/>
      <c r="D141" s="4"/>
      <c r="E141"/>
      <c r="F141"/>
      <c r="G141"/>
      <c r="H141"/>
      <c r="AA141" s="33" t="str">
        <f t="shared" si="7"/>
        <v/>
      </c>
      <c r="AC141" s="33">
        <f t="shared" si="6"/>
        <v>1048540</v>
      </c>
      <c r="AD141" s="33" t="str">
        <f t="shared" si="8"/>
        <v/>
      </c>
      <c r="AE141" s="33" t="str" cm="1">
        <f t="array" ref="AE141">LOOKUP(2,1/($AB$2:$AB$1000=AB141),$AD$2:$AD$1000)</f>
        <v/>
      </c>
      <c r="AK141" s="40"/>
      <c r="AL141" s="39" t="str">
        <f>IF(AK141="","",
   IF(
      COUNTIF('Paste Here'!$AA$2:$AA$1000,AK141)=0,
      "",
      ROUNDDOWN(COUNTIF('Paste Here'!$AA$2:$AA$1000,AK141)/2,0)
   )
)</f>
        <v/>
      </c>
      <c r="AM141" s="39" t="str" cm="1">
        <f t="array" ref="AM141">IFERROR(IF(LOOKUP(2,1/($AA$2:$AA$1000=AK141),$AD$2:$AD$1000)=0,"",
LOOKUP(2,1/($AA$2:$AA$1000=AK141),$AD$2:$AD$1000)),"")</f>
        <v/>
      </c>
      <c r="AO141" s="33" t="str" cm="1">
        <f t="array" ref="AO141">IFERROR(INDEX($AA$2:$AA$282,MATCH(0,COUNTIF('Paste Here'!$AK$1:AK140,$AA$2:$AA$282),0)),"")</f>
        <v/>
      </c>
      <c r="AP141" s="33" t="str">
        <f>IF(COUNTIF('Paste Here'!$AK$2:AK141,'Paste Here'!AK141)=1,VALUE('Paste Here'!AK141),"")</f>
        <v/>
      </c>
    </row>
    <row r="142" spans="1:42" x14ac:dyDescent="0.3">
      <c r="A142"/>
      <c r="B142"/>
      <c r="C142"/>
      <c r="D142" s="4"/>
      <c r="E142"/>
      <c r="F142"/>
      <c r="G142"/>
      <c r="H142"/>
      <c r="AA142" s="33" t="str">
        <f t="shared" si="7"/>
        <v/>
      </c>
      <c r="AC142" s="33">
        <f t="shared" si="6"/>
        <v>1048540</v>
      </c>
      <c r="AD142" s="33" t="str">
        <f t="shared" si="8"/>
        <v/>
      </c>
      <c r="AE142" s="33" t="str" cm="1">
        <f t="array" ref="AE142">LOOKUP(2,1/($AB$2:$AB$1000=AB142),$AD$2:$AD$1000)</f>
        <v/>
      </c>
      <c r="AK142" s="40"/>
      <c r="AL142" s="39" t="str">
        <f>IF(AK142="","",
   IF(
      COUNTIF('Paste Here'!$AA$2:$AA$1000,AK142)=0,
      "",
      ROUNDDOWN(COUNTIF('Paste Here'!$AA$2:$AA$1000,AK142)/2,0)
   )
)</f>
        <v/>
      </c>
      <c r="AM142" s="39" t="str" cm="1">
        <f t="array" ref="AM142">IFERROR(IF(LOOKUP(2,1/($AA$2:$AA$1000=AK142),$AD$2:$AD$1000)=0,"",
LOOKUP(2,1/($AA$2:$AA$1000=AK142),$AD$2:$AD$1000)),"")</f>
        <v/>
      </c>
      <c r="AO142" s="33" t="str" cm="1">
        <f t="array" ref="AO142">IFERROR(INDEX($AA$2:$AA$282,MATCH(0,COUNTIF('Paste Here'!$AK$1:AK141,$AA$2:$AA$282),0)),"")</f>
        <v/>
      </c>
      <c r="AP142" s="33" t="str">
        <f>IF(COUNTIF('Paste Here'!$AK$2:AK142,'Paste Here'!AK142)=1,VALUE('Paste Here'!AK142),"")</f>
        <v/>
      </c>
    </row>
    <row r="143" spans="1:42" x14ac:dyDescent="0.3">
      <c r="A143"/>
      <c r="B143"/>
      <c r="C143"/>
      <c r="D143" s="4"/>
      <c r="E143"/>
      <c r="F143"/>
      <c r="G143"/>
      <c r="H143"/>
      <c r="AA143" s="33" t="str">
        <f t="shared" si="7"/>
        <v/>
      </c>
      <c r="AC143" s="33">
        <f t="shared" si="6"/>
        <v>1048540</v>
      </c>
      <c r="AD143" s="33" t="str">
        <f t="shared" si="8"/>
        <v/>
      </c>
      <c r="AE143" s="33" t="str" cm="1">
        <f t="array" ref="AE143">LOOKUP(2,1/($AB$2:$AB$1000=AB143),$AD$2:$AD$1000)</f>
        <v/>
      </c>
      <c r="AK143" s="40"/>
      <c r="AL143" s="39" t="str">
        <f>IF(AK143="","",
   IF(
      COUNTIF('Paste Here'!$AA$2:$AA$1000,AK143)=0,
      "",
      ROUNDDOWN(COUNTIF('Paste Here'!$AA$2:$AA$1000,AK143)/2,0)
   )
)</f>
        <v/>
      </c>
      <c r="AM143" s="39" t="str" cm="1">
        <f t="array" ref="AM143">IFERROR(IF(LOOKUP(2,1/($AA$2:$AA$1000=AK143),$AD$2:$AD$1000)=0,"",
LOOKUP(2,1/($AA$2:$AA$1000=AK143),$AD$2:$AD$1000)),"")</f>
        <v/>
      </c>
      <c r="AO143" s="33" t="str" cm="1">
        <f t="array" ref="AO143">IFERROR(INDEX($AA$2:$AA$282,MATCH(0,COUNTIF('Paste Here'!$AK$1:AK142,$AA$2:$AA$282),0)),"")</f>
        <v/>
      </c>
      <c r="AP143" s="33" t="str">
        <f>IF(COUNTIF('Paste Here'!$AK$2:AK143,'Paste Here'!AK143)=1,VALUE('Paste Here'!AK143),"")</f>
        <v/>
      </c>
    </row>
    <row r="144" spans="1:42" x14ac:dyDescent="0.3">
      <c r="A144"/>
      <c r="B144"/>
      <c r="C144"/>
      <c r="D144" s="4"/>
      <c r="E144"/>
      <c r="F144"/>
      <c r="G144"/>
      <c r="H144"/>
      <c r="AA144" s="33" t="str">
        <f t="shared" si="7"/>
        <v/>
      </c>
      <c r="AC144" s="33">
        <f t="shared" si="6"/>
        <v>1048540</v>
      </c>
      <c r="AD144" s="33" t="str">
        <f t="shared" si="8"/>
        <v/>
      </c>
      <c r="AE144" s="33" t="str" cm="1">
        <f t="array" ref="AE144">LOOKUP(2,1/($AB$2:$AB$1000=AB144),$AD$2:$AD$1000)</f>
        <v/>
      </c>
      <c r="AK144" s="40"/>
      <c r="AL144" s="39" t="str">
        <f>IF(AK144="","",
   IF(
      COUNTIF('Paste Here'!$AA$2:$AA$1000,AK144)=0,
      "",
      ROUNDDOWN(COUNTIF('Paste Here'!$AA$2:$AA$1000,AK144)/2,0)
   )
)</f>
        <v/>
      </c>
      <c r="AM144" s="39" t="str" cm="1">
        <f t="array" ref="AM144">IFERROR(IF(LOOKUP(2,1/($AA$2:$AA$1000=AK144),$AD$2:$AD$1000)=0,"",
LOOKUP(2,1/($AA$2:$AA$1000=AK144),$AD$2:$AD$1000)),"")</f>
        <v/>
      </c>
      <c r="AO144" s="33" t="str" cm="1">
        <f t="array" ref="AO144">IFERROR(INDEX($AA$2:$AA$282,MATCH(0,COUNTIF('Paste Here'!$AK$1:AK143,$AA$2:$AA$282),0)),"")</f>
        <v/>
      </c>
      <c r="AP144" s="33" t="str">
        <f>IF(COUNTIF('Paste Here'!$AK$2:AK144,'Paste Here'!AK144)=1,VALUE('Paste Here'!AK144),"")</f>
        <v/>
      </c>
    </row>
    <row r="145" spans="1:42" x14ac:dyDescent="0.3">
      <c r="A145"/>
      <c r="B145"/>
      <c r="C145"/>
      <c r="D145" s="4"/>
      <c r="E145"/>
      <c r="F145"/>
      <c r="G145"/>
      <c r="H145"/>
      <c r="AA145" s="33" t="str">
        <f t="shared" si="7"/>
        <v/>
      </c>
      <c r="AC145" s="33">
        <f t="shared" si="6"/>
        <v>1048540</v>
      </c>
      <c r="AD145" s="33" t="str">
        <f t="shared" si="8"/>
        <v/>
      </c>
      <c r="AE145" s="33" t="str" cm="1">
        <f t="array" ref="AE145">LOOKUP(2,1/($AB$2:$AB$1000=AB145),$AD$2:$AD$1000)</f>
        <v/>
      </c>
      <c r="AK145" s="40"/>
      <c r="AL145" s="39" t="str">
        <f>IF(AK145="","",
   IF(
      COUNTIF('Paste Here'!$AA$2:$AA$1000,AK145)=0,
      "",
      ROUNDDOWN(COUNTIF('Paste Here'!$AA$2:$AA$1000,AK145)/2,0)
   )
)</f>
        <v/>
      </c>
      <c r="AM145" s="39" t="str" cm="1">
        <f t="array" ref="AM145">IFERROR(IF(LOOKUP(2,1/($AA$2:$AA$1000=AK145),$AD$2:$AD$1000)=0,"",
LOOKUP(2,1/($AA$2:$AA$1000=AK145),$AD$2:$AD$1000)),"")</f>
        <v/>
      </c>
      <c r="AO145" s="33" t="str" cm="1">
        <f t="array" ref="AO145">IFERROR(INDEX($AA$2:$AA$282,MATCH(0,COUNTIF('Paste Here'!$AK$1:AK144,$AA$2:$AA$282),0)),"")</f>
        <v/>
      </c>
      <c r="AP145" s="33" t="str">
        <f>IF(COUNTIF('Paste Here'!$AK$2:AK145,'Paste Here'!AK145)=1,VALUE('Paste Here'!AK145),"")</f>
        <v/>
      </c>
    </row>
    <row r="146" spans="1:42" x14ac:dyDescent="0.3">
      <c r="A146"/>
      <c r="B146"/>
      <c r="C146"/>
      <c r="D146" s="4"/>
      <c r="E146"/>
      <c r="F146"/>
      <c r="G146"/>
      <c r="H146"/>
      <c r="AA146" s="33" t="str">
        <f t="shared" si="7"/>
        <v/>
      </c>
      <c r="AC146" s="33">
        <f t="shared" si="6"/>
        <v>1048540</v>
      </c>
      <c r="AD146" s="33" t="str">
        <f t="shared" si="8"/>
        <v/>
      </c>
      <c r="AE146" s="33" t="str" cm="1">
        <f t="array" ref="AE146">LOOKUP(2,1/($AB$2:$AB$1000=AB146),$AD$2:$AD$1000)</f>
        <v/>
      </c>
      <c r="AK146" s="40"/>
      <c r="AL146" s="39" t="str">
        <f>IF(AK146="","",
   IF(
      COUNTIF('Paste Here'!$AA$2:$AA$1000,AK146)=0,
      "",
      ROUNDDOWN(COUNTIF('Paste Here'!$AA$2:$AA$1000,AK146)/2,0)
   )
)</f>
        <v/>
      </c>
      <c r="AM146" s="39" t="str" cm="1">
        <f t="array" ref="AM146">IFERROR(IF(LOOKUP(2,1/($AA$2:$AA$1000=AK146),$AD$2:$AD$1000)=0,"",
LOOKUP(2,1/($AA$2:$AA$1000=AK146),$AD$2:$AD$1000)),"")</f>
        <v/>
      </c>
      <c r="AO146" s="33" t="str" cm="1">
        <f t="array" ref="AO146">IFERROR(INDEX($AA$2:$AA$282,MATCH(0,COUNTIF('Paste Here'!$AK$1:AK145,$AA$2:$AA$282),0)),"")</f>
        <v/>
      </c>
      <c r="AP146" s="33" t="str">
        <f>IF(COUNTIF('Paste Here'!$AK$2:AK146,'Paste Here'!AK146)=1,VALUE('Paste Here'!AK146),"")</f>
        <v/>
      </c>
    </row>
    <row r="147" spans="1:42" x14ac:dyDescent="0.3">
      <c r="A147"/>
      <c r="B147"/>
      <c r="C147"/>
      <c r="D147" s="4"/>
      <c r="E147"/>
      <c r="F147"/>
      <c r="G147"/>
      <c r="H147"/>
      <c r="AA147" s="33" t="str">
        <f t="shared" si="7"/>
        <v/>
      </c>
      <c r="AC147" s="33">
        <f t="shared" si="6"/>
        <v>1048540</v>
      </c>
      <c r="AD147" s="33" t="str">
        <f t="shared" si="8"/>
        <v/>
      </c>
      <c r="AE147" s="33" t="str" cm="1">
        <f t="array" ref="AE147">LOOKUP(2,1/($AB$2:$AB$1000=AB147),$AD$2:$AD$1000)</f>
        <v/>
      </c>
      <c r="AK147" s="40"/>
      <c r="AL147" s="39" t="str">
        <f>IF(AK147="","",
   IF(
      COUNTIF('Paste Here'!$AA$2:$AA$1000,AK147)=0,
      "",
      ROUNDDOWN(COUNTIF('Paste Here'!$AA$2:$AA$1000,AK147)/2,0)
   )
)</f>
        <v/>
      </c>
      <c r="AM147" s="39" t="str" cm="1">
        <f t="array" ref="AM147">IFERROR(IF(LOOKUP(2,1/($AA$2:$AA$1000=AK147),$AD$2:$AD$1000)=0,"",
LOOKUP(2,1/($AA$2:$AA$1000=AK147),$AD$2:$AD$1000)),"")</f>
        <v/>
      </c>
      <c r="AO147" s="33" t="str" cm="1">
        <f t="array" ref="AO147">IFERROR(INDEX($AA$2:$AA$282,MATCH(0,COUNTIF('Paste Here'!$AK$1:AK146,$AA$2:$AA$282),0)),"")</f>
        <v/>
      </c>
      <c r="AP147" s="33" t="str">
        <f>IF(COUNTIF('Paste Here'!$AK$2:AK147,'Paste Here'!AK147)=1,VALUE('Paste Here'!AK147),"")</f>
        <v/>
      </c>
    </row>
    <row r="148" spans="1:42" x14ac:dyDescent="0.3">
      <c r="A148"/>
      <c r="B148"/>
      <c r="C148"/>
      <c r="D148" s="4"/>
      <c r="E148"/>
      <c r="F148"/>
      <c r="G148"/>
      <c r="H148"/>
      <c r="AA148" s="33" t="str">
        <f t="shared" si="7"/>
        <v/>
      </c>
      <c r="AC148" s="33">
        <f t="shared" si="6"/>
        <v>1048540</v>
      </c>
      <c r="AD148" s="33" t="str">
        <f t="shared" si="8"/>
        <v/>
      </c>
      <c r="AE148" s="33" t="str" cm="1">
        <f t="array" ref="AE148">LOOKUP(2,1/($AB$2:$AB$1000=AB148),$AD$2:$AD$1000)</f>
        <v/>
      </c>
      <c r="AK148" s="40"/>
      <c r="AL148" s="39" t="str">
        <f>IF(AK148="","",
   IF(
      COUNTIF('Paste Here'!$AA$2:$AA$1000,AK148)=0,
      "",
      ROUNDDOWN(COUNTIF('Paste Here'!$AA$2:$AA$1000,AK148)/2,0)
   )
)</f>
        <v/>
      </c>
      <c r="AM148" s="39" t="str" cm="1">
        <f t="array" ref="AM148">IFERROR(IF(LOOKUP(2,1/($AA$2:$AA$1000=AK148),$AD$2:$AD$1000)=0,"",
LOOKUP(2,1/($AA$2:$AA$1000=AK148),$AD$2:$AD$1000)),"")</f>
        <v/>
      </c>
      <c r="AO148" s="33" t="str" cm="1">
        <f t="array" ref="AO148">IFERROR(INDEX($AA$2:$AA$282,MATCH(0,COUNTIF('Paste Here'!$AK$1:AK147,$AA$2:$AA$282),0)),"")</f>
        <v/>
      </c>
      <c r="AP148" s="33" t="str">
        <f>IF(COUNTIF('Paste Here'!$AK$2:AK148,'Paste Here'!AK148)=1,VALUE('Paste Here'!AK148),"")</f>
        <v/>
      </c>
    </row>
    <row r="149" spans="1:42" x14ac:dyDescent="0.3">
      <c r="A149"/>
      <c r="B149"/>
      <c r="C149"/>
      <c r="D149" s="4"/>
      <c r="E149"/>
      <c r="F149"/>
      <c r="G149"/>
      <c r="H149"/>
      <c r="AA149" s="33" t="str">
        <f t="shared" si="7"/>
        <v/>
      </c>
      <c r="AC149" s="33">
        <f t="shared" si="6"/>
        <v>1048540</v>
      </c>
      <c r="AD149" s="33" t="str">
        <f t="shared" si="8"/>
        <v/>
      </c>
      <c r="AE149" s="33" t="str" cm="1">
        <f t="array" ref="AE149">LOOKUP(2,1/($AB$2:$AB$1000=AB149),$AD$2:$AD$1000)</f>
        <v/>
      </c>
      <c r="AK149" s="40"/>
      <c r="AL149" s="39" t="str">
        <f>IF(AK149="","",
   IF(
      COUNTIF('Paste Here'!$AA$2:$AA$1000,AK149)=0,
      "",
      ROUNDDOWN(COUNTIF('Paste Here'!$AA$2:$AA$1000,AK149)/2,0)
   )
)</f>
        <v/>
      </c>
      <c r="AM149" s="39" t="str" cm="1">
        <f t="array" ref="AM149">IFERROR(IF(LOOKUP(2,1/($AA$2:$AA$1000=AK149),$AD$2:$AD$1000)=0,"",
LOOKUP(2,1/($AA$2:$AA$1000=AK149),$AD$2:$AD$1000)),"")</f>
        <v/>
      </c>
      <c r="AO149" s="33" t="str" cm="1">
        <f t="array" ref="AO149">IFERROR(INDEX($AA$2:$AA$282,MATCH(0,COUNTIF('Paste Here'!$AK$1:AK148,$AA$2:$AA$282),0)),"")</f>
        <v/>
      </c>
      <c r="AP149" s="33" t="str">
        <f>IF(COUNTIF('Paste Here'!$AK$2:AK149,'Paste Here'!AK149)=1,VALUE('Paste Here'!AK149),"")</f>
        <v/>
      </c>
    </row>
    <row r="150" spans="1:42" x14ac:dyDescent="0.3">
      <c r="A150"/>
      <c r="B150"/>
      <c r="C150"/>
      <c r="D150" s="4"/>
      <c r="E150"/>
      <c r="F150"/>
      <c r="G150"/>
      <c r="H150"/>
      <c r="AA150" s="33" t="str">
        <f t="shared" si="7"/>
        <v/>
      </c>
      <c r="AC150" s="33">
        <f t="shared" si="6"/>
        <v>1048540</v>
      </c>
      <c r="AD150" s="33" t="str">
        <f t="shared" si="8"/>
        <v/>
      </c>
      <c r="AE150" s="33" t="str" cm="1">
        <f t="array" ref="AE150">LOOKUP(2,1/($AB$2:$AB$1000=AB150),$AD$2:$AD$1000)</f>
        <v/>
      </c>
      <c r="AK150" s="40"/>
      <c r="AL150" s="39" t="str">
        <f>IF(AK150="","",
   IF(
      COUNTIF('Paste Here'!$AA$2:$AA$1000,AK150)=0,
      "",
      ROUNDDOWN(COUNTIF('Paste Here'!$AA$2:$AA$1000,AK150)/2,0)
   )
)</f>
        <v/>
      </c>
      <c r="AM150" s="39" t="str" cm="1">
        <f t="array" ref="AM150">IFERROR(IF(LOOKUP(2,1/($AA$2:$AA$1000=AK150),$AD$2:$AD$1000)=0,"",
LOOKUP(2,1/($AA$2:$AA$1000=AK150),$AD$2:$AD$1000)),"")</f>
        <v/>
      </c>
      <c r="AO150" s="33" t="str" cm="1">
        <f t="array" ref="AO150">IFERROR(INDEX($AA$2:$AA$282,MATCH(0,COUNTIF('Paste Here'!$AK$1:AK149,$AA$2:$AA$282),0)),"")</f>
        <v/>
      </c>
      <c r="AP150" s="33" t="str">
        <f>IF(COUNTIF('Paste Here'!$AK$2:AK150,'Paste Here'!AK150)=1,VALUE('Paste Here'!AK150),"")</f>
        <v/>
      </c>
    </row>
    <row r="151" spans="1:42" x14ac:dyDescent="0.3">
      <c r="A151"/>
      <c r="B151"/>
      <c r="C151"/>
      <c r="D151" s="4"/>
      <c r="E151"/>
      <c r="F151"/>
      <c r="G151"/>
      <c r="H151"/>
      <c r="AA151" s="33" t="str">
        <f t="shared" si="7"/>
        <v/>
      </c>
      <c r="AC151" s="33">
        <f t="shared" si="6"/>
        <v>1048540</v>
      </c>
      <c r="AD151" s="33" t="str">
        <f t="shared" si="8"/>
        <v/>
      </c>
      <c r="AE151" s="33" t="str" cm="1">
        <f t="array" ref="AE151">LOOKUP(2,1/($AB$2:$AB$1000=AB151),$AD$2:$AD$1000)</f>
        <v/>
      </c>
      <c r="AK151" s="40"/>
      <c r="AL151" s="39" t="str">
        <f>IF(AK151="","",
   IF(
      COUNTIF('Paste Here'!$AA$2:$AA$1000,AK151)=0,
      "",
      ROUNDDOWN(COUNTIF('Paste Here'!$AA$2:$AA$1000,AK151)/2,0)
   )
)</f>
        <v/>
      </c>
      <c r="AM151" s="39" t="str" cm="1">
        <f t="array" ref="AM151">IFERROR(IF(LOOKUP(2,1/($AA$2:$AA$1000=AK151),$AD$2:$AD$1000)=0,"",
LOOKUP(2,1/($AA$2:$AA$1000=AK151),$AD$2:$AD$1000)),"")</f>
        <v/>
      </c>
      <c r="AO151" s="33" t="str" cm="1">
        <f t="array" ref="AO151">IFERROR(INDEX($AA$2:$AA$282,MATCH(0,COUNTIF('Paste Here'!$AK$1:AK150,$AA$2:$AA$282),0)),"")</f>
        <v/>
      </c>
      <c r="AP151" s="33" t="str">
        <f>IF(COUNTIF('Paste Here'!$AK$2:AK151,'Paste Here'!AK151)=1,VALUE('Paste Here'!AK151),"")</f>
        <v/>
      </c>
    </row>
    <row r="152" spans="1:42" x14ac:dyDescent="0.3">
      <c r="A152"/>
      <c r="B152"/>
      <c r="C152"/>
      <c r="D152" s="4"/>
      <c r="E152"/>
      <c r="F152"/>
      <c r="G152"/>
      <c r="H152"/>
      <c r="AA152" s="33" t="str">
        <f t="shared" si="7"/>
        <v/>
      </c>
      <c r="AC152" s="33">
        <f t="shared" si="6"/>
        <v>1048540</v>
      </c>
      <c r="AD152" s="33" t="str">
        <f t="shared" si="8"/>
        <v/>
      </c>
      <c r="AE152" s="33" t="str" cm="1">
        <f t="array" ref="AE152">LOOKUP(2,1/($AB$2:$AB$1000=AB152),$AD$2:$AD$1000)</f>
        <v/>
      </c>
      <c r="AK152" s="40"/>
      <c r="AL152" s="39" t="str">
        <f>IF(AK152="","",
   IF(
      COUNTIF('Paste Here'!$AA$2:$AA$1000,AK152)=0,
      "",
      ROUNDDOWN(COUNTIF('Paste Here'!$AA$2:$AA$1000,AK152)/2,0)
   )
)</f>
        <v/>
      </c>
      <c r="AM152" s="39" t="str" cm="1">
        <f t="array" ref="AM152">IFERROR(IF(LOOKUP(2,1/($AA$2:$AA$1000=AK152),$AD$2:$AD$1000)=0,"",
LOOKUP(2,1/($AA$2:$AA$1000=AK152),$AD$2:$AD$1000)),"")</f>
        <v/>
      </c>
      <c r="AO152" s="33" t="str" cm="1">
        <f t="array" ref="AO152">IFERROR(INDEX($AA$2:$AA$282,MATCH(0,COUNTIF('Paste Here'!$AK$1:AK151,$AA$2:$AA$282),0)),"")</f>
        <v/>
      </c>
      <c r="AP152" s="33" t="str">
        <f>IF(COUNTIF('Paste Here'!$AK$2:AK152,'Paste Here'!AK152)=1,VALUE('Paste Here'!AK152),"")</f>
        <v/>
      </c>
    </row>
    <row r="153" spans="1:42" x14ac:dyDescent="0.3">
      <c r="A153"/>
      <c r="B153"/>
      <c r="C153"/>
      <c r="D153" s="4"/>
      <c r="E153"/>
      <c r="F153"/>
      <c r="G153"/>
      <c r="H153"/>
      <c r="AA153" s="33" t="str">
        <f t="shared" si="7"/>
        <v/>
      </c>
      <c r="AC153" s="33">
        <f t="shared" si="6"/>
        <v>1048540</v>
      </c>
      <c r="AD153" s="33" t="str">
        <f t="shared" si="8"/>
        <v/>
      </c>
      <c r="AE153" s="33" t="str" cm="1">
        <f t="array" ref="AE153">LOOKUP(2,1/($AB$2:$AB$1000=AB153),$AD$2:$AD$1000)</f>
        <v/>
      </c>
      <c r="AK153" s="40"/>
      <c r="AL153" s="39" t="str">
        <f>IF(AK153="","",
   IF(
      COUNTIF('Paste Here'!$AA$2:$AA$1000,AK153)=0,
      "",
      ROUNDDOWN(COUNTIF('Paste Here'!$AA$2:$AA$1000,AK153)/2,0)
   )
)</f>
        <v/>
      </c>
      <c r="AM153" s="39" t="str" cm="1">
        <f t="array" ref="AM153">IFERROR(IF(LOOKUP(2,1/($AA$2:$AA$1000=AK153),$AD$2:$AD$1000)=0,"",
LOOKUP(2,1/($AA$2:$AA$1000=AK153),$AD$2:$AD$1000)),"")</f>
        <v/>
      </c>
      <c r="AO153" s="33" t="str" cm="1">
        <f t="array" ref="AO153">IFERROR(INDEX($AA$2:$AA$282,MATCH(0,COUNTIF('Paste Here'!$AK$1:AK152,$AA$2:$AA$282),0)),"")</f>
        <v/>
      </c>
      <c r="AP153" s="33" t="str">
        <f>IF(COUNTIF('Paste Here'!$AK$2:AK153,'Paste Here'!AK153)=1,VALUE('Paste Here'!AK153),"")</f>
        <v/>
      </c>
    </row>
    <row r="154" spans="1:42" x14ac:dyDescent="0.3">
      <c r="A154"/>
      <c r="B154"/>
      <c r="C154"/>
      <c r="D154" s="4"/>
      <c r="E154"/>
      <c r="F154"/>
      <c r="G154"/>
      <c r="H154"/>
      <c r="AA154" s="33" t="str">
        <f t="shared" si="7"/>
        <v/>
      </c>
      <c r="AC154" s="33">
        <f t="shared" si="6"/>
        <v>1048540</v>
      </c>
      <c r="AD154" s="33" t="str">
        <f t="shared" si="8"/>
        <v/>
      </c>
      <c r="AE154" s="33" t="str" cm="1">
        <f t="array" ref="AE154">LOOKUP(2,1/($AB$2:$AB$1000=AB154),$AD$2:$AD$1000)</f>
        <v/>
      </c>
      <c r="AK154" s="40"/>
      <c r="AL154" s="39" t="str">
        <f>IF(AK154="","",
   IF(
      COUNTIF('Paste Here'!$AA$2:$AA$1000,AK154)=0,
      "",
      ROUNDDOWN(COUNTIF('Paste Here'!$AA$2:$AA$1000,AK154)/2,0)
   )
)</f>
        <v/>
      </c>
      <c r="AM154" s="39" t="str" cm="1">
        <f t="array" ref="AM154">IFERROR(IF(LOOKUP(2,1/($AA$2:$AA$1000=AK154),$AD$2:$AD$1000)=0,"",
LOOKUP(2,1/($AA$2:$AA$1000=AK154),$AD$2:$AD$1000)),"")</f>
        <v/>
      </c>
      <c r="AO154" s="33" t="str" cm="1">
        <f t="array" ref="AO154">IFERROR(INDEX($AA$2:$AA$282,MATCH(0,COUNTIF('Paste Here'!$AK$1:AK153,$AA$2:$AA$282),0)),"")</f>
        <v/>
      </c>
      <c r="AP154" s="33" t="str">
        <f>IF(COUNTIF('Paste Here'!$AK$2:AK154,'Paste Here'!AK154)=1,VALUE('Paste Here'!AK154),"")</f>
        <v/>
      </c>
    </row>
    <row r="155" spans="1:42" x14ac:dyDescent="0.3">
      <c r="A155"/>
      <c r="B155"/>
      <c r="C155"/>
      <c r="D155" s="4"/>
      <c r="E155"/>
      <c r="F155"/>
      <c r="G155"/>
      <c r="H155"/>
      <c r="AA155" s="33" t="str">
        <f t="shared" si="7"/>
        <v/>
      </c>
      <c r="AC155" s="33">
        <f t="shared" si="6"/>
        <v>1048540</v>
      </c>
      <c r="AD155" s="33" t="str">
        <f t="shared" si="8"/>
        <v/>
      </c>
      <c r="AE155" s="33" t="str" cm="1">
        <f t="array" ref="AE155">LOOKUP(2,1/($AB$2:$AB$1000=AB155),$AD$2:$AD$1000)</f>
        <v/>
      </c>
      <c r="AK155" s="40"/>
      <c r="AL155" s="39" t="str">
        <f>IF(AK155="","",
   IF(
      COUNTIF('Paste Here'!$AA$2:$AA$1000,AK155)=0,
      "",
      ROUNDDOWN(COUNTIF('Paste Here'!$AA$2:$AA$1000,AK155)/2,0)
   )
)</f>
        <v/>
      </c>
      <c r="AM155" s="39" t="str" cm="1">
        <f t="array" ref="AM155">IFERROR(IF(LOOKUP(2,1/($AA$2:$AA$1000=AK155),$AD$2:$AD$1000)=0,"",
LOOKUP(2,1/($AA$2:$AA$1000=AK155),$AD$2:$AD$1000)),"")</f>
        <v/>
      </c>
      <c r="AO155" s="33" t="str" cm="1">
        <f t="array" ref="AO155">IFERROR(INDEX($AA$2:$AA$282,MATCH(0,COUNTIF('Paste Here'!$AK$1:AK154,$AA$2:$AA$282),0)),"")</f>
        <v/>
      </c>
      <c r="AP155" s="33" t="str">
        <f>IF(COUNTIF('Paste Here'!$AK$2:AK155,'Paste Here'!AK155)=1,VALUE('Paste Here'!AK155),"")</f>
        <v/>
      </c>
    </row>
    <row r="156" spans="1:42" x14ac:dyDescent="0.3">
      <c r="A156"/>
      <c r="B156"/>
      <c r="C156"/>
      <c r="D156" s="4"/>
      <c r="E156"/>
      <c r="F156"/>
      <c r="G156"/>
      <c r="H156"/>
      <c r="AA156" s="33" t="str">
        <f t="shared" si="7"/>
        <v/>
      </c>
      <c r="AC156" s="33">
        <f t="shared" si="6"/>
        <v>1048540</v>
      </c>
      <c r="AD156" s="33" t="str">
        <f t="shared" si="8"/>
        <v/>
      </c>
      <c r="AE156" s="33" t="str" cm="1">
        <f t="array" ref="AE156">LOOKUP(2,1/($AB$2:$AB$1000=AB156),$AD$2:$AD$1000)</f>
        <v/>
      </c>
      <c r="AK156" s="40"/>
      <c r="AL156" s="39" t="str">
        <f>IF(AK156="","",
   IF(
      COUNTIF('Paste Here'!$AA$2:$AA$1000,AK156)=0,
      "",
      ROUNDDOWN(COUNTIF('Paste Here'!$AA$2:$AA$1000,AK156)/2,0)
   )
)</f>
        <v/>
      </c>
      <c r="AM156" s="39" t="str" cm="1">
        <f t="array" ref="AM156">IFERROR(IF(LOOKUP(2,1/($AA$2:$AA$1000=AK156),$AD$2:$AD$1000)=0,"",
LOOKUP(2,1/($AA$2:$AA$1000=AK156),$AD$2:$AD$1000)),"")</f>
        <v/>
      </c>
      <c r="AO156" s="33" t="str" cm="1">
        <f t="array" ref="AO156">IFERROR(INDEX($AA$2:$AA$282,MATCH(0,COUNTIF('Paste Here'!$AK$1:AK155,$AA$2:$AA$282),0)),"")</f>
        <v/>
      </c>
      <c r="AP156" s="33" t="str">
        <f>IF(COUNTIF('Paste Here'!$AK$2:AK156,'Paste Here'!AK156)=1,VALUE('Paste Here'!AK156),"")</f>
        <v/>
      </c>
    </row>
    <row r="157" spans="1:42" x14ac:dyDescent="0.3">
      <c r="A157"/>
      <c r="B157"/>
      <c r="C157"/>
      <c r="D157" s="4"/>
      <c r="E157"/>
      <c r="F157"/>
      <c r="G157"/>
      <c r="H157"/>
      <c r="AA157" s="33" t="str">
        <f t="shared" si="7"/>
        <v/>
      </c>
      <c r="AC157" s="33">
        <f t="shared" si="6"/>
        <v>1048540</v>
      </c>
      <c r="AD157" s="33" t="str">
        <f t="shared" si="8"/>
        <v/>
      </c>
      <c r="AE157" s="33" t="str" cm="1">
        <f t="array" ref="AE157">LOOKUP(2,1/($AB$2:$AB$1000=AB157),$AD$2:$AD$1000)</f>
        <v/>
      </c>
      <c r="AK157" s="40"/>
      <c r="AL157" s="39" t="str">
        <f>IF(AK157="","",
   IF(
      COUNTIF('Paste Here'!$AA$2:$AA$1000,AK157)=0,
      "",
      ROUNDDOWN(COUNTIF('Paste Here'!$AA$2:$AA$1000,AK157)/2,0)
   )
)</f>
        <v/>
      </c>
      <c r="AM157" s="39" t="str" cm="1">
        <f t="array" ref="AM157">IFERROR(IF(LOOKUP(2,1/($AA$2:$AA$1000=AK157),$AD$2:$AD$1000)=0,"",
LOOKUP(2,1/($AA$2:$AA$1000=AK157),$AD$2:$AD$1000)),"")</f>
        <v/>
      </c>
      <c r="AO157" s="33" t="str" cm="1">
        <f t="array" ref="AO157">IFERROR(INDEX($AA$2:$AA$282,MATCH(0,COUNTIF('Paste Here'!$AK$1:AK156,$AA$2:$AA$282),0)),"")</f>
        <v/>
      </c>
      <c r="AP157" s="33" t="str">
        <f>IF(COUNTIF('Paste Here'!$AK$2:AK157,'Paste Here'!AK157)=1,VALUE('Paste Here'!AK157),"")</f>
        <v/>
      </c>
    </row>
    <row r="158" spans="1:42" x14ac:dyDescent="0.3">
      <c r="A158"/>
      <c r="B158"/>
      <c r="C158"/>
      <c r="D158" s="4"/>
      <c r="E158"/>
      <c r="F158"/>
      <c r="G158"/>
      <c r="H158"/>
      <c r="AA158" s="33" t="str">
        <f t="shared" si="7"/>
        <v/>
      </c>
      <c r="AC158" s="33">
        <f t="shared" si="6"/>
        <v>1048540</v>
      </c>
      <c r="AD158" s="33" t="str">
        <f t="shared" si="8"/>
        <v/>
      </c>
      <c r="AE158" s="33" t="str" cm="1">
        <f t="array" ref="AE158">LOOKUP(2,1/($AB$2:$AB$1000=AB158),$AD$2:$AD$1000)</f>
        <v/>
      </c>
      <c r="AK158" s="40"/>
      <c r="AL158" s="39" t="str">
        <f>IF(AK158="","",
   IF(
      COUNTIF('Paste Here'!$AA$2:$AA$1000,AK158)=0,
      "",
      ROUNDDOWN(COUNTIF('Paste Here'!$AA$2:$AA$1000,AK158)/2,0)
   )
)</f>
        <v/>
      </c>
      <c r="AM158" s="39" t="str" cm="1">
        <f t="array" ref="AM158">IFERROR(IF(LOOKUP(2,1/($AA$2:$AA$1000=AK158),$AD$2:$AD$1000)=0,"",
LOOKUP(2,1/($AA$2:$AA$1000=AK158),$AD$2:$AD$1000)),"")</f>
        <v/>
      </c>
      <c r="AO158" s="33" t="str" cm="1">
        <f t="array" ref="AO158">IFERROR(INDEX($AA$2:$AA$282,MATCH(0,COUNTIF('Paste Here'!$AK$1:AK157,$AA$2:$AA$282),0)),"")</f>
        <v/>
      </c>
      <c r="AP158" s="33" t="str">
        <f>IF(COUNTIF('Paste Here'!$AK$2:AK158,'Paste Here'!AK158)=1,VALUE('Paste Here'!AK158),"")</f>
        <v/>
      </c>
    </row>
    <row r="159" spans="1:42" x14ac:dyDescent="0.3">
      <c r="A159"/>
      <c r="B159"/>
      <c r="C159"/>
      <c r="D159" s="4"/>
      <c r="E159"/>
      <c r="F159"/>
      <c r="G159"/>
      <c r="H159"/>
      <c r="AA159" s="33" t="str">
        <f t="shared" si="7"/>
        <v/>
      </c>
      <c r="AC159" s="33">
        <f t="shared" si="6"/>
        <v>1048540</v>
      </c>
      <c r="AD159" s="33" t="str">
        <f t="shared" si="8"/>
        <v/>
      </c>
      <c r="AE159" s="33" t="str" cm="1">
        <f t="array" ref="AE159">LOOKUP(2,1/($AB$2:$AB$1000=AB159),$AD$2:$AD$1000)</f>
        <v/>
      </c>
      <c r="AK159" s="40"/>
      <c r="AL159" s="39" t="str">
        <f>IF(AK159="","",
   IF(
      COUNTIF('Paste Here'!$AA$2:$AA$1000,AK159)=0,
      "",
      ROUNDDOWN(COUNTIF('Paste Here'!$AA$2:$AA$1000,AK159)/2,0)
   )
)</f>
        <v/>
      </c>
      <c r="AM159" s="39" t="str" cm="1">
        <f t="array" ref="AM159">IFERROR(IF(LOOKUP(2,1/($AA$2:$AA$1000=AK159),$AD$2:$AD$1000)=0,"",
LOOKUP(2,1/($AA$2:$AA$1000=AK159),$AD$2:$AD$1000)),"")</f>
        <v/>
      </c>
      <c r="AO159" s="33" t="str" cm="1">
        <f t="array" ref="AO159">IFERROR(INDEX($AA$2:$AA$282,MATCH(0,COUNTIF('Paste Here'!$AK$1:AK158,$AA$2:$AA$282),0)),"")</f>
        <v/>
      </c>
      <c r="AP159" s="33" t="str">
        <f>IF(COUNTIF('Paste Here'!$AK$2:AK159,'Paste Here'!AK159)=1,VALUE('Paste Here'!AK159),"")</f>
        <v/>
      </c>
    </row>
    <row r="160" spans="1:42" x14ac:dyDescent="0.3">
      <c r="A160"/>
      <c r="B160"/>
      <c r="C160"/>
      <c r="D160" s="4"/>
      <c r="E160"/>
      <c r="F160"/>
      <c r="G160"/>
      <c r="H160"/>
      <c r="AA160" s="33" t="str">
        <f t="shared" si="7"/>
        <v/>
      </c>
      <c r="AC160" s="33">
        <f t="shared" si="6"/>
        <v>1048540</v>
      </c>
      <c r="AD160" s="33" t="str">
        <f t="shared" si="8"/>
        <v/>
      </c>
      <c r="AE160" s="33" t="str" cm="1">
        <f t="array" ref="AE160">LOOKUP(2,1/($AB$2:$AB$1000=AB160),$AD$2:$AD$1000)</f>
        <v/>
      </c>
      <c r="AK160" s="40"/>
      <c r="AL160" s="39" t="str">
        <f>IF(AK160="","",
   IF(
      COUNTIF('Paste Here'!$AA$2:$AA$1000,AK160)=0,
      "",
      ROUNDDOWN(COUNTIF('Paste Here'!$AA$2:$AA$1000,AK160)/2,0)
   )
)</f>
        <v/>
      </c>
      <c r="AM160" s="39" t="str" cm="1">
        <f t="array" ref="AM160">IFERROR(IF(LOOKUP(2,1/($AA$2:$AA$1000=AK160),$AD$2:$AD$1000)=0,"",
LOOKUP(2,1/($AA$2:$AA$1000=AK160),$AD$2:$AD$1000)),"")</f>
        <v/>
      </c>
      <c r="AO160" s="33" t="str" cm="1">
        <f t="array" ref="AO160">IFERROR(INDEX($AA$2:$AA$282,MATCH(0,COUNTIF('Paste Here'!$AK$1:AK159,$AA$2:$AA$282),0)),"")</f>
        <v/>
      </c>
      <c r="AP160" s="33" t="str">
        <f>IF(COUNTIF('Paste Here'!$AK$2:AK160,'Paste Here'!AK160)=1,VALUE('Paste Here'!AK160),"")</f>
        <v/>
      </c>
    </row>
    <row r="161" spans="1:42" x14ac:dyDescent="0.3">
      <c r="A161"/>
      <c r="B161"/>
      <c r="C161"/>
      <c r="D161" s="4"/>
      <c r="E161"/>
      <c r="F161"/>
      <c r="G161"/>
      <c r="H161"/>
      <c r="AA161" s="33" t="str">
        <f t="shared" si="7"/>
        <v/>
      </c>
      <c r="AC161" s="33">
        <f t="shared" si="6"/>
        <v>1048540</v>
      </c>
      <c r="AD161" s="33" t="str">
        <f t="shared" si="8"/>
        <v/>
      </c>
      <c r="AE161" s="33" t="str" cm="1">
        <f t="array" ref="AE161">LOOKUP(2,1/($AB$2:$AB$1000=AB161),$AD$2:$AD$1000)</f>
        <v/>
      </c>
      <c r="AK161" s="40"/>
      <c r="AL161" s="39" t="str">
        <f>IF(AK161="","",
   IF(
      COUNTIF('Paste Here'!$AA$2:$AA$1000,AK161)=0,
      "",
      ROUNDDOWN(COUNTIF('Paste Here'!$AA$2:$AA$1000,AK161)/2,0)
   )
)</f>
        <v/>
      </c>
      <c r="AM161" s="39" t="str" cm="1">
        <f t="array" ref="AM161">IFERROR(IF(LOOKUP(2,1/($AA$2:$AA$1000=AK161),$AD$2:$AD$1000)=0,"",
LOOKUP(2,1/($AA$2:$AA$1000=AK161),$AD$2:$AD$1000)),"")</f>
        <v/>
      </c>
      <c r="AO161" s="33" t="str" cm="1">
        <f t="array" ref="AO161">IFERROR(INDEX($AA$2:$AA$282,MATCH(0,COUNTIF('Paste Here'!$AK$1:AK160,$AA$2:$AA$282),0)),"")</f>
        <v/>
      </c>
      <c r="AP161" s="33" t="str">
        <f>IF(COUNTIF('Paste Here'!$AK$2:AK161,'Paste Here'!AK161)=1,VALUE('Paste Here'!AK161),"")</f>
        <v/>
      </c>
    </row>
    <row r="162" spans="1:42" x14ac:dyDescent="0.3">
      <c r="A162"/>
      <c r="B162"/>
      <c r="C162"/>
      <c r="D162" s="4"/>
      <c r="E162"/>
      <c r="F162"/>
      <c r="G162"/>
      <c r="H162"/>
      <c r="AA162" s="33" t="str">
        <f t="shared" si="7"/>
        <v/>
      </c>
      <c r="AC162" s="33">
        <f t="shared" si="6"/>
        <v>1048540</v>
      </c>
      <c r="AD162" s="33" t="str">
        <f t="shared" si="8"/>
        <v/>
      </c>
      <c r="AE162" s="33" t="str" cm="1">
        <f t="array" ref="AE162">LOOKUP(2,1/($AB$2:$AB$1000=AB162),$AD$2:$AD$1000)</f>
        <v/>
      </c>
      <c r="AK162" s="40"/>
      <c r="AL162" s="39" t="str">
        <f>IF(AK162="","",
   IF(
      COUNTIF('Paste Here'!$AA$2:$AA$1000,AK162)=0,
      "",
      ROUNDDOWN(COUNTIF('Paste Here'!$AA$2:$AA$1000,AK162)/2,0)
   )
)</f>
        <v/>
      </c>
      <c r="AM162" s="39" t="str" cm="1">
        <f t="array" ref="AM162">IFERROR(IF(LOOKUP(2,1/($AA$2:$AA$1000=AK162),$AD$2:$AD$1000)=0,"",
LOOKUP(2,1/($AA$2:$AA$1000=AK162),$AD$2:$AD$1000)),"")</f>
        <v/>
      </c>
      <c r="AO162" s="33" t="str" cm="1">
        <f t="array" ref="AO162">IFERROR(INDEX($AA$2:$AA$282,MATCH(0,COUNTIF('Paste Here'!$AK$1:AK161,$AA$2:$AA$282),0)),"")</f>
        <v/>
      </c>
      <c r="AP162" s="33" t="str">
        <f>IF(COUNTIF('Paste Here'!$AK$2:AK162,'Paste Here'!AK162)=1,VALUE('Paste Here'!AK162),"")</f>
        <v/>
      </c>
    </row>
    <row r="163" spans="1:42" x14ac:dyDescent="0.3">
      <c r="A163"/>
      <c r="B163"/>
      <c r="C163"/>
      <c r="D163" s="4"/>
      <c r="E163"/>
      <c r="F163"/>
      <c r="G163"/>
      <c r="H163"/>
      <c r="AA163" s="33" t="str">
        <f t="shared" si="7"/>
        <v/>
      </c>
      <c r="AC163" s="33">
        <f t="shared" si="6"/>
        <v>1048540</v>
      </c>
      <c r="AD163" s="33" t="str">
        <f t="shared" si="8"/>
        <v/>
      </c>
      <c r="AE163" s="33" t="str" cm="1">
        <f t="array" ref="AE163">LOOKUP(2,1/($AB$2:$AB$1000=AB163),$AD$2:$AD$1000)</f>
        <v/>
      </c>
      <c r="AK163" s="40"/>
      <c r="AL163" s="39" t="str">
        <f>IF(AK163="","",
   IF(
      COUNTIF('Paste Here'!$AA$2:$AA$1000,AK163)=0,
      "",
      ROUNDDOWN(COUNTIF('Paste Here'!$AA$2:$AA$1000,AK163)/2,0)
   )
)</f>
        <v/>
      </c>
      <c r="AM163" s="39" t="str" cm="1">
        <f t="array" ref="AM163">IFERROR(IF(LOOKUP(2,1/($AA$2:$AA$1000=AK163),$AD$2:$AD$1000)=0,"",
LOOKUP(2,1/($AA$2:$AA$1000=AK163),$AD$2:$AD$1000)),"")</f>
        <v/>
      </c>
      <c r="AO163" s="33" t="str" cm="1">
        <f t="array" ref="AO163">IFERROR(INDEX($AA$2:$AA$282,MATCH(0,COUNTIF('Paste Here'!$AK$1:AK162,$AA$2:$AA$282),0)),"")</f>
        <v/>
      </c>
      <c r="AP163" s="33" t="str">
        <f>IF(COUNTIF('Paste Here'!$AK$2:AK163,'Paste Here'!AK163)=1,VALUE('Paste Here'!AK163),"")</f>
        <v/>
      </c>
    </row>
    <row r="164" spans="1:42" ht="15" thickBot="1" x14ac:dyDescent="0.35">
      <c r="A164"/>
      <c r="B164"/>
      <c r="C164"/>
      <c r="D164" s="4"/>
      <c r="E164"/>
      <c r="F164"/>
      <c r="G164"/>
      <c r="H164"/>
      <c r="AA164" s="33" t="str">
        <f t="shared" si="7"/>
        <v/>
      </c>
      <c r="AC164" s="33">
        <f t="shared" si="6"/>
        <v>1048540</v>
      </c>
      <c r="AD164" s="33" t="str">
        <f t="shared" si="8"/>
        <v/>
      </c>
      <c r="AE164" s="33" t="str" cm="1">
        <f t="array" ref="AE164">LOOKUP(2,1/($AB$2:$AB$1000=AB164),$AD$2:$AD$1000)</f>
        <v/>
      </c>
      <c r="AK164" s="41"/>
      <c r="AL164" s="39" t="str">
        <f>IF(AK164="","",
   IF(
      COUNTIF('Paste Here'!$AA$2:$AA$1000,AK164)=0,
      "",
      ROUNDDOWN(COUNTIF('Paste Here'!$AA$2:$AA$1000,AK164)/2,0)
   )
)</f>
        <v/>
      </c>
      <c r="AM164" s="39" t="str" cm="1">
        <f t="array" ref="AM164">IFERROR(IF(LOOKUP(2,1/($AA$2:$AA$1000=AK164),$AD$2:$AD$1000)=0,"",
LOOKUP(2,1/($AA$2:$AA$1000=AK164),$AD$2:$AD$1000)),"")</f>
        <v/>
      </c>
      <c r="AO164" s="33" t="str" cm="1">
        <f t="array" ref="AO164">IFERROR(INDEX($AA$2:$AA$282,MATCH(0,COUNTIF('Paste Here'!$AK$1:AK163,$AA$2:$AA$282),0)),"")</f>
        <v/>
      </c>
      <c r="AP164" s="33" t="str">
        <f>IF(COUNTIF('Paste Here'!$AK$2:AK164,'Paste Here'!AK164)=1,VALUE('Paste Here'!AK164),"")</f>
        <v/>
      </c>
    </row>
    <row r="165" spans="1:42" x14ac:dyDescent="0.3">
      <c r="A165"/>
      <c r="B165"/>
      <c r="C165"/>
      <c r="D165" s="4"/>
      <c r="E165"/>
      <c r="F165"/>
      <c r="G165"/>
      <c r="H165"/>
      <c r="AA165" s="33" t="str">
        <f t="shared" si="7"/>
        <v/>
      </c>
      <c r="AC165" s="33">
        <f t="shared" si="6"/>
        <v>1048540</v>
      </c>
      <c r="AD165" s="33" t="str">
        <f t="shared" si="8"/>
        <v/>
      </c>
      <c r="AE165" s="33" t="str" cm="1">
        <f t="array" ref="AE165">LOOKUP(2,1/($AB$2:$AB$1000=AB165),$AD$2:$AD$1000)</f>
        <v/>
      </c>
      <c r="AL165" s="39" t="str">
        <f>IF(AK165="","",
   IF(
      COUNTIF('Paste Here'!$AA$2:$AA$1000,AK165)=0,
      "",
      ROUNDDOWN(COUNTIF('Paste Here'!$AA$2:$AA$1000,AK165)/2,0)
   )
)</f>
        <v/>
      </c>
      <c r="AM165" s="39" t="str" cm="1">
        <f t="array" ref="AM165">IFERROR(IF(LOOKUP(2,1/($AA$2:$AA$1000=AK165),$AD$2:$AD$1000)=0,"",
LOOKUP(2,1/($AA$2:$AA$1000=AK165),$AD$2:$AD$1000)),"")</f>
        <v/>
      </c>
      <c r="AO165" s="33" t="str" cm="1">
        <f t="array" ref="AO165">IFERROR(INDEX($AA$2:$AA$282,MATCH(0,COUNTIF('Paste Here'!$AK$1:AK164,$AA$2:$AA$282),0)),"")</f>
        <v/>
      </c>
      <c r="AP165" s="33" t="str">
        <f>IF(COUNTIF('Paste Here'!$AK$2:AK165,'Paste Here'!AK165)=1,VALUE('Paste Here'!AK165),"")</f>
        <v/>
      </c>
    </row>
    <row r="166" spans="1:42" x14ac:dyDescent="0.3">
      <c r="A166"/>
      <c r="B166"/>
      <c r="C166"/>
      <c r="D166" s="4"/>
      <c r="E166"/>
      <c r="F166"/>
      <c r="G166"/>
      <c r="H166"/>
      <c r="AA166" s="33" t="str">
        <f t="shared" si="7"/>
        <v/>
      </c>
      <c r="AC166" s="33">
        <f t="shared" si="6"/>
        <v>1048540</v>
      </c>
      <c r="AD166" s="33" t="str">
        <f t="shared" si="8"/>
        <v/>
      </c>
      <c r="AE166" s="33" t="str" cm="1">
        <f t="array" ref="AE166">LOOKUP(2,1/($AB$2:$AB$1000=AB166),$AD$2:$AD$1000)</f>
        <v/>
      </c>
      <c r="AL166" s="39" t="str">
        <f>IF(AK166="","",
   IF(
      COUNTIF('Paste Here'!$AA$2:$AA$1000,AK166)=0,
      "",
      ROUNDDOWN(COUNTIF('Paste Here'!$AA$2:$AA$1000,AK166)/2,0)
   )
)</f>
        <v/>
      </c>
      <c r="AM166" s="39" t="str" cm="1">
        <f t="array" ref="AM166">IFERROR(IF(LOOKUP(2,1/($AA$2:$AA$1000=AK166),$AD$2:$AD$1000)=0,"",
LOOKUP(2,1/($AA$2:$AA$1000=AK166),$AD$2:$AD$1000)),"")</f>
        <v/>
      </c>
      <c r="AO166" s="33" t="str" cm="1">
        <f t="array" ref="AO166">IFERROR(INDEX($AA$2:$AA$282,MATCH(0,COUNTIF('Paste Here'!$AK$1:AK165,$AA$2:$AA$282),0)),"")</f>
        <v/>
      </c>
      <c r="AP166" s="33" t="str">
        <f>IF(COUNTIF('Paste Here'!$AK$2:AK166,'Paste Here'!AK166)=1,VALUE('Paste Here'!AK166),"")</f>
        <v/>
      </c>
    </row>
    <row r="167" spans="1:42" x14ac:dyDescent="0.3">
      <c r="A167"/>
      <c r="B167"/>
      <c r="C167"/>
      <c r="D167" s="4"/>
      <c r="E167"/>
      <c r="F167"/>
      <c r="G167"/>
      <c r="H167"/>
      <c r="AA167" s="33" t="str">
        <f t="shared" si="7"/>
        <v/>
      </c>
      <c r="AC167" s="33">
        <f t="shared" si="6"/>
        <v>1048540</v>
      </c>
      <c r="AD167" s="33" t="str">
        <f t="shared" si="8"/>
        <v/>
      </c>
      <c r="AE167" s="33" t="str" cm="1">
        <f t="array" ref="AE167">LOOKUP(2,1/($AB$2:$AB$1000=AB167),$AD$2:$AD$1000)</f>
        <v/>
      </c>
      <c r="AL167" s="39" t="str">
        <f>IF(AK167="","",
   IF(
      COUNTIF('Paste Here'!$AA$2:$AA$1000,AK167)=0,
      "",
      ROUNDDOWN(COUNTIF('Paste Here'!$AA$2:$AA$1000,AK167)/2,0)
   )
)</f>
        <v/>
      </c>
      <c r="AM167" s="39" t="str" cm="1">
        <f t="array" ref="AM167">IFERROR(IF(LOOKUP(2,1/($AA$2:$AA$1000=AK167),$AD$2:$AD$1000)=0,"",
LOOKUP(2,1/($AA$2:$AA$1000=AK167),$AD$2:$AD$1000)),"")</f>
        <v/>
      </c>
      <c r="AO167" s="33" t="str" cm="1">
        <f t="array" ref="AO167">IFERROR(INDEX($AA$2:$AA$282,MATCH(0,COUNTIF('Paste Here'!$AK$1:AK166,$AA$2:$AA$282),0)),"")</f>
        <v/>
      </c>
      <c r="AP167" s="33" t="str">
        <f>IF(COUNTIF('Paste Here'!$AK$2:AK167,'Paste Here'!AK167)=1,VALUE('Paste Here'!AK167),"")</f>
        <v/>
      </c>
    </row>
    <row r="168" spans="1:42" x14ac:dyDescent="0.3">
      <c r="A168"/>
      <c r="B168"/>
      <c r="C168"/>
      <c r="D168" s="4"/>
      <c r="E168"/>
      <c r="F168"/>
      <c r="G168"/>
      <c r="H168"/>
      <c r="AA168" s="33" t="str">
        <f t="shared" si="7"/>
        <v/>
      </c>
      <c r="AC168" s="33">
        <f t="shared" si="6"/>
        <v>1048540</v>
      </c>
      <c r="AD168" s="33" t="str">
        <f t="shared" si="8"/>
        <v/>
      </c>
      <c r="AE168" s="33" t="str" cm="1">
        <f t="array" ref="AE168">LOOKUP(2,1/($AB$2:$AB$1000=AB168),$AD$2:$AD$1000)</f>
        <v/>
      </c>
      <c r="AL168" s="39" t="str">
        <f>IF(AK168="","",
   IF(
      COUNTIF('Paste Here'!$AA$2:$AA$1000,AK168)=0,
      "",
      ROUNDDOWN(COUNTIF('Paste Here'!$AA$2:$AA$1000,AK168)/2,0)
   )
)</f>
        <v/>
      </c>
      <c r="AM168" s="39" t="str" cm="1">
        <f t="array" ref="AM168">IFERROR(IF(LOOKUP(2,1/($AA$2:$AA$1000=AK168),$AD$2:$AD$1000)=0,"",
LOOKUP(2,1/($AA$2:$AA$1000=AK168),$AD$2:$AD$1000)),"")</f>
        <v/>
      </c>
      <c r="AO168" s="33" t="str" cm="1">
        <f t="array" ref="AO168">IFERROR(INDEX($AA$2:$AA$282,MATCH(0,COUNTIF('Paste Here'!$AK$1:AK167,$AA$2:$AA$282),0)),"")</f>
        <v/>
      </c>
      <c r="AP168" s="33" t="str">
        <f>IF(COUNTIF('Paste Here'!$AK$2:AK168,'Paste Here'!AK168)=1,VALUE('Paste Here'!AK168),"")</f>
        <v/>
      </c>
    </row>
    <row r="169" spans="1:42" x14ac:dyDescent="0.3">
      <c r="A169"/>
      <c r="B169"/>
      <c r="C169"/>
      <c r="D169" s="4"/>
      <c r="E169"/>
      <c r="F169"/>
      <c r="G169"/>
      <c r="H169"/>
      <c r="AA169" s="33" t="str">
        <f t="shared" si="7"/>
        <v/>
      </c>
      <c r="AC169" s="33">
        <f t="shared" si="6"/>
        <v>1048540</v>
      </c>
      <c r="AD169" s="33" t="str">
        <f t="shared" si="8"/>
        <v/>
      </c>
      <c r="AE169" s="33" t="str" cm="1">
        <f t="array" ref="AE169">LOOKUP(2,1/($AB$2:$AB$1000=AB169),$AD$2:$AD$1000)</f>
        <v/>
      </c>
      <c r="AL169" s="39" t="str">
        <f>IF(AK169="","",
   IF(
      COUNTIF('Paste Here'!$AA$2:$AA$1000,AK169)=0,
      "",
      ROUNDDOWN(COUNTIF('Paste Here'!$AA$2:$AA$1000,AK169)/2,0)
   )
)</f>
        <v/>
      </c>
      <c r="AM169" s="39" t="str" cm="1">
        <f t="array" ref="AM169">IFERROR(IF(LOOKUP(2,1/($AA$2:$AA$1000=AK169),$AD$2:$AD$1000)=0,"",
LOOKUP(2,1/($AA$2:$AA$1000=AK169),$AD$2:$AD$1000)),"")</f>
        <v/>
      </c>
      <c r="AO169" s="33" t="str" cm="1">
        <f t="array" ref="AO169">IFERROR(INDEX($AA$2:$AA$282,MATCH(0,COUNTIF('Paste Here'!$AK$1:AK168,$AA$2:$AA$282),0)),"")</f>
        <v/>
      </c>
      <c r="AP169" s="33" t="str">
        <f>IF(COUNTIF('Paste Here'!$AK$2:AK169,'Paste Here'!AK169)=1,VALUE('Paste Here'!AK169),"")</f>
        <v/>
      </c>
    </row>
    <row r="170" spans="1:42" x14ac:dyDescent="0.3">
      <c r="A170"/>
      <c r="B170"/>
      <c r="C170"/>
      <c r="D170" s="4"/>
      <c r="E170"/>
      <c r="F170"/>
      <c r="G170"/>
      <c r="H170"/>
      <c r="AA170" s="33" t="str">
        <f t="shared" si="7"/>
        <v/>
      </c>
      <c r="AC170" s="33">
        <f t="shared" si="6"/>
        <v>1048540</v>
      </c>
      <c r="AD170" s="33" t="str">
        <f t="shared" si="8"/>
        <v/>
      </c>
      <c r="AE170" s="33" t="str" cm="1">
        <f t="array" ref="AE170">LOOKUP(2,1/($AB$2:$AB$1000=AB170),$AD$2:$AD$1000)</f>
        <v/>
      </c>
      <c r="AL170" s="39" t="str">
        <f>IF(AK170="","",
   IF(
      COUNTIF('Paste Here'!$AA$2:$AA$1000,AK170)=0,
      "",
      ROUNDDOWN(COUNTIF('Paste Here'!$AA$2:$AA$1000,AK170)/2,0)
   )
)</f>
        <v/>
      </c>
      <c r="AM170" s="39" t="str" cm="1">
        <f t="array" ref="AM170">IFERROR(IF(LOOKUP(2,1/($AA$2:$AA$1000=AK170),$AD$2:$AD$1000)=0,"",
LOOKUP(2,1/($AA$2:$AA$1000=AK170),$AD$2:$AD$1000)),"")</f>
        <v/>
      </c>
      <c r="AO170" s="33" t="str" cm="1">
        <f t="array" ref="AO170">IFERROR(INDEX($AA$2:$AA$282,MATCH(0,COUNTIF('Paste Here'!$AK$1:AK169,$AA$2:$AA$282),0)),"")</f>
        <v/>
      </c>
      <c r="AP170" s="33" t="str">
        <f>IF(COUNTIF('Paste Here'!$AK$2:AK170,'Paste Here'!AK170)=1,VALUE('Paste Here'!AK170),"")</f>
        <v/>
      </c>
    </row>
    <row r="171" spans="1:42" x14ac:dyDescent="0.3">
      <c r="A171"/>
      <c r="B171"/>
      <c r="C171"/>
      <c r="D171" s="4"/>
      <c r="E171"/>
      <c r="F171"/>
      <c r="G171"/>
      <c r="H171"/>
      <c r="AA171" s="33" t="str">
        <f t="shared" si="7"/>
        <v/>
      </c>
      <c r="AC171" s="33">
        <f t="shared" si="6"/>
        <v>1048540</v>
      </c>
      <c r="AD171" s="33" t="str">
        <f t="shared" si="8"/>
        <v/>
      </c>
      <c r="AE171" s="33" t="str" cm="1">
        <f t="array" ref="AE171">LOOKUP(2,1/($AB$2:$AB$1000=AB171),$AD$2:$AD$1000)</f>
        <v/>
      </c>
      <c r="AL171" s="39" t="str">
        <f>IF(AK171="","",
   IF(
      COUNTIF('Paste Here'!$AA$2:$AA$1000,AK171)=0,
      "",
      ROUNDDOWN(COUNTIF('Paste Here'!$AA$2:$AA$1000,AK171)/2,0)
   )
)</f>
        <v/>
      </c>
      <c r="AM171" s="39" t="str" cm="1">
        <f t="array" ref="AM171">IFERROR(IF(LOOKUP(2,1/($AA$2:$AA$1000=AK171),$AD$2:$AD$1000)=0,"",
LOOKUP(2,1/($AA$2:$AA$1000=AK171),$AD$2:$AD$1000)),"")</f>
        <v/>
      </c>
      <c r="AO171" s="33" t="str" cm="1">
        <f t="array" ref="AO171">IFERROR(INDEX($AA$2:$AA$282,MATCH(0,COUNTIF('Paste Here'!$AK$1:AK170,$AA$2:$AA$282),0)),"")</f>
        <v/>
      </c>
      <c r="AP171" s="33" t="str">
        <f>IF(COUNTIF('Paste Here'!$AK$2:AK171,'Paste Here'!AK171)=1,VALUE('Paste Here'!AK171),"")</f>
        <v/>
      </c>
    </row>
    <row r="172" spans="1:42" x14ac:dyDescent="0.3">
      <c r="A172"/>
      <c r="B172"/>
      <c r="C172"/>
      <c r="D172" s="4"/>
      <c r="E172"/>
      <c r="F172"/>
      <c r="G172"/>
      <c r="H172"/>
      <c r="AA172" s="33" t="str">
        <f t="shared" si="7"/>
        <v/>
      </c>
      <c r="AC172" s="33">
        <f t="shared" si="6"/>
        <v>1048540</v>
      </c>
      <c r="AD172" s="33" t="str">
        <f t="shared" si="8"/>
        <v/>
      </c>
      <c r="AE172" s="33" t="str" cm="1">
        <f t="array" ref="AE172">LOOKUP(2,1/($AB$2:$AB$1000=AB172),$AD$2:$AD$1000)</f>
        <v/>
      </c>
      <c r="AL172" s="39" t="str">
        <f>IF(AK172="","",
   IF(
      COUNTIF('Paste Here'!$AA$2:$AA$1000,AK172)=0,
      "",
      ROUNDDOWN(COUNTIF('Paste Here'!$AA$2:$AA$1000,AK172)/2,0)
   )
)</f>
        <v/>
      </c>
      <c r="AM172" s="39" t="str" cm="1">
        <f t="array" ref="AM172">IFERROR(IF(LOOKUP(2,1/($AA$2:$AA$1000=AK172),$AD$2:$AD$1000)=0,"",
LOOKUP(2,1/($AA$2:$AA$1000=AK172),$AD$2:$AD$1000)),"")</f>
        <v/>
      </c>
      <c r="AO172" s="33" t="str" cm="1">
        <f t="array" ref="AO172">IFERROR(INDEX($AA$2:$AA$282,MATCH(0,COUNTIF('Paste Here'!$AK$1:AK171,$AA$2:$AA$282),0)),"")</f>
        <v/>
      </c>
      <c r="AP172" s="33" t="str">
        <f>IF(COUNTIF('Paste Here'!$AK$2:AK172,'Paste Here'!AK172)=1,VALUE('Paste Here'!AK172),"")</f>
        <v/>
      </c>
    </row>
    <row r="173" spans="1:42" x14ac:dyDescent="0.3">
      <c r="A173"/>
      <c r="B173"/>
      <c r="C173"/>
      <c r="D173" s="4"/>
      <c r="E173"/>
      <c r="F173"/>
      <c r="G173"/>
      <c r="H173"/>
      <c r="AA173" s="33" t="str">
        <f t="shared" si="7"/>
        <v/>
      </c>
      <c r="AC173" s="33">
        <f t="shared" si="6"/>
        <v>1048540</v>
      </c>
      <c r="AD173" s="33" t="str">
        <f t="shared" si="8"/>
        <v/>
      </c>
      <c r="AE173" s="33" t="str" cm="1">
        <f t="array" ref="AE173">LOOKUP(2,1/($AB$2:$AB$1000=AB173),$AD$2:$AD$1000)</f>
        <v/>
      </c>
      <c r="AL173" s="39" t="str">
        <f>IF(AK173="","",
   IF(
      COUNTIF('Paste Here'!$AA$2:$AA$1000,AK173)=0,
      "",
      ROUNDDOWN(COUNTIF('Paste Here'!$AA$2:$AA$1000,AK173)/2,0)
   )
)</f>
        <v/>
      </c>
      <c r="AM173" s="39" t="str" cm="1">
        <f t="array" ref="AM173">IFERROR(IF(LOOKUP(2,1/($AA$2:$AA$1000=AK173),$AD$2:$AD$1000)=0,"",
LOOKUP(2,1/($AA$2:$AA$1000=AK173),$AD$2:$AD$1000)),"")</f>
        <v/>
      </c>
      <c r="AO173" s="33" t="str" cm="1">
        <f t="array" ref="AO173">IFERROR(INDEX($AA$2:$AA$282,MATCH(0,COUNTIF('Paste Here'!$AK$1:AK172,$AA$2:$AA$282),0)),"")</f>
        <v/>
      </c>
      <c r="AP173" s="33" t="str">
        <f>IF(COUNTIF('Paste Here'!$AK$2:AK173,'Paste Here'!AK173)=1,VALUE('Paste Here'!AK173),"")</f>
        <v/>
      </c>
    </row>
    <row r="174" spans="1:42" x14ac:dyDescent="0.3">
      <c r="A174"/>
      <c r="B174"/>
      <c r="C174"/>
      <c r="D174" s="4"/>
      <c r="E174"/>
      <c r="F174"/>
      <c r="G174"/>
      <c r="H174"/>
      <c r="AA174" s="33" t="str">
        <f t="shared" si="7"/>
        <v/>
      </c>
      <c r="AC174" s="33">
        <f t="shared" si="6"/>
        <v>1048540</v>
      </c>
      <c r="AD174" s="33" t="str">
        <f t="shared" si="8"/>
        <v/>
      </c>
      <c r="AE174" s="33" t="str" cm="1">
        <f t="array" ref="AE174">LOOKUP(2,1/($AB$2:$AB$1000=AB174),$AD$2:$AD$1000)</f>
        <v/>
      </c>
      <c r="AL174" s="39" t="str">
        <f>IF(AK174="","",
   IF(
      COUNTIF('Paste Here'!$AA$2:$AA$1000,AK174)=0,
      "",
      ROUNDDOWN(COUNTIF('Paste Here'!$AA$2:$AA$1000,AK174)/2,0)
   )
)</f>
        <v/>
      </c>
      <c r="AM174" s="39" t="str" cm="1">
        <f t="array" ref="AM174">IFERROR(IF(LOOKUP(2,1/($AA$2:$AA$1000=AK174),$AD$2:$AD$1000)=0,"",
LOOKUP(2,1/($AA$2:$AA$1000=AK174),$AD$2:$AD$1000)),"")</f>
        <v/>
      </c>
      <c r="AO174" s="33" t="str" cm="1">
        <f t="array" ref="AO174">IFERROR(INDEX($AA$2:$AA$282,MATCH(0,COUNTIF('Paste Here'!$AK$1:AK173,$AA$2:$AA$282),0)),"")</f>
        <v/>
      </c>
      <c r="AP174" s="33" t="str">
        <f>IF(COUNTIF('Paste Here'!$AK$2:AK174,'Paste Here'!AK174)=1,VALUE('Paste Here'!AK174),"")</f>
        <v/>
      </c>
    </row>
    <row r="175" spans="1:42" x14ac:dyDescent="0.3">
      <c r="A175"/>
      <c r="B175"/>
      <c r="C175"/>
      <c r="D175" s="4"/>
      <c r="E175"/>
      <c r="F175"/>
      <c r="G175"/>
      <c r="H175"/>
      <c r="AA175" s="33" t="str">
        <f t="shared" si="7"/>
        <v/>
      </c>
      <c r="AC175" s="33">
        <f t="shared" si="6"/>
        <v>1048540</v>
      </c>
      <c r="AD175" s="33" t="str">
        <f t="shared" si="8"/>
        <v/>
      </c>
      <c r="AE175" s="33" t="str" cm="1">
        <f t="array" ref="AE175">LOOKUP(2,1/($AB$2:$AB$1000=AB175),$AD$2:$AD$1000)</f>
        <v/>
      </c>
      <c r="AL175" s="39" t="str">
        <f>IF(AK175="","",
   IF(
      COUNTIF('Paste Here'!$AA$2:$AA$1000,AK175)=0,
      "",
      ROUNDDOWN(COUNTIF('Paste Here'!$AA$2:$AA$1000,AK175)/2,0)
   )
)</f>
        <v/>
      </c>
      <c r="AM175" s="39" t="str" cm="1">
        <f t="array" ref="AM175">IFERROR(IF(LOOKUP(2,1/($AA$2:$AA$1000=AK175),$AD$2:$AD$1000)=0,"",
LOOKUP(2,1/($AA$2:$AA$1000=AK175),$AD$2:$AD$1000)),"")</f>
        <v/>
      </c>
      <c r="AO175" s="33" t="str" cm="1">
        <f t="array" ref="AO175">IFERROR(INDEX($AA$2:$AA$282,MATCH(0,COUNTIF('Paste Here'!$AK$1:AK174,$AA$2:$AA$282),0)),"")</f>
        <v/>
      </c>
      <c r="AP175" s="33" t="str">
        <f>IF(COUNTIF('Paste Here'!$AK$2:AK175,'Paste Here'!AK175)=1,VALUE('Paste Here'!AK175),"")</f>
        <v/>
      </c>
    </row>
    <row r="176" spans="1:42" x14ac:dyDescent="0.3">
      <c r="A176"/>
      <c r="B176"/>
      <c r="C176"/>
      <c r="D176" s="4"/>
      <c r="E176"/>
      <c r="F176"/>
      <c r="G176"/>
      <c r="H176"/>
      <c r="AA176" s="33" t="str">
        <f t="shared" si="7"/>
        <v/>
      </c>
      <c r="AC176" s="33">
        <f t="shared" si="6"/>
        <v>1048540</v>
      </c>
      <c r="AD176" s="33" t="str">
        <f t="shared" si="8"/>
        <v/>
      </c>
      <c r="AE176" s="33" t="str" cm="1">
        <f t="array" ref="AE176">LOOKUP(2,1/($AB$2:$AB$1000=AB176),$AD$2:$AD$1000)</f>
        <v/>
      </c>
      <c r="AL176" s="39" t="str">
        <f>IF(AK176="","",
   IF(
      COUNTIF('Paste Here'!$AA$2:$AA$1000,AK176)=0,
      "",
      ROUNDDOWN(COUNTIF('Paste Here'!$AA$2:$AA$1000,AK176)/2,0)
   )
)</f>
        <v/>
      </c>
      <c r="AM176" s="39" t="str" cm="1">
        <f t="array" ref="AM176">IFERROR(IF(LOOKUP(2,1/($AA$2:$AA$1000=AK176),$AD$2:$AD$1000)=0,"",
LOOKUP(2,1/($AA$2:$AA$1000=AK176),$AD$2:$AD$1000)),"")</f>
        <v/>
      </c>
      <c r="AO176" s="33" t="str" cm="1">
        <f t="array" ref="AO176">IFERROR(INDEX($AA$2:$AA$282,MATCH(0,COUNTIF('Paste Here'!$AK$1:AK175,$AA$2:$AA$282),0)),"")</f>
        <v/>
      </c>
      <c r="AP176" s="33" t="str">
        <f>IF(COUNTIF('Paste Here'!$AK$2:AK176,'Paste Here'!AK176)=1,VALUE('Paste Here'!AK176),"")</f>
        <v/>
      </c>
    </row>
    <row r="177" spans="1:42" x14ac:dyDescent="0.3">
      <c r="A177"/>
      <c r="B177"/>
      <c r="C177"/>
      <c r="D177" s="4"/>
      <c r="E177"/>
      <c r="F177"/>
      <c r="G177"/>
      <c r="H177"/>
      <c r="AA177" s="33" t="str">
        <f t="shared" si="7"/>
        <v/>
      </c>
      <c r="AC177" s="33">
        <f t="shared" si="6"/>
        <v>1048540</v>
      </c>
      <c r="AD177" s="33" t="str">
        <f t="shared" si="8"/>
        <v/>
      </c>
      <c r="AE177" s="33" t="str" cm="1">
        <f t="array" ref="AE177">LOOKUP(2,1/($AB$2:$AB$1000=AB177),$AD$2:$AD$1000)</f>
        <v/>
      </c>
      <c r="AL177" s="39" t="str">
        <f>IF(AK177="","",
   IF(
      COUNTIF('Paste Here'!$AA$2:$AA$1000,AK177)=0,
      "",
      ROUNDDOWN(COUNTIF('Paste Here'!$AA$2:$AA$1000,AK177)/2,0)
   )
)</f>
        <v/>
      </c>
      <c r="AM177" s="39" t="str" cm="1">
        <f t="array" ref="AM177">IFERROR(IF(LOOKUP(2,1/($AA$2:$AA$1000=AK177),$AD$2:$AD$1000)=0,"",
LOOKUP(2,1/($AA$2:$AA$1000=AK177),$AD$2:$AD$1000)),"")</f>
        <v/>
      </c>
      <c r="AO177" s="33" t="str" cm="1">
        <f t="array" ref="AO177">IFERROR(INDEX($AA$2:$AA$282,MATCH(0,COUNTIF('Paste Here'!$AK$1:AK176,$AA$2:$AA$282),0)),"")</f>
        <v/>
      </c>
      <c r="AP177" s="33" t="str">
        <f>IF(COUNTIF('Paste Here'!$AK$2:AK177,'Paste Here'!AK177)=1,VALUE('Paste Here'!AK177),"")</f>
        <v/>
      </c>
    </row>
    <row r="178" spans="1:42" x14ac:dyDescent="0.3">
      <c r="A178"/>
      <c r="B178"/>
      <c r="C178"/>
      <c r="D178" s="4"/>
      <c r="E178"/>
      <c r="F178"/>
      <c r="G178"/>
      <c r="H178"/>
      <c r="AA178" s="33" t="str">
        <f t="shared" si="7"/>
        <v/>
      </c>
      <c r="AC178" s="33">
        <f t="shared" si="6"/>
        <v>1048540</v>
      </c>
      <c r="AD178" s="33" t="str">
        <f t="shared" si="8"/>
        <v/>
      </c>
      <c r="AE178" s="33" t="str" cm="1">
        <f t="array" ref="AE178">LOOKUP(2,1/($AB$2:$AB$1000=AB178),$AD$2:$AD$1000)</f>
        <v/>
      </c>
      <c r="AL178" s="39" t="str">
        <f>IF(AK178="","",
   IF(
      COUNTIF('Paste Here'!$AA$2:$AA$1000,AK178)=0,
      "",
      ROUNDDOWN(COUNTIF('Paste Here'!$AA$2:$AA$1000,AK178)/2,0)
   )
)</f>
        <v/>
      </c>
      <c r="AM178" s="39" t="str" cm="1">
        <f t="array" ref="AM178">IFERROR(IF(LOOKUP(2,1/($AA$2:$AA$1000=AK178),$AD$2:$AD$1000)=0,"",
LOOKUP(2,1/($AA$2:$AA$1000=AK178),$AD$2:$AD$1000)),"")</f>
        <v/>
      </c>
      <c r="AO178" s="33" t="str" cm="1">
        <f t="array" ref="AO178">IFERROR(INDEX($AA$2:$AA$282,MATCH(0,COUNTIF('Paste Here'!$AK$1:AK177,$AA$2:$AA$282),0)),"")</f>
        <v/>
      </c>
      <c r="AP178" s="33" t="str">
        <f>IF(COUNTIF('Paste Here'!$AK$2:AK178,'Paste Here'!AK178)=1,VALUE('Paste Here'!AK178),"")</f>
        <v/>
      </c>
    </row>
    <row r="179" spans="1:42" x14ac:dyDescent="0.3">
      <c r="A179"/>
      <c r="B179"/>
      <c r="C179"/>
      <c r="D179" s="4"/>
      <c r="E179"/>
      <c r="F179"/>
      <c r="G179"/>
      <c r="H179"/>
      <c r="AA179" s="33" t="str">
        <f t="shared" si="7"/>
        <v/>
      </c>
      <c r="AC179" s="33">
        <f t="shared" si="6"/>
        <v>1048540</v>
      </c>
      <c r="AD179" s="33" t="str">
        <f t="shared" si="8"/>
        <v/>
      </c>
      <c r="AE179" s="33" t="str" cm="1">
        <f t="array" ref="AE179">LOOKUP(2,1/($AB$2:$AB$1000=AB179),$AD$2:$AD$1000)</f>
        <v/>
      </c>
      <c r="AL179" s="39" t="str">
        <f>IF(AK179="","",
   IF(
      COUNTIF('Paste Here'!$AA$2:$AA$1000,AK179)=0,
      "",
      ROUNDDOWN(COUNTIF('Paste Here'!$AA$2:$AA$1000,AK179)/2,0)
   )
)</f>
        <v/>
      </c>
      <c r="AM179" s="39" t="str" cm="1">
        <f t="array" ref="AM179">IFERROR(IF(LOOKUP(2,1/($AA$2:$AA$1000=AK179),$AD$2:$AD$1000)=0,"",
LOOKUP(2,1/($AA$2:$AA$1000=AK179),$AD$2:$AD$1000)),"")</f>
        <v/>
      </c>
      <c r="AO179" s="33" t="str" cm="1">
        <f t="array" ref="AO179">IFERROR(INDEX($AA$2:$AA$282,MATCH(0,COUNTIF('Paste Here'!$AK$1:AK178,$AA$2:$AA$282),0)),"")</f>
        <v/>
      </c>
      <c r="AP179" s="33" t="str">
        <f>IF(COUNTIF('Paste Here'!$AK$2:AK179,'Paste Here'!AK179)=1,VALUE('Paste Here'!AK179),"")</f>
        <v/>
      </c>
    </row>
    <row r="180" spans="1:42" x14ac:dyDescent="0.3">
      <c r="A180"/>
      <c r="B180"/>
      <c r="C180"/>
      <c r="D180" s="4"/>
      <c r="E180"/>
      <c r="F180"/>
      <c r="G180"/>
      <c r="H180"/>
      <c r="AA180" s="33" t="str">
        <f t="shared" si="7"/>
        <v/>
      </c>
      <c r="AC180" s="33">
        <f t="shared" si="6"/>
        <v>1048540</v>
      </c>
      <c r="AD180" s="33" t="str">
        <f t="shared" si="8"/>
        <v/>
      </c>
      <c r="AE180" s="33" t="str" cm="1">
        <f t="array" ref="AE180">LOOKUP(2,1/($AB$2:$AB$1000=AB180),$AD$2:$AD$1000)</f>
        <v/>
      </c>
      <c r="AL180" s="39" t="str">
        <f>IF(AK180="","",
   IF(
      COUNTIF('Paste Here'!$AA$2:$AA$1000,AK180)=0,
      "",
      ROUNDDOWN(COUNTIF('Paste Here'!$AA$2:$AA$1000,AK180)/2,0)
   )
)</f>
        <v/>
      </c>
      <c r="AM180" s="39" t="str" cm="1">
        <f t="array" ref="AM180">IFERROR(IF(LOOKUP(2,1/($AA$2:$AA$1000=AK180),$AD$2:$AD$1000)=0,"",
LOOKUP(2,1/($AA$2:$AA$1000=AK180),$AD$2:$AD$1000)),"")</f>
        <v/>
      </c>
      <c r="AO180" s="33" t="str" cm="1">
        <f t="array" ref="AO180">IFERROR(INDEX($AA$2:$AA$282,MATCH(0,COUNTIF('Paste Here'!$AK$1:AK179,$AA$2:$AA$282),0)),"")</f>
        <v/>
      </c>
      <c r="AP180" s="33" t="str">
        <f>IF(COUNTIF('Paste Here'!$AK$2:AK180,'Paste Here'!AK180)=1,VALUE('Paste Here'!AK180),"")</f>
        <v/>
      </c>
    </row>
    <row r="181" spans="1:42" x14ac:dyDescent="0.3">
      <c r="A181"/>
      <c r="B181"/>
      <c r="C181"/>
      <c r="D181" s="4"/>
      <c r="E181"/>
      <c r="F181"/>
      <c r="G181"/>
      <c r="H181"/>
      <c r="AA181" s="33" t="str">
        <f t="shared" si="7"/>
        <v/>
      </c>
      <c r="AC181" s="33">
        <f t="shared" si="6"/>
        <v>1048540</v>
      </c>
      <c r="AD181" s="33" t="str">
        <f t="shared" si="8"/>
        <v/>
      </c>
      <c r="AE181" s="33" t="str" cm="1">
        <f t="array" ref="AE181">LOOKUP(2,1/($AB$2:$AB$1000=AB181),$AD$2:$AD$1000)</f>
        <v/>
      </c>
      <c r="AL181" s="39" t="str">
        <f>IF(AK181="","",
   IF(
      COUNTIF('Paste Here'!$AA$2:$AA$1000,AK181)=0,
      "",
      ROUNDDOWN(COUNTIF('Paste Here'!$AA$2:$AA$1000,AK181)/2,0)
   )
)</f>
        <v/>
      </c>
      <c r="AM181" s="39" t="str" cm="1">
        <f t="array" ref="AM181">IFERROR(IF(LOOKUP(2,1/($AA$2:$AA$1000=AK181),$AD$2:$AD$1000)=0,"",
LOOKUP(2,1/($AA$2:$AA$1000=AK181),$AD$2:$AD$1000)),"")</f>
        <v/>
      </c>
      <c r="AO181" s="33" t="str" cm="1">
        <f t="array" ref="AO181">IFERROR(INDEX($AA$2:$AA$282,MATCH(0,COUNTIF('Paste Here'!$AK$1:AK180,$AA$2:$AA$282),0)),"")</f>
        <v/>
      </c>
      <c r="AP181" s="33" t="str">
        <f>IF(COUNTIF('Paste Here'!$AK$2:AK181,'Paste Here'!AK181)=1,VALUE('Paste Here'!AK181),"")</f>
        <v/>
      </c>
    </row>
    <row r="182" spans="1:42" x14ac:dyDescent="0.3">
      <c r="A182" s="2"/>
      <c r="B182" s="2"/>
      <c r="C182" s="2"/>
      <c r="D182" s="3"/>
      <c r="E182" s="2"/>
      <c r="F182" s="2"/>
      <c r="G182" s="2"/>
      <c r="H182" s="2"/>
      <c r="AA182" s="33" t="str">
        <f t="shared" si="7"/>
        <v/>
      </c>
      <c r="AC182" s="33">
        <f t="shared" si="6"/>
        <v>1048540</v>
      </c>
      <c r="AD182" s="33" t="str">
        <f t="shared" si="8"/>
        <v/>
      </c>
      <c r="AE182" s="33" t="str" cm="1">
        <f t="array" ref="AE182">LOOKUP(2,1/($AB$2:$AB$1000=AB182),$AD$2:$AD$1000)</f>
        <v/>
      </c>
      <c r="AL182" s="39" t="str">
        <f>IF(AK182="","",
   IF(
      COUNTIF('Paste Here'!$AA$2:$AA$1000,AK182)=0,
      "",
      ROUNDDOWN(COUNTIF('Paste Here'!$AA$2:$AA$1000,AK182)/2,0)
   )
)</f>
        <v/>
      </c>
      <c r="AM182" s="39" t="str" cm="1">
        <f t="array" ref="AM182">IFERROR(IF(LOOKUP(2,1/($AA$2:$AA$1000=AK182),$AD$2:$AD$1000)=0,"",
LOOKUP(2,1/($AA$2:$AA$1000=AK182),$AD$2:$AD$1000)),"")</f>
        <v/>
      </c>
      <c r="AO182" s="33" t="str" cm="1">
        <f t="array" ref="AO182">IFERROR(INDEX($AA$2:$AA$282,MATCH(0,COUNTIF('Paste Here'!$AK$1:AK181,$AA$2:$AA$282),0)),"")</f>
        <v/>
      </c>
      <c r="AP182" s="33" t="str">
        <f>IF(COUNTIF('Paste Here'!$AK$2:AK182,'Paste Here'!AK182)=1,VALUE('Paste Here'!AK182),"")</f>
        <v/>
      </c>
    </row>
    <row r="183" spans="1:42" x14ac:dyDescent="0.3">
      <c r="A183" s="2"/>
      <c r="B183" s="2"/>
      <c r="C183" s="2"/>
      <c r="D183" s="3"/>
      <c r="E183" s="2"/>
      <c r="F183" s="2"/>
      <c r="G183" s="2"/>
      <c r="H183" s="2"/>
      <c r="AA183" s="33" t="str">
        <f t="shared" si="7"/>
        <v/>
      </c>
      <c r="AC183" s="33">
        <f t="shared" si="6"/>
        <v>1048540</v>
      </c>
      <c r="AD183" s="33" t="str">
        <f t="shared" si="8"/>
        <v/>
      </c>
      <c r="AE183" s="33" t="str" cm="1">
        <f t="array" ref="AE183">LOOKUP(2,1/($AB$2:$AB$1000=AB183),$AD$2:$AD$1000)</f>
        <v/>
      </c>
      <c r="AL183" s="39" t="str">
        <f>IF(AK183="","",
   IF(
      COUNTIF('Paste Here'!$AA$2:$AA$1000,AK183)=0,
      "",
      ROUNDDOWN(COUNTIF('Paste Here'!$AA$2:$AA$1000,AK183)/2,0)
   )
)</f>
        <v/>
      </c>
      <c r="AM183" s="39" t="str" cm="1">
        <f t="array" ref="AM183">IFERROR(IF(LOOKUP(2,1/($AA$2:$AA$1000=AK183),$AD$2:$AD$1000)=0,"",
LOOKUP(2,1/($AA$2:$AA$1000=AK183),$AD$2:$AD$1000)),"")</f>
        <v/>
      </c>
      <c r="AO183" s="33" t="str" cm="1">
        <f t="array" ref="AO183">IFERROR(INDEX($AA$2:$AA$282,MATCH(0,COUNTIF('Paste Here'!$AK$1:AK182,$AA$2:$AA$282),0)),"")</f>
        <v/>
      </c>
      <c r="AP183" s="33" t="str">
        <f>IF(COUNTIF('Paste Here'!$AK$2:AK183,'Paste Here'!AK183)=1,VALUE('Paste Here'!AK183),"")</f>
        <v/>
      </c>
    </row>
    <row r="184" spans="1:42" x14ac:dyDescent="0.3">
      <c r="A184" s="2"/>
      <c r="B184" s="2"/>
      <c r="C184" s="2"/>
      <c r="D184" s="3"/>
      <c r="E184" s="2"/>
      <c r="F184" s="2"/>
      <c r="G184" s="2"/>
      <c r="H184" s="2"/>
      <c r="AA184" s="33" t="str">
        <f t="shared" si="7"/>
        <v/>
      </c>
      <c r="AC184" s="33">
        <f t="shared" si="6"/>
        <v>1048540</v>
      </c>
      <c r="AD184" s="33" t="str">
        <f t="shared" si="8"/>
        <v/>
      </c>
      <c r="AE184" s="33" t="str" cm="1">
        <f t="array" ref="AE184">LOOKUP(2,1/($AB$2:$AB$1000=AB184),$AD$2:$AD$1000)</f>
        <v/>
      </c>
      <c r="AL184" s="39" t="str">
        <f>IF(AK184="","",
   IF(
      COUNTIF('Paste Here'!$AA$2:$AA$1000,AK184)=0,
      "",
      ROUNDDOWN(COUNTIF('Paste Here'!$AA$2:$AA$1000,AK184)/2,0)
   )
)</f>
        <v/>
      </c>
      <c r="AM184" s="39" t="str" cm="1">
        <f t="array" ref="AM184">IFERROR(IF(LOOKUP(2,1/($AA$2:$AA$1000=AK184),$AD$2:$AD$1000)=0,"",
LOOKUP(2,1/($AA$2:$AA$1000=AK184),$AD$2:$AD$1000)),"")</f>
        <v/>
      </c>
      <c r="AO184" s="33" t="str" cm="1">
        <f t="array" ref="AO184">IFERROR(INDEX($AA$2:$AA$282,MATCH(0,COUNTIF('Paste Here'!$AK$1:AK183,$AA$2:$AA$282),0)),"")</f>
        <v/>
      </c>
      <c r="AP184" s="33" t="str">
        <f>IF(COUNTIF('Paste Here'!$AK$2:AK184,'Paste Here'!AK184)=1,VALUE('Paste Here'!AK184),"")</f>
        <v/>
      </c>
    </row>
    <row r="185" spans="1:42" x14ac:dyDescent="0.3">
      <c r="A185" s="2"/>
      <c r="B185" s="2"/>
      <c r="C185" s="2"/>
      <c r="D185" s="3"/>
      <c r="E185" s="2"/>
      <c r="F185" s="2"/>
      <c r="G185" s="2"/>
      <c r="H185" s="2"/>
      <c r="AA185" s="33" t="str">
        <f t="shared" si="7"/>
        <v/>
      </c>
      <c r="AC185" s="33">
        <f t="shared" si="6"/>
        <v>1048540</v>
      </c>
      <c r="AD185" s="33" t="str">
        <f t="shared" si="8"/>
        <v/>
      </c>
      <c r="AE185" s="33" t="str" cm="1">
        <f t="array" ref="AE185">LOOKUP(2,1/($AB$2:$AB$1000=AB185),$AD$2:$AD$1000)</f>
        <v/>
      </c>
      <c r="AL185" s="39" t="str">
        <f>IF(AK185="","",
   IF(
      COUNTIF('Paste Here'!$AA$2:$AA$1000,AK185)=0,
      "",
      ROUNDDOWN(COUNTIF('Paste Here'!$AA$2:$AA$1000,AK185)/2,0)
   )
)</f>
        <v/>
      </c>
      <c r="AM185" s="39" t="str" cm="1">
        <f t="array" ref="AM185">IFERROR(IF(LOOKUP(2,1/($AA$2:$AA$1000=AK185),$AD$2:$AD$1000)=0,"",
LOOKUP(2,1/($AA$2:$AA$1000=AK185),$AD$2:$AD$1000)),"")</f>
        <v/>
      </c>
      <c r="AO185" s="33" t="str" cm="1">
        <f t="array" ref="AO185">IFERROR(INDEX($AA$2:$AA$282,MATCH(0,COUNTIF('Paste Here'!$AK$1:AK184,$AA$2:$AA$282),0)),"")</f>
        <v/>
      </c>
      <c r="AP185" s="33" t="str">
        <f>IF(COUNTIF('Paste Here'!$AK$2:AK185,'Paste Here'!AK185)=1,VALUE('Paste Here'!AK185),"")</f>
        <v/>
      </c>
    </row>
    <row r="186" spans="1:42" x14ac:dyDescent="0.3">
      <c r="A186" s="2"/>
      <c r="B186" s="2"/>
      <c r="C186" s="2"/>
      <c r="D186" s="3"/>
      <c r="E186" s="2"/>
      <c r="F186" s="2"/>
      <c r="G186" s="2"/>
      <c r="H186" s="2"/>
      <c r="AA186" s="33" t="str">
        <f t="shared" si="7"/>
        <v/>
      </c>
      <c r="AC186" s="33">
        <f t="shared" si="6"/>
        <v>1048540</v>
      </c>
      <c r="AD186" s="33" t="str">
        <f t="shared" si="8"/>
        <v/>
      </c>
      <c r="AE186" s="33" t="str" cm="1">
        <f t="array" ref="AE186">LOOKUP(2,1/($AB$2:$AB$1000=AB186),$AD$2:$AD$1000)</f>
        <v/>
      </c>
      <c r="AL186" s="39" t="str">
        <f>IF(AK186="","",
   IF(
      COUNTIF('Paste Here'!$AA$2:$AA$1000,AK186)=0,
      "",
      ROUNDDOWN(COUNTIF('Paste Here'!$AA$2:$AA$1000,AK186)/2,0)
   )
)</f>
        <v/>
      </c>
      <c r="AM186" s="39" t="str" cm="1">
        <f t="array" ref="AM186">IFERROR(IF(LOOKUP(2,1/($AA$2:$AA$1000=AK186),$AD$2:$AD$1000)=0,"",
LOOKUP(2,1/($AA$2:$AA$1000=AK186),$AD$2:$AD$1000)),"")</f>
        <v/>
      </c>
      <c r="AO186" s="33" t="str" cm="1">
        <f t="array" ref="AO186">IFERROR(INDEX($AA$2:$AA$282,MATCH(0,COUNTIF('Paste Here'!$AK$1:AK185,$AA$2:$AA$282),0)),"")</f>
        <v/>
      </c>
      <c r="AP186" s="33" t="str">
        <f>IF(COUNTIF('Paste Here'!$AK$2:AK186,'Paste Here'!AK186)=1,VALUE('Paste Here'!AK186),"")</f>
        <v/>
      </c>
    </row>
    <row r="187" spans="1:42" x14ac:dyDescent="0.3">
      <c r="A187" s="2"/>
      <c r="B187" s="2"/>
      <c r="C187" s="2"/>
      <c r="D187" s="3"/>
      <c r="E187" s="2"/>
      <c r="F187" s="2"/>
      <c r="G187" s="2"/>
      <c r="H187" s="2"/>
      <c r="AA187" s="33" t="str">
        <f t="shared" si="7"/>
        <v/>
      </c>
      <c r="AC187" s="33">
        <f t="shared" si="6"/>
        <v>1048540</v>
      </c>
      <c r="AD187" s="33" t="str">
        <f t="shared" si="8"/>
        <v/>
      </c>
      <c r="AE187" s="33" t="str" cm="1">
        <f t="array" ref="AE187">LOOKUP(2,1/($AB$2:$AB$1000=AB187),$AD$2:$AD$1000)</f>
        <v/>
      </c>
      <c r="AL187" s="39" t="str">
        <f>IF(AK187="","",
   IF(
      COUNTIF('Paste Here'!$AA$2:$AA$1000,AK187)=0,
      "",
      ROUNDDOWN(COUNTIF('Paste Here'!$AA$2:$AA$1000,AK187)/2,0)
   )
)</f>
        <v/>
      </c>
      <c r="AM187" s="39" t="str" cm="1">
        <f t="array" ref="AM187">IFERROR(IF(LOOKUP(2,1/($AA$2:$AA$1000=AK187),$AD$2:$AD$1000)=0,"",
LOOKUP(2,1/($AA$2:$AA$1000=AK187),$AD$2:$AD$1000)),"")</f>
        <v/>
      </c>
      <c r="AO187" s="33" t="str" cm="1">
        <f t="array" ref="AO187">IFERROR(INDEX($AA$2:$AA$282,MATCH(0,COUNTIF('Paste Here'!$AK$1:AK186,$AA$2:$AA$282),0)),"")</f>
        <v/>
      </c>
      <c r="AP187" s="33" t="str">
        <f>IF(COUNTIF('Paste Here'!$AK$2:AK187,'Paste Here'!AK187)=1,VALUE('Paste Here'!AK187),"")</f>
        <v/>
      </c>
    </row>
    <row r="188" spans="1:42" x14ac:dyDescent="0.3">
      <c r="A188" s="2"/>
      <c r="B188" s="2"/>
      <c r="C188" s="2"/>
      <c r="D188" s="3"/>
      <c r="E188" s="2"/>
      <c r="F188" s="2"/>
      <c r="G188" s="2"/>
      <c r="H188" s="2"/>
      <c r="AA188" s="33" t="str">
        <f t="shared" si="7"/>
        <v/>
      </c>
      <c r="AC188" s="33">
        <f t="shared" si="6"/>
        <v>1048540</v>
      </c>
      <c r="AD188" s="33" t="str">
        <f t="shared" si="8"/>
        <v/>
      </c>
      <c r="AE188" s="33" t="str" cm="1">
        <f t="array" ref="AE188">LOOKUP(2,1/($AB$2:$AB$1000=AB188),$AD$2:$AD$1000)</f>
        <v/>
      </c>
      <c r="AL188" s="39" t="str">
        <f>IF(AK188="","",
   IF(
      COUNTIF('Paste Here'!$AA$2:$AA$1000,AK188)=0,
      "",
      ROUNDDOWN(COUNTIF('Paste Here'!$AA$2:$AA$1000,AK188)/2,0)
   )
)</f>
        <v/>
      </c>
      <c r="AM188" s="39" t="str" cm="1">
        <f t="array" ref="AM188">IFERROR(IF(LOOKUP(2,1/($AA$2:$AA$1000=AK188),$AD$2:$AD$1000)=0,"",
LOOKUP(2,1/($AA$2:$AA$1000=AK188),$AD$2:$AD$1000)),"")</f>
        <v/>
      </c>
      <c r="AO188" s="33" t="str" cm="1">
        <f t="array" ref="AO188">IFERROR(INDEX($AA$2:$AA$282,MATCH(0,COUNTIF('Paste Here'!$AK$1:AK187,$AA$2:$AA$282),0)),"")</f>
        <v/>
      </c>
      <c r="AP188" s="33" t="str">
        <f>IF(COUNTIF('Paste Here'!$AK$2:AK188,'Paste Here'!AK188)=1,VALUE('Paste Here'!AK188),"")</f>
        <v/>
      </c>
    </row>
    <row r="189" spans="1:42" x14ac:dyDescent="0.3">
      <c r="A189" s="2"/>
      <c r="B189" s="2"/>
      <c r="C189" s="2"/>
      <c r="D189" s="3"/>
      <c r="E189" s="2"/>
      <c r="F189" s="2"/>
      <c r="G189" s="2"/>
      <c r="H189" s="2"/>
      <c r="AA189" s="33" t="str">
        <f t="shared" si="7"/>
        <v/>
      </c>
      <c r="AC189" s="33">
        <f t="shared" si="6"/>
        <v>1048540</v>
      </c>
      <c r="AD189" s="33" t="str">
        <f t="shared" si="8"/>
        <v/>
      </c>
      <c r="AE189" s="33" t="str" cm="1">
        <f t="array" ref="AE189">LOOKUP(2,1/($AB$2:$AB$1000=AB189),$AD$2:$AD$1000)</f>
        <v/>
      </c>
      <c r="AL189" s="39" t="str">
        <f>IF(AK189="","",
   IF(
      COUNTIF('Paste Here'!$AA$2:$AA$1000,AK189)=0,
      "",
      ROUNDDOWN(COUNTIF('Paste Here'!$AA$2:$AA$1000,AK189)/2,0)
   )
)</f>
        <v/>
      </c>
      <c r="AM189" s="39" t="str" cm="1">
        <f t="array" ref="AM189">IFERROR(IF(LOOKUP(2,1/($AA$2:$AA$1000=AK189),$AD$2:$AD$1000)=0,"",
LOOKUP(2,1/($AA$2:$AA$1000=AK189),$AD$2:$AD$1000)),"")</f>
        <v/>
      </c>
      <c r="AO189" s="33" t="str" cm="1">
        <f t="array" ref="AO189">IFERROR(INDEX($AA$2:$AA$282,MATCH(0,COUNTIF('Paste Here'!$AK$1:AK188,$AA$2:$AA$282),0)),"")</f>
        <v/>
      </c>
      <c r="AP189" s="33" t="str">
        <f>IF(COUNTIF('Paste Here'!$AK$2:AK189,'Paste Here'!AK189)=1,VALUE('Paste Here'!AK189),"")</f>
        <v/>
      </c>
    </row>
    <row r="190" spans="1:42" x14ac:dyDescent="0.3">
      <c r="A190" s="2"/>
      <c r="B190" s="2"/>
      <c r="C190" s="2"/>
      <c r="D190" s="3"/>
      <c r="E190" s="2"/>
      <c r="F190" s="2"/>
      <c r="G190" s="2"/>
      <c r="H190" s="2"/>
      <c r="AA190" s="33" t="str">
        <f t="shared" si="7"/>
        <v/>
      </c>
      <c r="AC190" s="33">
        <f t="shared" si="6"/>
        <v>1048540</v>
      </c>
      <c r="AD190" s="33" t="str">
        <f t="shared" si="8"/>
        <v/>
      </c>
      <c r="AE190" s="33" t="str" cm="1">
        <f t="array" ref="AE190">LOOKUP(2,1/($AB$2:$AB$1000=AB190),$AD$2:$AD$1000)</f>
        <v/>
      </c>
      <c r="AL190" s="39" t="str">
        <f>IF(AK190="","",
   IF(
      COUNTIF('Paste Here'!$AA$2:$AA$1000,AK190)=0,
      "",
      ROUNDDOWN(COUNTIF('Paste Here'!$AA$2:$AA$1000,AK190)/2,0)
   )
)</f>
        <v/>
      </c>
      <c r="AM190" s="39" t="str" cm="1">
        <f t="array" ref="AM190">IFERROR(IF(LOOKUP(2,1/($AA$2:$AA$1000=AK190),$AD$2:$AD$1000)=0,"",
LOOKUP(2,1/($AA$2:$AA$1000=AK190),$AD$2:$AD$1000)),"")</f>
        <v/>
      </c>
      <c r="AO190" s="33" t="str" cm="1">
        <f t="array" ref="AO190">IFERROR(INDEX($AA$2:$AA$282,MATCH(0,COUNTIF('Paste Here'!$AK$1:AK189,$AA$2:$AA$282),0)),"")</f>
        <v/>
      </c>
      <c r="AP190" s="33" t="str">
        <f>IF(COUNTIF('Paste Here'!$AK$2:AK190,'Paste Here'!AK190)=1,VALUE('Paste Here'!AK190),"")</f>
        <v/>
      </c>
    </row>
    <row r="191" spans="1:42" x14ac:dyDescent="0.3">
      <c r="A191" s="2"/>
      <c r="B191" s="2"/>
      <c r="C191" s="2"/>
      <c r="D191" s="3"/>
      <c r="E191" s="2"/>
      <c r="F191" s="2"/>
      <c r="G191" s="2"/>
      <c r="H191" s="2"/>
      <c r="AA191" s="33" t="str">
        <f t="shared" si="7"/>
        <v/>
      </c>
      <c r="AC191" s="33">
        <f t="shared" si="6"/>
        <v>1048540</v>
      </c>
      <c r="AD191" s="33" t="str">
        <f t="shared" si="8"/>
        <v/>
      </c>
      <c r="AE191" s="33" t="str" cm="1">
        <f t="array" ref="AE191">LOOKUP(2,1/($AB$2:$AB$1000=AB191),$AD$2:$AD$1000)</f>
        <v/>
      </c>
      <c r="AL191" s="39" t="str">
        <f>IF(AK191="","",
   IF(
      COUNTIF('Paste Here'!$AA$2:$AA$1000,AK191)=0,
      "",
      ROUNDDOWN(COUNTIF('Paste Here'!$AA$2:$AA$1000,AK191)/2,0)
   )
)</f>
        <v/>
      </c>
      <c r="AM191" s="39" t="str" cm="1">
        <f t="array" ref="AM191">IFERROR(IF(LOOKUP(2,1/($AA$2:$AA$1000=AK191),$AD$2:$AD$1000)=0,"",
LOOKUP(2,1/($AA$2:$AA$1000=AK191),$AD$2:$AD$1000)),"")</f>
        <v/>
      </c>
      <c r="AO191" s="33" t="str" cm="1">
        <f t="array" ref="AO191">IFERROR(INDEX($AA$2:$AA$282,MATCH(0,COUNTIF('Paste Here'!$AK$1:AK190,$AA$2:$AA$282),0)),"")</f>
        <v/>
      </c>
      <c r="AP191" s="33" t="str">
        <f>IF(COUNTIF('Paste Here'!$AK$2:AK191,'Paste Here'!AK191)=1,VALUE('Paste Here'!AK191),"")</f>
        <v/>
      </c>
    </row>
    <row r="192" spans="1:42" x14ac:dyDescent="0.3">
      <c r="A192" s="2"/>
      <c r="B192" s="2"/>
      <c r="C192" s="2"/>
      <c r="D192" s="3"/>
      <c r="E192" s="2"/>
      <c r="F192" s="2"/>
      <c r="G192" s="2"/>
      <c r="H192" s="2"/>
      <c r="AA192" s="33" t="str">
        <f t="shared" si="7"/>
        <v/>
      </c>
      <c r="AC192" s="33">
        <f t="shared" si="6"/>
        <v>1048540</v>
      </c>
      <c r="AD192" s="33" t="str">
        <f t="shared" si="8"/>
        <v/>
      </c>
      <c r="AE192" s="33" t="str" cm="1">
        <f t="array" ref="AE192">LOOKUP(2,1/($AB$2:$AB$1000=AB192),$AD$2:$AD$1000)</f>
        <v/>
      </c>
      <c r="AL192" s="39" t="str">
        <f>IF(AK192="","",
   IF(
      COUNTIF('Paste Here'!$AA$2:$AA$1000,AK192)=0,
      "",
      ROUNDDOWN(COUNTIF('Paste Here'!$AA$2:$AA$1000,AK192)/2,0)
   )
)</f>
        <v/>
      </c>
      <c r="AM192" s="39" t="str" cm="1">
        <f t="array" ref="AM192">IFERROR(IF(LOOKUP(2,1/($AA$2:$AA$1000=AK192),$AD$2:$AD$1000)=0,"",
LOOKUP(2,1/($AA$2:$AA$1000=AK192),$AD$2:$AD$1000)),"")</f>
        <v/>
      </c>
      <c r="AO192" s="33" t="str" cm="1">
        <f t="array" ref="AO192">IFERROR(INDEX($AA$2:$AA$282,MATCH(0,COUNTIF('Paste Here'!$AK$1:AK191,$AA$2:$AA$282),0)),"")</f>
        <v/>
      </c>
      <c r="AP192" s="33" t="str">
        <f>IF(COUNTIF('Paste Here'!$AK$2:AK192,'Paste Here'!AK192)=1,VALUE('Paste Here'!AK192),"")</f>
        <v/>
      </c>
    </row>
    <row r="193" spans="1:42" x14ac:dyDescent="0.3">
      <c r="A193" s="2"/>
      <c r="B193" s="2"/>
      <c r="C193" s="2"/>
      <c r="D193" s="3"/>
      <c r="E193" s="2"/>
      <c r="F193" s="2"/>
      <c r="G193" s="2"/>
      <c r="H193" s="2"/>
      <c r="AA193" s="33" t="str">
        <f t="shared" si="7"/>
        <v/>
      </c>
      <c r="AC193" s="33">
        <f t="shared" si="6"/>
        <v>1048540</v>
      </c>
      <c r="AD193" s="33" t="str">
        <f t="shared" si="8"/>
        <v/>
      </c>
      <c r="AE193" s="33" t="str" cm="1">
        <f t="array" ref="AE193">LOOKUP(2,1/($AB$2:$AB$1000=AB193),$AD$2:$AD$1000)</f>
        <v/>
      </c>
      <c r="AL193" s="39" t="str">
        <f>IF(AK193="","",
   IF(
      COUNTIF('Paste Here'!$AA$2:$AA$1000,AK193)=0,
      "",
      ROUNDDOWN(COUNTIF('Paste Here'!$AA$2:$AA$1000,AK193)/2,0)
   )
)</f>
        <v/>
      </c>
      <c r="AM193" s="39" t="str" cm="1">
        <f t="array" ref="AM193">IFERROR(IF(LOOKUP(2,1/($AA$2:$AA$1000=AK193),$AD$2:$AD$1000)=0,"",
LOOKUP(2,1/($AA$2:$AA$1000=AK193),$AD$2:$AD$1000)),"")</f>
        <v/>
      </c>
      <c r="AO193" s="33" t="str" cm="1">
        <f t="array" ref="AO193">IFERROR(INDEX($AA$2:$AA$282,MATCH(0,COUNTIF('Paste Here'!$AK$1:AK192,$AA$2:$AA$282),0)),"")</f>
        <v/>
      </c>
      <c r="AP193" s="33" t="str">
        <f>IF(COUNTIF('Paste Here'!$AK$2:AK193,'Paste Here'!AK193)=1,VALUE('Paste Here'!AK193),"")</f>
        <v/>
      </c>
    </row>
    <row r="194" spans="1:42" x14ac:dyDescent="0.3">
      <c r="A194" s="2"/>
      <c r="B194" s="2"/>
      <c r="C194" s="2"/>
      <c r="D194" s="3"/>
      <c r="E194" s="2"/>
      <c r="F194" s="2"/>
      <c r="G194" s="2"/>
      <c r="H194" s="2"/>
      <c r="AA194" s="33" t="str">
        <f t="shared" si="7"/>
        <v/>
      </c>
      <c r="AC194" s="33">
        <f t="shared" ref="AC194:AC257" si="9">COUNTIF($AA:$AA,AA194)</f>
        <v>1048540</v>
      </c>
      <c r="AD194" s="33" t="str">
        <f t="shared" si="8"/>
        <v/>
      </c>
      <c r="AE194" s="33" t="str" cm="1">
        <f t="array" ref="AE194">LOOKUP(2,1/($AB$2:$AB$1000=AB194),$AD$2:$AD$1000)</f>
        <v/>
      </c>
      <c r="AL194" s="39" t="str">
        <f>IF(AK194="","",
   IF(
      COUNTIF('Paste Here'!$AA$2:$AA$1000,AK194)=0,
      "",
      ROUNDDOWN(COUNTIF('Paste Here'!$AA$2:$AA$1000,AK194)/2,0)
   )
)</f>
        <v/>
      </c>
      <c r="AM194" s="39" t="str" cm="1">
        <f t="array" ref="AM194">IFERROR(IF(LOOKUP(2,1/($AA$2:$AA$1000=AK194),$AD$2:$AD$1000)=0,"",
LOOKUP(2,1/($AA$2:$AA$1000=AK194),$AD$2:$AD$1000)),"")</f>
        <v/>
      </c>
      <c r="AO194" s="33" t="str" cm="1">
        <f t="array" ref="AO194">IFERROR(INDEX($AA$2:$AA$282,MATCH(0,COUNTIF('Paste Here'!$AK$1:AK193,$AA$2:$AA$282),0)),"")</f>
        <v/>
      </c>
      <c r="AP194" s="33" t="str">
        <f>IF(COUNTIF('Paste Here'!$AK$2:AK194,'Paste Here'!AK194)=1,VALUE('Paste Here'!AK194),"")</f>
        <v/>
      </c>
    </row>
    <row r="195" spans="1:42" x14ac:dyDescent="0.3">
      <c r="A195" s="2"/>
      <c r="B195" s="2"/>
      <c r="C195" s="2"/>
      <c r="D195" s="3"/>
      <c r="E195" s="2"/>
      <c r="F195" s="2"/>
      <c r="G195" s="2"/>
      <c r="H195" s="2"/>
      <c r="AA195" s="33" t="str">
        <f t="shared" ref="AA195:AA258" si="10">IFERROR(MID(G195,FIND("LR-",G195)+3,FIND("-",G195,FIND("LR-",G195)+3)-FIND("LR-",G195)-3),"")</f>
        <v/>
      </c>
      <c r="AC195" s="33">
        <f t="shared" si="9"/>
        <v>1048540</v>
      </c>
      <c r="AD195" s="33" t="str">
        <f t="shared" ref="AD195:AD258" si="11">IF(F195=0,"",F195)</f>
        <v/>
      </c>
      <c r="AE195" s="33" t="str" cm="1">
        <f t="array" ref="AE195">LOOKUP(2,1/($AB$2:$AB$1000=AB195),$AD$2:$AD$1000)</f>
        <v/>
      </c>
      <c r="AL195" s="39" t="str">
        <f>IF(AK195="","",
   IF(
      COUNTIF('Paste Here'!$AA$2:$AA$1000,AK195)=0,
      "",
      ROUNDDOWN(COUNTIF('Paste Here'!$AA$2:$AA$1000,AK195)/2,0)
   )
)</f>
        <v/>
      </c>
      <c r="AM195" s="39" t="str" cm="1">
        <f t="array" ref="AM195">IFERROR(IF(LOOKUP(2,1/($AA$2:$AA$1000=AK195),$AD$2:$AD$1000)=0,"",
LOOKUP(2,1/($AA$2:$AA$1000=AK195),$AD$2:$AD$1000)),"")</f>
        <v/>
      </c>
      <c r="AO195" s="33" t="str" cm="1">
        <f t="array" ref="AO195">IFERROR(INDEX($AA$2:$AA$282,MATCH(0,COUNTIF('Paste Here'!$AK$1:AK194,$AA$2:$AA$282),0)),"")</f>
        <v/>
      </c>
      <c r="AP195" s="33" t="str">
        <f>IF(COUNTIF('Paste Here'!$AK$2:AK195,'Paste Here'!AK195)=1,VALUE('Paste Here'!AK195),"")</f>
        <v/>
      </c>
    </row>
    <row r="196" spans="1:42" x14ac:dyDescent="0.3">
      <c r="A196" s="2"/>
      <c r="B196" s="2"/>
      <c r="C196" s="2"/>
      <c r="D196" s="3"/>
      <c r="E196" s="2"/>
      <c r="F196" s="2"/>
      <c r="G196" s="2"/>
      <c r="H196" s="2"/>
      <c r="AA196" s="33" t="str">
        <f t="shared" si="10"/>
        <v/>
      </c>
      <c r="AC196" s="33">
        <f t="shared" si="9"/>
        <v>1048540</v>
      </c>
      <c r="AD196" s="33" t="str">
        <f t="shared" si="11"/>
        <v/>
      </c>
      <c r="AE196" s="33" t="str" cm="1">
        <f t="array" ref="AE196">LOOKUP(2,1/($AB$2:$AB$1000=AB196),$AD$2:$AD$1000)</f>
        <v/>
      </c>
      <c r="AL196" s="39" t="str">
        <f>IF(AK196="","",
   IF(
      COUNTIF('Paste Here'!$AA$2:$AA$1000,AK196)=0,
      "",
      ROUNDDOWN(COUNTIF('Paste Here'!$AA$2:$AA$1000,AK196)/2,0)
   )
)</f>
        <v/>
      </c>
      <c r="AM196" s="39" t="str" cm="1">
        <f t="array" ref="AM196">IFERROR(IF(LOOKUP(2,1/($AA$2:$AA$1000=AK196),$AD$2:$AD$1000)=0,"",
LOOKUP(2,1/($AA$2:$AA$1000=AK196),$AD$2:$AD$1000)),"")</f>
        <v/>
      </c>
      <c r="AO196" s="33" t="str" cm="1">
        <f t="array" ref="AO196">IFERROR(INDEX($AA$2:$AA$282,MATCH(0,COUNTIF('Paste Here'!$AK$1:AK195,$AA$2:$AA$282),0)),"")</f>
        <v/>
      </c>
      <c r="AP196" s="33" t="str">
        <f>IF(COUNTIF('Paste Here'!$AK$2:AK196,'Paste Here'!AK196)=1,VALUE('Paste Here'!AK196),"")</f>
        <v/>
      </c>
    </row>
    <row r="197" spans="1:42" x14ac:dyDescent="0.3">
      <c r="A197" s="2"/>
      <c r="B197" s="2"/>
      <c r="C197" s="2"/>
      <c r="D197" s="3"/>
      <c r="E197" s="2"/>
      <c r="F197" s="2"/>
      <c r="G197" s="2"/>
      <c r="H197" s="2"/>
      <c r="AA197" s="33" t="str">
        <f t="shared" si="10"/>
        <v/>
      </c>
      <c r="AC197" s="33">
        <f t="shared" si="9"/>
        <v>1048540</v>
      </c>
      <c r="AD197" s="33" t="str">
        <f t="shared" si="11"/>
        <v/>
      </c>
      <c r="AE197" s="33" t="str" cm="1">
        <f t="array" ref="AE197">LOOKUP(2,1/($AB$2:$AB$1000=AB197),$AD$2:$AD$1000)</f>
        <v/>
      </c>
      <c r="AL197" s="39" t="str">
        <f>IF(AK197="","",
   IF(
      COUNTIF('Paste Here'!$AA$2:$AA$1000,AK197)=0,
      "",
      ROUNDDOWN(COUNTIF('Paste Here'!$AA$2:$AA$1000,AK197)/2,0)
   )
)</f>
        <v/>
      </c>
      <c r="AM197" s="39" t="str" cm="1">
        <f t="array" ref="AM197">IFERROR(IF(LOOKUP(2,1/($AA$2:$AA$1000=AK197),$AD$2:$AD$1000)=0,"",
LOOKUP(2,1/($AA$2:$AA$1000=AK197),$AD$2:$AD$1000)),"")</f>
        <v/>
      </c>
      <c r="AO197" s="33" t="str" cm="1">
        <f t="array" ref="AO197">IFERROR(INDEX($AA$2:$AA$282,MATCH(0,COUNTIF('Paste Here'!$AK$1:AK196,$AA$2:$AA$282),0)),"")</f>
        <v/>
      </c>
      <c r="AP197" s="33" t="str">
        <f>IF(COUNTIF('Paste Here'!$AK$2:AK197,'Paste Here'!AK197)=1,VALUE('Paste Here'!AK197),"")</f>
        <v/>
      </c>
    </row>
    <row r="198" spans="1:42" x14ac:dyDescent="0.3">
      <c r="A198" s="2"/>
      <c r="B198" s="2"/>
      <c r="C198" s="2"/>
      <c r="D198" s="3"/>
      <c r="E198" s="2"/>
      <c r="F198" s="2"/>
      <c r="G198" s="2"/>
      <c r="H198" s="2"/>
      <c r="AA198" s="33" t="str">
        <f t="shared" si="10"/>
        <v/>
      </c>
      <c r="AC198" s="33">
        <f t="shared" si="9"/>
        <v>1048540</v>
      </c>
      <c r="AD198" s="33" t="str">
        <f t="shared" si="11"/>
        <v/>
      </c>
      <c r="AE198" s="33" t="str" cm="1">
        <f t="array" ref="AE198">LOOKUP(2,1/($AB$2:$AB$1000=AB198),$AD$2:$AD$1000)</f>
        <v/>
      </c>
      <c r="AL198" s="39" t="str">
        <f>IF(AK198="","",
   IF(
      COUNTIF('Paste Here'!$AA$2:$AA$1000,AK198)=0,
      "",
      ROUNDDOWN(COUNTIF('Paste Here'!$AA$2:$AA$1000,AK198)/2,0)
   )
)</f>
        <v/>
      </c>
      <c r="AM198" s="39" t="str" cm="1">
        <f t="array" ref="AM198">IFERROR(IF(LOOKUP(2,1/($AA$2:$AA$1000=AK198),$AD$2:$AD$1000)=0,"",
LOOKUP(2,1/($AA$2:$AA$1000=AK198),$AD$2:$AD$1000)),"")</f>
        <v/>
      </c>
      <c r="AO198" s="33" t="str" cm="1">
        <f t="array" ref="AO198">IFERROR(INDEX($AA$2:$AA$282,MATCH(0,COUNTIF('Paste Here'!$AK$1:AK197,$AA$2:$AA$282),0)),"")</f>
        <v/>
      </c>
      <c r="AP198" s="33" t="str">
        <f>IF(COUNTIF('Paste Here'!$AK$2:AK198,'Paste Here'!AK198)=1,VALUE('Paste Here'!AK198),"")</f>
        <v/>
      </c>
    </row>
    <row r="199" spans="1:42" x14ac:dyDescent="0.3">
      <c r="A199" s="2"/>
      <c r="B199" s="2"/>
      <c r="C199" s="2"/>
      <c r="D199" s="3"/>
      <c r="E199" s="2"/>
      <c r="F199" s="2"/>
      <c r="G199" s="2"/>
      <c r="H199" s="2"/>
      <c r="AA199" s="33" t="str">
        <f t="shared" si="10"/>
        <v/>
      </c>
      <c r="AC199" s="33">
        <f t="shared" si="9"/>
        <v>1048540</v>
      </c>
      <c r="AD199" s="33" t="str">
        <f t="shared" si="11"/>
        <v/>
      </c>
      <c r="AE199" s="33" t="str" cm="1">
        <f t="array" ref="AE199">LOOKUP(2,1/($AB$2:$AB$1000=AB199),$AD$2:$AD$1000)</f>
        <v/>
      </c>
      <c r="AL199" s="39" t="str">
        <f>IF(AK199="","",
   IF(
      COUNTIF('Paste Here'!$AA$2:$AA$1000,AK199)=0,
      "",
      ROUNDDOWN(COUNTIF('Paste Here'!$AA$2:$AA$1000,AK199)/2,0)
   )
)</f>
        <v/>
      </c>
      <c r="AM199" s="39" t="str" cm="1">
        <f t="array" ref="AM199">IFERROR(IF(LOOKUP(2,1/($AA$2:$AA$1000=AK199),$AD$2:$AD$1000)=0,"",
LOOKUP(2,1/($AA$2:$AA$1000=AK199),$AD$2:$AD$1000)),"")</f>
        <v/>
      </c>
      <c r="AO199" s="33" t="str" cm="1">
        <f t="array" ref="AO199">IFERROR(INDEX($AA$2:$AA$282,MATCH(0,COUNTIF('Paste Here'!$AK$1:AK198,$AA$2:$AA$282),0)),"")</f>
        <v/>
      </c>
      <c r="AP199" s="33" t="str">
        <f>IF(COUNTIF('Paste Here'!$AK$2:AK199,'Paste Here'!AK199)=1,VALUE('Paste Here'!AK199),"")</f>
        <v/>
      </c>
    </row>
    <row r="200" spans="1:42" x14ac:dyDescent="0.3">
      <c r="A200" s="2"/>
      <c r="B200" s="2"/>
      <c r="C200" s="2"/>
      <c r="D200" s="3"/>
      <c r="E200" s="2"/>
      <c r="F200" s="2"/>
      <c r="G200" s="2"/>
      <c r="H200" s="2"/>
      <c r="AA200" s="33" t="str">
        <f t="shared" si="10"/>
        <v/>
      </c>
      <c r="AC200" s="33">
        <f t="shared" si="9"/>
        <v>1048540</v>
      </c>
      <c r="AD200" s="33" t="str">
        <f t="shared" si="11"/>
        <v/>
      </c>
      <c r="AE200" s="33" t="str" cm="1">
        <f t="array" ref="AE200">LOOKUP(2,1/($AB$2:$AB$1000=AB200),$AD$2:$AD$1000)</f>
        <v/>
      </c>
      <c r="AL200" s="39" t="str">
        <f>IF(AK200="","",
   IF(
      COUNTIF('Paste Here'!$AA$2:$AA$1000,AK200)=0,
      "",
      ROUNDDOWN(COUNTIF('Paste Here'!$AA$2:$AA$1000,AK200)/2,0)
   )
)</f>
        <v/>
      </c>
      <c r="AM200" s="39" t="str" cm="1">
        <f t="array" ref="AM200">IFERROR(IF(LOOKUP(2,1/($AA$2:$AA$1000=AK200),$AD$2:$AD$1000)=0,"",
LOOKUP(2,1/($AA$2:$AA$1000=AK200),$AD$2:$AD$1000)),"")</f>
        <v/>
      </c>
      <c r="AO200" s="33" t="str" cm="1">
        <f t="array" ref="AO200">IFERROR(INDEX($AA$2:$AA$282,MATCH(0,COUNTIF('Paste Here'!$AK$1:AK199,$AA$2:$AA$282),0)),"")</f>
        <v/>
      </c>
      <c r="AP200" s="33" t="str">
        <f>IF(COUNTIF('Paste Here'!$AK$2:AK200,'Paste Here'!AK200)=1,VALUE('Paste Here'!AK200),"")</f>
        <v/>
      </c>
    </row>
    <row r="201" spans="1:42" x14ac:dyDescent="0.3">
      <c r="A201" s="2"/>
      <c r="B201" s="2"/>
      <c r="C201" s="2"/>
      <c r="D201" s="3"/>
      <c r="E201" s="2"/>
      <c r="F201" s="2"/>
      <c r="G201" s="2"/>
      <c r="H201" s="2"/>
      <c r="AA201" s="33" t="str">
        <f t="shared" si="10"/>
        <v/>
      </c>
      <c r="AC201" s="33">
        <f t="shared" si="9"/>
        <v>1048540</v>
      </c>
      <c r="AD201" s="33" t="str">
        <f t="shared" si="11"/>
        <v/>
      </c>
      <c r="AE201" s="33" t="str" cm="1">
        <f t="array" ref="AE201">LOOKUP(2,1/($AB$2:$AB$1000=AB201),$AD$2:$AD$1000)</f>
        <v/>
      </c>
      <c r="AL201" s="39" t="str">
        <f>IF(AK201="","",
   IF(
      COUNTIF('Paste Here'!$AA$2:$AA$1000,AK201)=0,
      "",
      ROUNDDOWN(COUNTIF('Paste Here'!$AA$2:$AA$1000,AK201)/2,0)
   )
)</f>
        <v/>
      </c>
      <c r="AM201" s="39" t="str" cm="1">
        <f t="array" ref="AM201">IFERROR(IF(LOOKUP(2,1/($AA$2:$AA$1000=AK201),$AD$2:$AD$1000)=0,"",
LOOKUP(2,1/($AA$2:$AA$1000=AK201),$AD$2:$AD$1000)),"")</f>
        <v/>
      </c>
      <c r="AO201" s="33" t="str" cm="1">
        <f t="array" ref="AO201">IFERROR(INDEX($AA$2:$AA$282,MATCH(0,COUNTIF('Paste Here'!$AK$1:AK200,$AA$2:$AA$282),0)),"")</f>
        <v/>
      </c>
      <c r="AP201" s="33" t="str">
        <f>IF(COUNTIF('Paste Here'!$AK$2:AK201,'Paste Here'!AK201)=1,VALUE('Paste Here'!AK201),"")</f>
        <v/>
      </c>
    </row>
    <row r="202" spans="1:42" x14ac:dyDescent="0.3">
      <c r="A202" s="2"/>
      <c r="B202" s="2"/>
      <c r="C202" s="2"/>
      <c r="D202" s="3"/>
      <c r="E202" s="2"/>
      <c r="F202" s="2"/>
      <c r="G202" s="2"/>
      <c r="H202" s="2"/>
      <c r="AA202" s="33" t="str">
        <f t="shared" si="10"/>
        <v/>
      </c>
      <c r="AC202" s="33">
        <f t="shared" si="9"/>
        <v>1048540</v>
      </c>
      <c r="AD202" s="33" t="str">
        <f t="shared" si="11"/>
        <v/>
      </c>
      <c r="AE202" s="33" t="str" cm="1">
        <f t="array" ref="AE202">LOOKUP(2,1/($AB$2:$AB$1000=AB202),$AD$2:$AD$1000)</f>
        <v/>
      </c>
      <c r="AL202" s="39" t="str">
        <f>IF(AK202="","",
   IF(
      COUNTIF('Paste Here'!$AA$2:$AA$1000,AK202)=0,
      "",
      ROUNDDOWN(COUNTIF('Paste Here'!$AA$2:$AA$1000,AK202)/2,0)
   )
)</f>
        <v/>
      </c>
      <c r="AM202" s="39" t="str" cm="1">
        <f t="array" ref="AM202">IFERROR(IF(LOOKUP(2,1/($AA$2:$AA$1000=AK202),$AD$2:$AD$1000)=0,"",
LOOKUP(2,1/($AA$2:$AA$1000=AK202),$AD$2:$AD$1000)),"")</f>
        <v/>
      </c>
      <c r="AO202" s="33" t="str" cm="1">
        <f t="array" ref="AO202">IFERROR(INDEX($AA$2:$AA$282,MATCH(0,COUNTIF('Paste Here'!$AK$1:AK201,$AA$2:$AA$282),0)),"")</f>
        <v/>
      </c>
      <c r="AP202" s="33" t="str">
        <f>IF(COUNTIF('Paste Here'!$AK$2:AK202,'Paste Here'!AK202)=1,VALUE('Paste Here'!AK202),"")</f>
        <v/>
      </c>
    </row>
    <row r="203" spans="1:42" x14ac:dyDescent="0.3">
      <c r="A203" s="2"/>
      <c r="B203" s="2"/>
      <c r="C203" s="2"/>
      <c r="D203" s="3"/>
      <c r="E203" s="2"/>
      <c r="F203" s="2"/>
      <c r="G203" s="2"/>
      <c r="H203" s="2"/>
      <c r="AA203" s="33" t="str">
        <f t="shared" si="10"/>
        <v/>
      </c>
      <c r="AC203" s="33">
        <f t="shared" si="9"/>
        <v>1048540</v>
      </c>
      <c r="AD203" s="33" t="str">
        <f t="shared" si="11"/>
        <v/>
      </c>
      <c r="AE203" s="33" t="str" cm="1">
        <f t="array" ref="AE203">LOOKUP(2,1/($AB$2:$AB$1000=AB203),$AD$2:$AD$1000)</f>
        <v/>
      </c>
      <c r="AL203" s="39" t="str">
        <f>IF(AK203="","",
   IF(
      COUNTIF('Paste Here'!$AA$2:$AA$1000,AK203)=0,
      "",
      ROUNDDOWN(COUNTIF('Paste Here'!$AA$2:$AA$1000,AK203)/2,0)
   )
)</f>
        <v/>
      </c>
      <c r="AM203" s="39" t="str" cm="1">
        <f t="array" ref="AM203">IFERROR(IF(LOOKUP(2,1/($AA$2:$AA$1000=AK203),$AD$2:$AD$1000)=0,"",
LOOKUP(2,1/($AA$2:$AA$1000=AK203),$AD$2:$AD$1000)),"")</f>
        <v/>
      </c>
      <c r="AO203" s="33" t="str" cm="1">
        <f t="array" ref="AO203">IFERROR(INDEX($AA$2:$AA$282,MATCH(0,COUNTIF('Paste Here'!$AK$1:AK202,$AA$2:$AA$282),0)),"")</f>
        <v/>
      </c>
      <c r="AP203" s="33" t="str">
        <f>IF(COUNTIF('Paste Here'!$AK$2:AK203,'Paste Here'!AK203)=1,VALUE('Paste Here'!AK203),"")</f>
        <v/>
      </c>
    </row>
    <row r="204" spans="1:42" x14ac:dyDescent="0.3">
      <c r="A204" s="2"/>
      <c r="B204" s="2"/>
      <c r="C204" s="2"/>
      <c r="D204" s="3"/>
      <c r="E204" s="2"/>
      <c r="F204" s="2"/>
      <c r="G204" s="2"/>
      <c r="H204" s="2"/>
      <c r="AA204" s="33" t="str">
        <f t="shared" si="10"/>
        <v/>
      </c>
      <c r="AC204" s="33">
        <f t="shared" si="9"/>
        <v>1048540</v>
      </c>
      <c r="AD204" s="33" t="str">
        <f t="shared" si="11"/>
        <v/>
      </c>
      <c r="AE204" s="33" t="str" cm="1">
        <f t="array" ref="AE204">LOOKUP(2,1/($AB$2:$AB$1000=AB204),$AD$2:$AD$1000)</f>
        <v/>
      </c>
      <c r="AL204" s="39" t="str">
        <f>IF(AK204="","",
   IF(
      COUNTIF('Paste Here'!$AA$2:$AA$1000,AK204)=0,
      "",
      ROUNDDOWN(COUNTIF('Paste Here'!$AA$2:$AA$1000,AK204)/2,0)
   )
)</f>
        <v/>
      </c>
      <c r="AM204" s="39" t="str" cm="1">
        <f t="array" ref="AM204">IFERROR(IF(LOOKUP(2,1/($AA$2:$AA$1000=AK204),$AD$2:$AD$1000)=0,"",
LOOKUP(2,1/($AA$2:$AA$1000=AK204),$AD$2:$AD$1000)),"")</f>
        <v/>
      </c>
      <c r="AO204" s="33" t="str" cm="1">
        <f t="array" ref="AO204">IFERROR(INDEX($AA$2:$AA$282,MATCH(0,COUNTIF('Paste Here'!$AK$1:AK203,$AA$2:$AA$282),0)),"")</f>
        <v/>
      </c>
      <c r="AP204" s="33" t="str">
        <f>IF(COUNTIF('Paste Here'!$AK$2:AK204,'Paste Here'!AK204)=1,VALUE('Paste Here'!AK204),"")</f>
        <v/>
      </c>
    </row>
    <row r="205" spans="1:42" x14ac:dyDescent="0.3">
      <c r="A205" s="2"/>
      <c r="B205" s="2"/>
      <c r="C205" s="2"/>
      <c r="D205" s="3"/>
      <c r="E205" s="2"/>
      <c r="F205" s="2"/>
      <c r="G205" s="2"/>
      <c r="H205" s="2"/>
      <c r="AA205" s="33" t="str">
        <f t="shared" si="10"/>
        <v/>
      </c>
      <c r="AC205" s="33">
        <f t="shared" si="9"/>
        <v>1048540</v>
      </c>
      <c r="AD205" s="33" t="str">
        <f t="shared" si="11"/>
        <v/>
      </c>
      <c r="AE205" s="33" t="str" cm="1">
        <f t="array" ref="AE205">LOOKUP(2,1/($AB$2:$AB$1000=AB205),$AD$2:$AD$1000)</f>
        <v/>
      </c>
      <c r="AL205" s="39" t="str">
        <f>IF(AK205="","",
   IF(
      COUNTIF('Paste Here'!$AA$2:$AA$1000,AK205)=0,
      "",
      ROUNDDOWN(COUNTIF('Paste Here'!$AA$2:$AA$1000,AK205)/2,0)
   )
)</f>
        <v/>
      </c>
      <c r="AM205" s="39" t="str" cm="1">
        <f t="array" ref="AM205">IFERROR(IF(LOOKUP(2,1/($AA$2:$AA$1000=AK205),$AD$2:$AD$1000)=0,"",
LOOKUP(2,1/($AA$2:$AA$1000=AK205),$AD$2:$AD$1000)),"")</f>
        <v/>
      </c>
      <c r="AO205" s="33" t="str" cm="1">
        <f t="array" ref="AO205">IFERROR(INDEX($AA$2:$AA$282,MATCH(0,COUNTIF('Paste Here'!$AK$1:AK204,$AA$2:$AA$282),0)),"")</f>
        <v/>
      </c>
      <c r="AP205" s="33" t="str">
        <f>IF(COUNTIF('Paste Here'!$AK$2:AK205,'Paste Here'!AK205)=1,VALUE('Paste Here'!AK205),"")</f>
        <v/>
      </c>
    </row>
    <row r="206" spans="1:42" x14ac:dyDescent="0.3">
      <c r="A206" s="2"/>
      <c r="B206" s="2"/>
      <c r="C206" s="2"/>
      <c r="D206" s="3"/>
      <c r="E206" s="2"/>
      <c r="F206" s="2"/>
      <c r="G206" s="2"/>
      <c r="H206" s="2"/>
      <c r="AA206" s="33" t="str">
        <f t="shared" si="10"/>
        <v/>
      </c>
      <c r="AC206" s="33">
        <f t="shared" si="9"/>
        <v>1048540</v>
      </c>
      <c r="AD206" s="33" t="str">
        <f t="shared" si="11"/>
        <v/>
      </c>
      <c r="AE206" s="33" t="str" cm="1">
        <f t="array" ref="AE206">LOOKUP(2,1/($AB$2:$AB$1000=AB206),$AD$2:$AD$1000)</f>
        <v/>
      </c>
      <c r="AL206" s="39" t="str">
        <f>IF(AK206="","",
   IF(
      COUNTIF('Paste Here'!$AA$2:$AA$1000,AK206)=0,
      "",
      ROUNDDOWN(COUNTIF('Paste Here'!$AA$2:$AA$1000,AK206)/2,0)
   )
)</f>
        <v/>
      </c>
      <c r="AM206" s="39" t="str" cm="1">
        <f t="array" ref="AM206">IFERROR(IF(LOOKUP(2,1/($AA$2:$AA$1000=AK206),$AD$2:$AD$1000)=0,"",
LOOKUP(2,1/($AA$2:$AA$1000=AK206),$AD$2:$AD$1000)),"")</f>
        <v/>
      </c>
      <c r="AO206" s="33" t="str" cm="1">
        <f t="array" ref="AO206">IFERROR(INDEX($AA$2:$AA$282,MATCH(0,COUNTIF('Paste Here'!$AK$1:AK205,$AA$2:$AA$282),0)),"")</f>
        <v/>
      </c>
      <c r="AP206" s="33" t="str">
        <f>IF(COUNTIF('Paste Here'!$AK$2:AK206,'Paste Here'!AK206)=1,VALUE('Paste Here'!AK206),"")</f>
        <v/>
      </c>
    </row>
    <row r="207" spans="1:42" x14ac:dyDescent="0.3">
      <c r="A207" s="2"/>
      <c r="B207" s="2"/>
      <c r="C207" s="2"/>
      <c r="D207" s="3"/>
      <c r="E207" s="2"/>
      <c r="F207" s="2"/>
      <c r="G207" s="2"/>
      <c r="H207" s="2"/>
      <c r="AA207" s="33" t="str">
        <f t="shared" si="10"/>
        <v/>
      </c>
      <c r="AC207" s="33">
        <f t="shared" si="9"/>
        <v>1048540</v>
      </c>
      <c r="AD207" s="33" t="str">
        <f t="shared" si="11"/>
        <v/>
      </c>
      <c r="AE207" s="33" t="str" cm="1">
        <f t="array" ref="AE207">LOOKUP(2,1/($AB$2:$AB$1000=AB207),$AD$2:$AD$1000)</f>
        <v/>
      </c>
      <c r="AL207" s="39" t="str">
        <f>IF(AK207="","",
   IF(
      COUNTIF('Paste Here'!$AA$2:$AA$1000,AK207)=0,
      "",
      ROUNDDOWN(COUNTIF('Paste Here'!$AA$2:$AA$1000,AK207)/2,0)
   )
)</f>
        <v/>
      </c>
      <c r="AM207" s="39" t="str" cm="1">
        <f t="array" ref="AM207">IFERROR(IF(LOOKUP(2,1/($AA$2:$AA$1000=AK207),$AD$2:$AD$1000)=0,"",
LOOKUP(2,1/($AA$2:$AA$1000=AK207),$AD$2:$AD$1000)),"")</f>
        <v/>
      </c>
      <c r="AO207" s="33" t="str" cm="1">
        <f t="array" ref="AO207">IFERROR(INDEX($AA$2:$AA$282,MATCH(0,COUNTIF('Paste Here'!$AK$1:AK206,$AA$2:$AA$282),0)),"")</f>
        <v/>
      </c>
      <c r="AP207" s="33" t="str">
        <f>IF(COUNTIF('Paste Here'!$AK$2:AK207,'Paste Here'!AK207)=1,VALUE('Paste Here'!AK207),"")</f>
        <v/>
      </c>
    </row>
    <row r="208" spans="1:42" x14ac:dyDescent="0.3">
      <c r="A208" s="2"/>
      <c r="B208" s="2"/>
      <c r="C208" s="2"/>
      <c r="D208" s="3"/>
      <c r="E208" s="2"/>
      <c r="F208" s="2"/>
      <c r="G208" s="2"/>
      <c r="H208" s="2"/>
      <c r="AA208" s="33" t="str">
        <f t="shared" si="10"/>
        <v/>
      </c>
      <c r="AC208" s="33">
        <f t="shared" si="9"/>
        <v>1048540</v>
      </c>
      <c r="AD208" s="33" t="str">
        <f t="shared" si="11"/>
        <v/>
      </c>
      <c r="AE208" s="33" t="str" cm="1">
        <f t="array" ref="AE208">LOOKUP(2,1/($AB$2:$AB$1000=AB208),$AD$2:$AD$1000)</f>
        <v/>
      </c>
      <c r="AL208" s="39" t="str">
        <f>IF(AK208="","",
   IF(
      COUNTIF('Paste Here'!$AA$2:$AA$1000,AK208)=0,
      "",
      ROUNDDOWN(COUNTIF('Paste Here'!$AA$2:$AA$1000,AK208)/2,0)
   )
)</f>
        <v/>
      </c>
      <c r="AM208" s="39" t="str" cm="1">
        <f t="array" ref="AM208">IFERROR(IF(LOOKUP(2,1/($AA$2:$AA$1000=AK208),$AD$2:$AD$1000)=0,"",
LOOKUP(2,1/($AA$2:$AA$1000=AK208),$AD$2:$AD$1000)),"")</f>
        <v/>
      </c>
      <c r="AO208" s="33" t="str" cm="1">
        <f t="array" ref="AO208">IFERROR(INDEX($AA$2:$AA$282,MATCH(0,COUNTIF('Paste Here'!$AK$1:AK207,$AA$2:$AA$282),0)),"")</f>
        <v/>
      </c>
      <c r="AP208" s="33" t="str">
        <f>IF(COUNTIF('Paste Here'!$AK$2:AK208,'Paste Here'!AK208)=1,VALUE('Paste Here'!AK208),"")</f>
        <v/>
      </c>
    </row>
    <row r="209" spans="1:42" x14ac:dyDescent="0.3">
      <c r="A209" s="2"/>
      <c r="B209" s="2"/>
      <c r="C209" s="2"/>
      <c r="D209" s="3"/>
      <c r="E209" s="2"/>
      <c r="F209" s="2"/>
      <c r="G209" s="2"/>
      <c r="H209" s="2"/>
      <c r="AA209" s="33" t="str">
        <f t="shared" si="10"/>
        <v/>
      </c>
      <c r="AC209" s="33">
        <f t="shared" si="9"/>
        <v>1048540</v>
      </c>
      <c r="AD209" s="33" t="str">
        <f t="shared" si="11"/>
        <v/>
      </c>
      <c r="AE209" s="33" t="str" cm="1">
        <f t="array" ref="AE209">LOOKUP(2,1/($AB$2:$AB$1000=AB209),$AD$2:$AD$1000)</f>
        <v/>
      </c>
      <c r="AL209" s="39" t="str">
        <f>IF(AK209="","",
   IF(
      COUNTIF('Paste Here'!$AA$2:$AA$1000,AK209)=0,
      "",
      ROUNDDOWN(COUNTIF('Paste Here'!$AA$2:$AA$1000,AK209)/2,0)
   )
)</f>
        <v/>
      </c>
      <c r="AM209" s="39" t="str" cm="1">
        <f t="array" ref="AM209">IFERROR(IF(LOOKUP(2,1/($AA$2:$AA$1000=AK209),$AD$2:$AD$1000)=0,"",
LOOKUP(2,1/($AA$2:$AA$1000=AK209),$AD$2:$AD$1000)),"")</f>
        <v/>
      </c>
      <c r="AO209" s="33" t="str" cm="1">
        <f t="array" ref="AO209">IFERROR(INDEX($AA$2:$AA$282,MATCH(0,COUNTIF('Paste Here'!$AK$1:AK208,$AA$2:$AA$282),0)),"")</f>
        <v/>
      </c>
      <c r="AP209" s="33" t="str">
        <f>IF(COUNTIF('Paste Here'!$AK$2:AK209,'Paste Here'!AK209)=1,VALUE('Paste Here'!AK209),"")</f>
        <v/>
      </c>
    </row>
    <row r="210" spans="1:42" x14ac:dyDescent="0.3">
      <c r="A210" s="2"/>
      <c r="B210" s="2"/>
      <c r="C210" s="2"/>
      <c r="D210" s="3"/>
      <c r="E210" s="2"/>
      <c r="F210" s="2"/>
      <c r="G210" s="2"/>
      <c r="H210" s="2"/>
      <c r="AA210" s="33" t="str">
        <f t="shared" si="10"/>
        <v/>
      </c>
      <c r="AC210" s="33">
        <f t="shared" si="9"/>
        <v>1048540</v>
      </c>
      <c r="AD210" s="33" t="str">
        <f t="shared" si="11"/>
        <v/>
      </c>
      <c r="AE210" s="33" t="str" cm="1">
        <f t="array" ref="AE210">LOOKUP(2,1/($AB$2:$AB$1000=AB210),$AD$2:$AD$1000)</f>
        <v/>
      </c>
      <c r="AL210" s="39" t="str">
        <f>IF(AK210="","",
   IF(
      COUNTIF('Paste Here'!$AA$2:$AA$1000,AK210)=0,
      "",
      ROUNDDOWN(COUNTIF('Paste Here'!$AA$2:$AA$1000,AK210)/2,0)
   )
)</f>
        <v/>
      </c>
      <c r="AM210" s="39" t="str" cm="1">
        <f t="array" ref="AM210">IFERROR(IF(LOOKUP(2,1/($AA$2:$AA$1000=AK210),$AD$2:$AD$1000)=0,"",
LOOKUP(2,1/($AA$2:$AA$1000=AK210),$AD$2:$AD$1000)),"")</f>
        <v/>
      </c>
      <c r="AO210" s="33" t="str" cm="1">
        <f t="array" ref="AO210">IFERROR(INDEX($AA$2:$AA$282,MATCH(0,COUNTIF('Paste Here'!$AK$1:AK209,$AA$2:$AA$282),0)),"")</f>
        <v/>
      </c>
      <c r="AP210" s="33" t="str">
        <f>IF(COUNTIF('Paste Here'!$AK$2:AK210,'Paste Here'!AK210)=1,VALUE('Paste Here'!AK210),"")</f>
        <v/>
      </c>
    </row>
    <row r="211" spans="1:42" x14ac:dyDescent="0.3">
      <c r="A211" s="2"/>
      <c r="B211" s="2"/>
      <c r="C211" s="2"/>
      <c r="D211" s="3"/>
      <c r="E211" s="2"/>
      <c r="F211" s="2"/>
      <c r="G211" s="2"/>
      <c r="H211" s="2"/>
      <c r="AA211" s="33" t="str">
        <f t="shared" si="10"/>
        <v/>
      </c>
      <c r="AC211" s="33">
        <f t="shared" si="9"/>
        <v>1048540</v>
      </c>
      <c r="AD211" s="33" t="str">
        <f t="shared" si="11"/>
        <v/>
      </c>
      <c r="AE211" s="33" t="str" cm="1">
        <f t="array" ref="AE211">LOOKUP(2,1/($AB$2:$AB$1000=AB211),$AD$2:$AD$1000)</f>
        <v/>
      </c>
      <c r="AL211" s="39" t="str">
        <f>IF(AK211="","",
   IF(
      COUNTIF('Paste Here'!$AA$2:$AA$1000,AK211)=0,
      "",
      ROUNDDOWN(COUNTIF('Paste Here'!$AA$2:$AA$1000,AK211)/2,0)
   )
)</f>
        <v/>
      </c>
      <c r="AM211" s="39" t="str" cm="1">
        <f t="array" ref="AM211">IFERROR(IF(LOOKUP(2,1/($AA$2:$AA$1000=AK211),$AD$2:$AD$1000)=0,"",
LOOKUP(2,1/($AA$2:$AA$1000=AK211),$AD$2:$AD$1000)),"")</f>
        <v/>
      </c>
      <c r="AO211" s="33" t="str" cm="1">
        <f t="array" ref="AO211">IFERROR(INDEX($AA$2:$AA$282,MATCH(0,COUNTIF('Paste Here'!$AK$1:AK210,$AA$2:$AA$282),0)),"")</f>
        <v/>
      </c>
      <c r="AP211" s="33" t="str">
        <f>IF(COUNTIF('Paste Here'!$AK$2:AK211,'Paste Here'!AK211)=1,VALUE('Paste Here'!AK211),"")</f>
        <v/>
      </c>
    </row>
    <row r="212" spans="1:42" x14ac:dyDescent="0.3">
      <c r="A212" s="2"/>
      <c r="B212" s="2"/>
      <c r="C212" s="2"/>
      <c r="D212" s="3"/>
      <c r="E212" s="2"/>
      <c r="F212" s="2"/>
      <c r="G212" s="2"/>
      <c r="H212" s="2"/>
      <c r="AA212" s="33" t="str">
        <f t="shared" si="10"/>
        <v/>
      </c>
      <c r="AC212" s="33">
        <f t="shared" si="9"/>
        <v>1048540</v>
      </c>
      <c r="AD212" s="33" t="str">
        <f t="shared" si="11"/>
        <v/>
      </c>
      <c r="AE212" s="33" t="str" cm="1">
        <f t="array" ref="AE212">LOOKUP(2,1/($AB$2:$AB$1000=AB212),$AD$2:$AD$1000)</f>
        <v/>
      </c>
      <c r="AL212" s="39" t="str">
        <f>IF(AK212="","",
   IF(
      COUNTIF('Paste Here'!$AA$2:$AA$1000,AK212)=0,
      "",
      ROUNDDOWN(COUNTIF('Paste Here'!$AA$2:$AA$1000,AK212)/2,0)
   )
)</f>
        <v/>
      </c>
      <c r="AM212" s="39" t="str" cm="1">
        <f t="array" ref="AM212">IFERROR(IF(LOOKUP(2,1/($AA$2:$AA$1000=AK212),$AD$2:$AD$1000)=0,"",
LOOKUP(2,1/($AA$2:$AA$1000=AK212),$AD$2:$AD$1000)),"")</f>
        <v/>
      </c>
      <c r="AO212" s="33" t="str" cm="1">
        <f t="array" ref="AO212">IFERROR(INDEX($AA$2:$AA$282,MATCH(0,COUNTIF('Paste Here'!$AK$1:AK211,$AA$2:$AA$282),0)),"")</f>
        <v/>
      </c>
      <c r="AP212" s="33" t="str">
        <f>IF(COUNTIF('Paste Here'!$AK$2:AK212,'Paste Here'!AK212)=1,VALUE('Paste Here'!AK212),"")</f>
        <v/>
      </c>
    </row>
    <row r="213" spans="1:42" x14ac:dyDescent="0.3">
      <c r="A213" s="2"/>
      <c r="B213" s="2"/>
      <c r="C213" s="2"/>
      <c r="D213" s="3"/>
      <c r="E213" s="2"/>
      <c r="F213" s="2"/>
      <c r="G213" s="2"/>
      <c r="H213" s="2"/>
      <c r="AA213" s="33" t="str">
        <f t="shared" si="10"/>
        <v/>
      </c>
      <c r="AC213" s="33">
        <f t="shared" si="9"/>
        <v>1048540</v>
      </c>
      <c r="AD213" s="33" t="str">
        <f t="shared" si="11"/>
        <v/>
      </c>
      <c r="AE213" s="33" t="str" cm="1">
        <f t="array" ref="AE213">LOOKUP(2,1/($AB$2:$AB$1000=AB213),$AD$2:$AD$1000)</f>
        <v/>
      </c>
      <c r="AL213" s="39" t="str">
        <f>IF(AK213="","",
   IF(
      COUNTIF('Paste Here'!$AA$2:$AA$1000,AK213)=0,
      "",
      ROUNDDOWN(COUNTIF('Paste Here'!$AA$2:$AA$1000,AK213)/2,0)
   )
)</f>
        <v/>
      </c>
      <c r="AM213" s="39" t="str" cm="1">
        <f t="array" ref="AM213">IFERROR(IF(LOOKUP(2,1/($AA$2:$AA$1000=AK213),$AD$2:$AD$1000)=0,"",
LOOKUP(2,1/($AA$2:$AA$1000=AK213),$AD$2:$AD$1000)),"")</f>
        <v/>
      </c>
      <c r="AO213" s="33" t="str" cm="1">
        <f t="array" ref="AO213">IFERROR(INDEX($AA$2:$AA$282,MATCH(0,COUNTIF('Paste Here'!$AK$1:AK212,$AA$2:$AA$282),0)),"")</f>
        <v/>
      </c>
      <c r="AP213" s="33" t="str">
        <f>IF(COUNTIF('Paste Here'!$AK$2:AK213,'Paste Here'!AK213)=1,VALUE('Paste Here'!AK213),"")</f>
        <v/>
      </c>
    </row>
    <row r="214" spans="1:42" x14ac:dyDescent="0.3">
      <c r="A214" s="2"/>
      <c r="B214" s="2"/>
      <c r="C214" s="2"/>
      <c r="D214" s="3"/>
      <c r="E214" s="2"/>
      <c r="F214" s="2"/>
      <c r="G214" s="2"/>
      <c r="H214" s="2"/>
      <c r="AA214" s="33" t="str">
        <f t="shared" si="10"/>
        <v/>
      </c>
      <c r="AC214" s="33">
        <f t="shared" si="9"/>
        <v>1048540</v>
      </c>
      <c r="AD214" s="33" t="str">
        <f t="shared" si="11"/>
        <v/>
      </c>
      <c r="AE214" s="33" t="str" cm="1">
        <f t="array" ref="AE214">LOOKUP(2,1/($AB$2:$AB$1000=AB214),$AD$2:$AD$1000)</f>
        <v/>
      </c>
      <c r="AL214" s="39" t="str">
        <f>IF(AK214="","",
   IF(
      COUNTIF('Paste Here'!$AA$2:$AA$1000,AK214)=0,
      "",
      ROUNDDOWN(COUNTIF('Paste Here'!$AA$2:$AA$1000,AK214)/2,0)
   )
)</f>
        <v/>
      </c>
      <c r="AM214" s="39" t="str" cm="1">
        <f t="array" ref="AM214">IFERROR(IF(LOOKUP(2,1/($AA$2:$AA$1000=AK214),$AD$2:$AD$1000)=0,"",
LOOKUP(2,1/($AA$2:$AA$1000=AK214),$AD$2:$AD$1000)),"")</f>
        <v/>
      </c>
      <c r="AO214" s="33" t="str" cm="1">
        <f t="array" ref="AO214">IFERROR(INDEX($AA$2:$AA$282,MATCH(0,COUNTIF('Paste Here'!$AK$1:AK213,$AA$2:$AA$282),0)),"")</f>
        <v/>
      </c>
      <c r="AP214" s="33" t="str">
        <f>IF(COUNTIF('Paste Here'!$AK$2:AK214,'Paste Here'!AK214)=1,VALUE('Paste Here'!AK214),"")</f>
        <v/>
      </c>
    </row>
    <row r="215" spans="1:42" x14ac:dyDescent="0.3">
      <c r="A215" s="2"/>
      <c r="B215" s="2"/>
      <c r="C215" s="2"/>
      <c r="D215" s="3"/>
      <c r="E215" s="2"/>
      <c r="F215" s="2"/>
      <c r="G215" s="2"/>
      <c r="H215" s="2"/>
      <c r="AA215" s="33" t="str">
        <f t="shared" si="10"/>
        <v/>
      </c>
      <c r="AC215" s="33">
        <f t="shared" si="9"/>
        <v>1048540</v>
      </c>
      <c r="AD215" s="33" t="str">
        <f t="shared" si="11"/>
        <v/>
      </c>
      <c r="AE215" s="33" t="str" cm="1">
        <f t="array" ref="AE215">LOOKUP(2,1/($AB$2:$AB$1000=AB215),$AD$2:$AD$1000)</f>
        <v/>
      </c>
      <c r="AL215" s="39" t="str">
        <f>IF(AK215="","",
   IF(
      COUNTIF('Paste Here'!$AA$2:$AA$1000,AK215)=0,
      "",
      ROUNDDOWN(COUNTIF('Paste Here'!$AA$2:$AA$1000,AK215)/2,0)
   )
)</f>
        <v/>
      </c>
      <c r="AM215" s="39" t="str" cm="1">
        <f t="array" ref="AM215">IFERROR(IF(LOOKUP(2,1/($AA$2:$AA$1000=AK215),$AD$2:$AD$1000)=0,"",
LOOKUP(2,1/($AA$2:$AA$1000=AK215),$AD$2:$AD$1000)),"")</f>
        <v/>
      </c>
      <c r="AO215" s="33" t="str" cm="1">
        <f t="array" ref="AO215">IFERROR(INDEX($AA$2:$AA$282,MATCH(0,COUNTIF('Paste Here'!$AK$1:AK214,$AA$2:$AA$282),0)),"")</f>
        <v/>
      </c>
      <c r="AP215" s="33" t="str">
        <f>IF(COUNTIF('Paste Here'!$AK$2:AK215,'Paste Here'!AK215)=1,VALUE('Paste Here'!AK215),"")</f>
        <v/>
      </c>
    </row>
    <row r="216" spans="1:42" x14ac:dyDescent="0.3">
      <c r="A216" s="2"/>
      <c r="B216" s="2"/>
      <c r="C216" s="2"/>
      <c r="D216" s="3"/>
      <c r="E216" s="2"/>
      <c r="F216" s="2"/>
      <c r="G216" s="2"/>
      <c r="H216" s="2"/>
      <c r="AA216" s="33" t="str">
        <f t="shared" si="10"/>
        <v/>
      </c>
      <c r="AC216" s="33">
        <f t="shared" si="9"/>
        <v>1048540</v>
      </c>
      <c r="AD216" s="33" t="str">
        <f t="shared" si="11"/>
        <v/>
      </c>
      <c r="AE216" s="33" t="str" cm="1">
        <f t="array" ref="AE216">LOOKUP(2,1/($AB$2:$AB$1000=AB216),$AD$2:$AD$1000)</f>
        <v/>
      </c>
      <c r="AL216" s="39" t="str">
        <f>IF(AK216="","",
   IF(
      COUNTIF('Paste Here'!$AA$2:$AA$1000,AK216)=0,
      "",
      ROUNDDOWN(COUNTIF('Paste Here'!$AA$2:$AA$1000,AK216)/2,0)
   )
)</f>
        <v/>
      </c>
      <c r="AM216" s="39" t="str" cm="1">
        <f t="array" ref="AM216">IFERROR(IF(LOOKUP(2,1/($AA$2:$AA$1000=AK216),$AD$2:$AD$1000)=0,"",
LOOKUP(2,1/($AA$2:$AA$1000=AK216),$AD$2:$AD$1000)),"")</f>
        <v/>
      </c>
      <c r="AO216" s="33" t="str" cm="1">
        <f t="array" ref="AO216">IFERROR(INDEX($AA$2:$AA$282,MATCH(0,COUNTIF('Paste Here'!$AK$1:AK215,$AA$2:$AA$282),0)),"")</f>
        <v/>
      </c>
      <c r="AP216" s="33" t="str">
        <f>IF(COUNTIF('Paste Here'!$AK$2:AK216,'Paste Here'!AK216)=1,VALUE('Paste Here'!AK216),"")</f>
        <v/>
      </c>
    </row>
    <row r="217" spans="1:42" x14ac:dyDescent="0.3">
      <c r="A217"/>
      <c r="B217"/>
      <c r="C217"/>
      <c r="D217" s="4"/>
      <c r="E217"/>
      <c r="F217"/>
      <c r="G217"/>
      <c r="H217"/>
      <c r="AA217" s="33" t="str">
        <f t="shared" si="10"/>
        <v/>
      </c>
      <c r="AC217" s="33">
        <f t="shared" si="9"/>
        <v>1048540</v>
      </c>
      <c r="AD217" s="33" t="str">
        <f t="shared" si="11"/>
        <v/>
      </c>
      <c r="AE217" s="33" t="str" cm="1">
        <f t="array" ref="AE217">LOOKUP(2,1/($AB$2:$AB$1000=AB217),$AD$2:$AD$1000)</f>
        <v/>
      </c>
      <c r="AL217" s="39" t="str">
        <f>IF(AK217="","",
   IF(
      COUNTIF('Paste Here'!$AA$2:$AA$1000,AK217)=0,
      "",
      ROUNDDOWN(COUNTIF('Paste Here'!$AA$2:$AA$1000,AK217)/2,0)
   )
)</f>
        <v/>
      </c>
      <c r="AM217" s="39" t="str" cm="1">
        <f t="array" ref="AM217">IFERROR(IF(LOOKUP(2,1/($AA$2:$AA$1000=AK217),$AD$2:$AD$1000)=0,"",
LOOKUP(2,1/($AA$2:$AA$1000=AK217),$AD$2:$AD$1000)),"")</f>
        <v/>
      </c>
      <c r="AO217" s="33" t="str" cm="1">
        <f t="array" ref="AO217">IFERROR(INDEX($AA$2:$AA$282,MATCH(0,COUNTIF('Paste Here'!$AK$1:AK216,$AA$2:$AA$282),0)),"")</f>
        <v/>
      </c>
      <c r="AP217" s="33" t="str">
        <f>IF(COUNTIF('Paste Here'!$AK$2:AK217,'Paste Here'!AK217)=1,VALUE('Paste Here'!AK217),"")</f>
        <v/>
      </c>
    </row>
    <row r="218" spans="1:42" x14ac:dyDescent="0.3">
      <c r="A218"/>
      <c r="B218"/>
      <c r="C218"/>
      <c r="D218" s="4"/>
      <c r="E218"/>
      <c r="F218"/>
      <c r="G218"/>
      <c r="H218"/>
      <c r="AA218" s="33" t="str">
        <f t="shared" si="10"/>
        <v/>
      </c>
      <c r="AC218" s="33">
        <f t="shared" si="9"/>
        <v>1048540</v>
      </c>
      <c r="AD218" s="33" t="str">
        <f t="shared" si="11"/>
        <v/>
      </c>
      <c r="AE218" s="33" t="str" cm="1">
        <f t="array" ref="AE218">LOOKUP(2,1/($AB$2:$AB$1000=AB218),$AD$2:$AD$1000)</f>
        <v/>
      </c>
      <c r="AL218" s="39" t="str">
        <f>IF(AK218="","",
   IF(
      COUNTIF('Paste Here'!$AA$2:$AA$1000,AK218)=0,
      "",
      ROUNDDOWN(COUNTIF('Paste Here'!$AA$2:$AA$1000,AK218)/2,0)
   )
)</f>
        <v/>
      </c>
      <c r="AM218" s="39" t="str" cm="1">
        <f t="array" ref="AM218">IFERROR(IF(LOOKUP(2,1/($AA$2:$AA$1000=AK218),$AD$2:$AD$1000)=0,"",
LOOKUP(2,1/($AA$2:$AA$1000=AK218),$AD$2:$AD$1000)),"")</f>
        <v/>
      </c>
      <c r="AO218" s="33" t="str" cm="1">
        <f t="array" ref="AO218">IFERROR(INDEX($AA$2:$AA$282,MATCH(0,COUNTIF('Paste Here'!$AK$1:AK217,$AA$2:$AA$282),0)),"")</f>
        <v/>
      </c>
      <c r="AP218" s="33" t="str">
        <f>IF(COUNTIF('Paste Here'!$AK$2:AK218,'Paste Here'!AK218)=1,VALUE('Paste Here'!AK218),"")</f>
        <v/>
      </c>
    </row>
    <row r="219" spans="1:42" x14ac:dyDescent="0.3">
      <c r="A219"/>
      <c r="B219"/>
      <c r="C219"/>
      <c r="D219" s="4"/>
      <c r="E219"/>
      <c r="F219"/>
      <c r="G219"/>
      <c r="H219"/>
      <c r="AA219" s="33" t="str">
        <f t="shared" si="10"/>
        <v/>
      </c>
      <c r="AC219" s="33">
        <f t="shared" si="9"/>
        <v>1048540</v>
      </c>
      <c r="AD219" s="33" t="str">
        <f t="shared" si="11"/>
        <v/>
      </c>
      <c r="AE219" s="33" t="str" cm="1">
        <f t="array" ref="AE219">LOOKUP(2,1/($AB$2:$AB$1000=AB219),$AD$2:$AD$1000)</f>
        <v/>
      </c>
      <c r="AL219" s="39" t="str">
        <f>IF(AK219="","",
   IF(
      COUNTIF('Paste Here'!$AA$2:$AA$1000,AK219)=0,
      "",
      ROUNDDOWN(COUNTIF('Paste Here'!$AA$2:$AA$1000,AK219)/2,0)
   )
)</f>
        <v/>
      </c>
      <c r="AM219" s="39" t="str" cm="1">
        <f t="array" ref="AM219">IFERROR(IF(LOOKUP(2,1/($AA$2:$AA$1000=AK219),$AD$2:$AD$1000)=0,"",
LOOKUP(2,1/($AA$2:$AA$1000=AK219),$AD$2:$AD$1000)),"")</f>
        <v/>
      </c>
      <c r="AO219" s="33" t="str" cm="1">
        <f t="array" ref="AO219">IFERROR(INDEX($AA$2:$AA$282,MATCH(0,COUNTIF('Paste Here'!$AK$1:AK218,$AA$2:$AA$282),0)),"")</f>
        <v/>
      </c>
      <c r="AP219" s="33" t="str">
        <f>IF(COUNTIF('Paste Here'!$AK$2:AK219,'Paste Here'!AK219)=1,VALUE('Paste Here'!AK219),"")</f>
        <v/>
      </c>
    </row>
    <row r="220" spans="1:42" x14ac:dyDescent="0.3">
      <c r="A220" s="2"/>
      <c r="B220" s="2"/>
      <c r="C220" s="2"/>
      <c r="D220" s="3"/>
      <c r="E220" s="2"/>
      <c r="F220" s="2"/>
      <c r="G220" s="2"/>
      <c r="H220" s="2"/>
      <c r="AA220" s="33" t="str">
        <f t="shared" si="10"/>
        <v/>
      </c>
      <c r="AC220" s="33">
        <f t="shared" si="9"/>
        <v>1048540</v>
      </c>
      <c r="AD220" s="33" t="str">
        <f t="shared" si="11"/>
        <v/>
      </c>
      <c r="AE220" s="33" t="str" cm="1">
        <f t="array" ref="AE220">LOOKUP(2,1/($AB$2:$AB$1000=AB220),$AD$2:$AD$1000)</f>
        <v/>
      </c>
      <c r="AL220" s="39" t="str">
        <f>IF(AK220="","",
   IF(
      COUNTIF('Paste Here'!$AA$2:$AA$1000,AK220)=0,
      "",
      ROUNDDOWN(COUNTIF('Paste Here'!$AA$2:$AA$1000,AK220)/2,0)
   )
)</f>
        <v/>
      </c>
      <c r="AM220" s="39" t="str" cm="1">
        <f t="array" ref="AM220">IFERROR(IF(LOOKUP(2,1/($AA$2:$AA$1000=AK220),$AD$2:$AD$1000)=0,"",
LOOKUP(2,1/($AA$2:$AA$1000=AK220),$AD$2:$AD$1000)),"")</f>
        <v/>
      </c>
      <c r="AO220" s="33" t="str" cm="1">
        <f t="array" ref="AO220">IFERROR(INDEX($AA$2:$AA$282,MATCH(0,COUNTIF('Paste Here'!$AK$1:AK219,$AA$2:$AA$282),0)),"")</f>
        <v/>
      </c>
      <c r="AP220" s="33" t="str">
        <f>IF(COUNTIF('Paste Here'!$AK$2:AK220,'Paste Here'!AK220)=1,VALUE('Paste Here'!AK220),"")</f>
        <v/>
      </c>
    </row>
    <row r="221" spans="1:42" x14ac:dyDescent="0.3">
      <c r="A221" s="2"/>
      <c r="B221" s="2"/>
      <c r="C221" s="2"/>
      <c r="D221" s="3"/>
      <c r="E221" s="2"/>
      <c r="F221" s="2"/>
      <c r="G221" s="2"/>
      <c r="H221" s="2"/>
      <c r="AA221" s="33" t="str">
        <f t="shared" si="10"/>
        <v/>
      </c>
      <c r="AC221" s="33">
        <f t="shared" si="9"/>
        <v>1048540</v>
      </c>
      <c r="AD221" s="33" t="str">
        <f t="shared" si="11"/>
        <v/>
      </c>
      <c r="AE221" s="33" t="str" cm="1">
        <f t="array" ref="AE221">LOOKUP(2,1/($AB$2:$AB$1000=AB221),$AD$2:$AD$1000)</f>
        <v/>
      </c>
      <c r="AL221" s="39" t="str">
        <f>IF(AK221="","",
   IF(
      COUNTIF('Paste Here'!$AA$2:$AA$1000,AK221)=0,
      "",
      ROUNDDOWN(COUNTIF('Paste Here'!$AA$2:$AA$1000,AK221)/2,0)
   )
)</f>
        <v/>
      </c>
      <c r="AM221" s="39" t="str" cm="1">
        <f t="array" ref="AM221">IFERROR(IF(LOOKUP(2,1/($AA$2:$AA$1000=AK221),$AD$2:$AD$1000)=0,"",
LOOKUP(2,1/($AA$2:$AA$1000=AK221),$AD$2:$AD$1000)),"")</f>
        <v/>
      </c>
      <c r="AO221" s="33" t="str" cm="1">
        <f t="array" ref="AO221">IFERROR(INDEX($AA$2:$AA$282,MATCH(0,COUNTIF('Paste Here'!$AK$1:AK220,$AA$2:$AA$282),0)),"")</f>
        <v/>
      </c>
      <c r="AP221" s="33" t="str">
        <f>IF(COUNTIF('Paste Here'!$AK$2:AK221,'Paste Here'!AK221)=1,VALUE('Paste Here'!AK221),"")</f>
        <v/>
      </c>
    </row>
    <row r="222" spans="1:42" x14ac:dyDescent="0.3">
      <c r="A222" s="2"/>
      <c r="B222" s="2"/>
      <c r="C222" s="2"/>
      <c r="D222" s="3"/>
      <c r="E222" s="2"/>
      <c r="F222" s="2"/>
      <c r="G222" s="2"/>
      <c r="H222" s="2"/>
      <c r="AA222" s="33" t="str">
        <f t="shared" si="10"/>
        <v/>
      </c>
      <c r="AC222" s="33">
        <f t="shared" si="9"/>
        <v>1048540</v>
      </c>
      <c r="AD222" s="33" t="str">
        <f t="shared" si="11"/>
        <v/>
      </c>
      <c r="AE222" s="33" t="str" cm="1">
        <f t="array" ref="AE222">LOOKUP(2,1/($AB$2:$AB$1000=AB222),$AD$2:$AD$1000)</f>
        <v/>
      </c>
      <c r="AL222" s="39" t="str">
        <f>IF(AK222="","",
   IF(
      COUNTIF('Paste Here'!$AA$2:$AA$1000,AK222)=0,
      "",
      ROUNDDOWN(COUNTIF('Paste Here'!$AA$2:$AA$1000,AK222)/2,0)
   )
)</f>
        <v/>
      </c>
      <c r="AM222" s="39" t="str" cm="1">
        <f t="array" ref="AM222">IFERROR(IF(LOOKUP(2,1/($AA$2:$AA$1000=AK222),$AD$2:$AD$1000)=0,"",
LOOKUP(2,1/($AA$2:$AA$1000=AK222),$AD$2:$AD$1000)),"")</f>
        <v/>
      </c>
      <c r="AO222" s="33" t="str" cm="1">
        <f t="array" ref="AO222">IFERROR(INDEX($AA$2:$AA$282,MATCH(0,COUNTIF('Paste Here'!$AK$1:AK221,$AA$2:$AA$282),0)),"")</f>
        <v/>
      </c>
      <c r="AP222" s="33" t="str">
        <f>IF(COUNTIF('Paste Here'!$AK$2:AK222,'Paste Here'!AK222)=1,VALUE('Paste Here'!AK222),"")</f>
        <v/>
      </c>
    </row>
    <row r="223" spans="1:42" x14ac:dyDescent="0.3">
      <c r="A223"/>
      <c r="B223"/>
      <c r="C223"/>
      <c r="D223" s="4"/>
      <c r="E223"/>
      <c r="F223"/>
      <c r="G223"/>
      <c r="H223"/>
      <c r="AA223" s="33" t="str">
        <f t="shared" si="10"/>
        <v/>
      </c>
      <c r="AC223" s="33">
        <f t="shared" si="9"/>
        <v>1048540</v>
      </c>
      <c r="AD223" s="33" t="str">
        <f t="shared" si="11"/>
        <v/>
      </c>
      <c r="AE223" s="33" t="str" cm="1">
        <f t="array" ref="AE223">LOOKUP(2,1/($AB$2:$AB$1000=AB223),$AD$2:$AD$1000)</f>
        <v/>
      </c>
      <c r="AL223" s="39" t="str">
        <f>IF(AK223="","",
   IF(
      COUNTIF('Paste Here'!$AA$2:$AA$1000,AK223)=0,
      "",
      ROUNDDOWN(COUNTIF('Paste Here'!$AA$2:$AA$1000,AK223)/2,0)
   )
)</f>
        <v/>
      </c>
      <c r="AM223" s="39" t="str" cm="1">
        <f t="array" ref="AM223">IFERROR(IF(LOOKUP(2,1/($AA$2:$AA$1000=AK223),$AD$2:$AD$1000)=0,"",
LOOKUP(2,1/($AA$2:$AA$1000=AK223),$AD$2:$AD$1000)),"")</f>
        <v/>
      </c>
      <c r="AO223" s="33" t="str" cm="1">
        <f t="array" ref="AO223">IFERROR(INDEX($AA$2:$AA$282,MATCH(0,COUNTIF('Paste Here'!$AK$1:AK222,$AA$2:$AA$282),0)),"")</f>
        <v/>
      </c>
      <c r="AP223" s="33" t="str">
        <f>IF(COUNTIF('Paste Here'!$AK$2:AK223,'Paste Here'!AK223)=1,VALUE('Paste Here'!AK223),"")</f>
        <v/>
      </c>
    </row>
    <row r="224" spans="1:42" x14ac:dyDescent="0.3">
      <c r="A224"/>
      <c r="B224"/>
      <c r="C224"/>
      <c r="D224" s="4"/>
      <c r="E224"/>
      <c r="F224"/>
      <c r="G224"/>
      <c r="H224"/>
      <c r="AA224" s="33" t="str">
        <f t="shared" si="10"/>
        <v/>
      </c>
      <c r="AC224" s="33">
        <f t="shared" si="9"/>
        <v>1048540</v>
      </c>
      <c r="AD224" s="33" t="str">
        <f t="shared" si="11"/>
        <v/>
      </c>
      <c r="AE224" s="33" t="str" cm="1">
        <f t="array" ref="AE224">LOOKUP(2,1/($AB$2:$AB$1000=AB224),$AD$2:$AD$1000)</f>
        <v/>
      </c>
      <c r="AL224" s="39" t="str">
        <f>IF(AK224="","",
   IF(
      COUNTIF('Paste Here'!$AA$2:$AA$1000,AK224)=0,
      "",
      ROUNDDOWN(COUNTIF('Paste Here'!$AA$2:$AA$1000,AK224)/2,0)
   )
)</f>
        <v/>
      </c>
      <c r="AM224" s="39" t="str" cm="1">
        <f t="array" ref="AM224">IFERROR(IF(LOOKUP(2,1/($AA$2:$AA$1000=AK224),$AD$2:$AD$1000)=0,"",
LOOKUP(2,1/($AA$2:$AA$1000=AK224),$AD$2:$AD$1000)),"")</f>
        <v/>
      </c>
      <c r="AO224" s="33" t="str" cm="1">
        <f t="array" ref="AO224">IFERROR(INDEX($AA$2:$AA$282,MATCH(0,COUNTIF('Paste Here'!$AK$1:AK223,$AA$2:$AA$282),0)),"")</f>
        <v/>
      </c>
      <c r="AP224" s="33" t="str">
        <f>IF(COUNTIF('Paste Here'!$AK$2:AK224,'Paste Here'!AK224)=1,VALUE('Paste Here'!AK224),"")</f>
        <v/>
      </c>
    </row>
    <row r="225" spans="1:42" x14ac:dyDescent="0.3">
      <c r="A225"/>
      <c r="B225"/>
      <c r="C225"/>
      <c r="D225" s="4"/>
      <c r="E225"/>
      <c r="F225"/>
      <c r="G225"/>
      <c r="H225"/>
      <c r="AA225" s="33" t="str">
        <f t="shared" si="10"/>
        <v/>
      </c>
      <c r="AC225" s="33">
        <f t="shared" si="9"/>
        <v>1048540</v>
      </c>
      <c r="AD225" s="33" t="str">
        <f t="shared" si="11"/>
        <v/>
      </c>
      <c r="AE225" s="33" t="str" cm="1">
        <f t="array" ref="AE225">LOOKUP(2,1/($AB$2:$AB$1000=AB225),$AD$2:$AD$1000)</f>
        <v/>
      </c>
      <c r="AL225" s="39" t="str">
        <f>IF(AK225="","",
   IF(
      COUNTIF('Paste Here'!$AA$2:$AA$1000,AK225)=0,
      "",
      ROUNDDOWN(COUNTIF('Paste Here'!$AA$2:$AA$1000,AK225)/2,0)
   )
)</f>
        <v/>
      </c>
      <c r="AM225" s="39" t="str" cm="1">
        <f t="array" ref="AM225">IFERROR(IF(LOOKUP(2,1/($AA$2:$AA$1000=AK225),$AD$2:$AD$1000)=0,"",
LOOKUP(2,1/($AA$2:$AA$1000=AK225),$AD$2:$AD$1000)),"")</f>
        <v/>
      </c>
      <c r="AO225" s="33" t="str" cm="1">
        <f t="array" ref="AO225">IFERROR(INDEX($AA$2:$AA$282,MATCH(0,COUNTIF('Paste Here'!$AK$1:AK224,$AA$2:$AA$282),0)),"")</f>
        <v/>
      </c>
      <c r="AP225" s="33" t="str">
        <f>IF(COUNTIF('Paste Here'!$AK$2:AK225,'Paste Here'!AK225)=1,VALUE('Paste Here'!AK225),"")</f>
        <v/>
      </c>
    </row>
    <row r="226" spans="1:42" x14ac:dyDescent="0.3">
      <c r="A226"/>
      <c r="B226"/>
      <c r="C226"/>
      <c r="D226" s="4"/>
      <c r="E226"/>
      <c r="F226"/>
      <c r="G226"/>
      <c r="H226"/>
      <c r="AA226" s="33" t="str">
        <f t="shared" si="10"/>
        <v/>
      </c>
      <c r="AC226" s="33">
        <f t="shared" si="9"/>
        <v>1048540</v>
      </c>
      <c r="AD226" s="33" t="str">
        <f t="shared" si="11"/>
        <v/>
      </c>
      <c r="AE226" s="33" t="str" cm="1">
        <f t="array" ref="AE226">LOOKUP(2,1/($AB$2:$AB$1000=AB226),$AD$2:$AD$1000)</f>
        <v/>
      </c>
      <c r="AL226" s="39" t="str">
        <f>IF(AK226="","",
   IF(
      COUNTIF('Paste Here'!$AA$2:$AA$1000,AK226)=0,
      "",
      ROUNDDOWN(COUNTIF('Paste Here'!$AA$2:$AA$1000,AK226)/2,0)
   )
)</f>
        <v/>
      </c>
      <c r="AM226" s="39" t="str" cm="1">
        <f t="array" ref="AM226">IFERROR(IF(LOOKUP(2,1/($AA$2:$AA$1000=AK226),$AD$2:$AD$1000)=0,"",
LOOKUP(2,1/($AA$2:$AA$1000=AK226),$AD$2:$AD$1000)),"")</f>
        <v/>
      </c>
      <c r="AO226" s="33" t="str" cm="1">
        <f t="array" ref="AO226">IFERROR(INDEX($AA$2:$AA$282,MATCH(0,COUNTIF('Paste Here'!$AK$1:AK225,$AA$2:$AA$282),0)),"")</f>
        <v/>
      </c>
      <c r="AP226" s="33" t="str">
        <f>IF(COUNTIF('Paste Here'!$AK$2:AK226,'Paste Here'!AK226)=1,VALUE('Paste Here'!AK226),"")</f>
        <v/>
      </c>
    </row>
    <row r="227" spans="1:42" x14ac:dyDescent="0.3">
      <c r="A227"/>
      <c r="B227"/>
      <c r="C227"/>
      <c r="D227" s="4"/>
      <c r="E227"/>
      <c r="F227"/>
      <c r="G227"/>
      <c r="H227"/>
      <c r="AA227" s="33" t="str">
        <f t="shared" si="10"/>
        <v/>
      </c>
      <c r="AC227" s="33">
        <f t="shared" si="9"/>
        <v>1048540</v>
      </c>
      <c r="AD227" s="33" t="str">
        <f t="shared" si="11"/>
        <v/>
      </c>
      <c r="AE227" s="33" t="str" cm="1">
        <f t="array" ref="AE227">LOOKUP(2,1/($AB$2:$AB$1000=AB227),$AD$2:$AD$1000)</f>
        <v/>
      </c>
      <c r="AL227" s="39" t="str">
        <f>IF(AK227="","",
   IF(
      COUNTIF('Paste Here'!$AA$2:$AA$1000,AK227)=0,
      "",
      ROUNDDOWN(COUNTIF('Paste Here'!$AA$2:$AA$1000,AK227)/2,0)
   )
)</f>
        <v/>
      </c>
      <c r="AM227" s="39" t="str" cm="1">
        <f t="array" ref="AM227">IFERROR(IF(LOOKUP(2,1/($AA$2:$AA$1000=AK227),$AD$2:$AD$1000)=0,"",
LOOKUP(2,1/($AA$2:$AA$1000=AK227),$AD$2:$AD$1000)),"")</f>
        <v/>
      </c>
      <c r="AO227" s="33" t="str" cm="1">
        <f t="array" ref="AO227">IFERROR(INDEX($AA$2:$AA$282,MATCH(0,COUNTIF('Paste Here'!$AK$1:AK226,$AA$2:$AA$282),0)),"")</f>
        <v/>
      </c>
      <c r="AP227" s="33" t="str">
        <f>IF(COUNTIF('Paste Here'!$AK$2:AK227,'Paste Here'!AK227)=1,VALUE('Paste Here'!AK227),"")</f>
        <v/>
      </c>
    </row>
    <row r="228" spans="1:42" x14ac:dyDescent="0.3">
      <c r="A228"/>
      <c r="B228"/>
      <c r="C228"/>
      <c r="D228" s="4"/>
      <c r="E228"/>
      <c r="F228"/>
      <c r="G228"/>
      <c r="H228"/>
      <c r="AA228" s="33" t="str">
        <f t="shared" si="10"/>
        <v/>
      </c>
      <c r="AC228" s="33">
        <f t="shared" si="9"/>
        <v>1048540</v>
      </c>
      <c r="AD228" s="33" t="str">
        <f t="shared" si="11"/>
        <v/>
      </c>
      <c r="AE228" s="33" t="str" cm="1">
        <f t="array" ref="AE228">LOOKUP(2,1/($AB$2:$AB$1000=AB228),$AD$2:$AD$1000)</f>
        <v/>
      </c>
      <c r="AL228" s="39" t="str">
        <f>IF(AK228="","",
   IF(
      COUNTIF('Paste Here'!$AA$2:$AA$1000,AK228)=0,
      "",
      ROUNDDOWN(COUNTIF('Paste Here'!$AA$2:$AA$1000,AK228)/2,0)
   )
)</f>
        <v/>
      </c>
      <c r="AM228" s="39" t="str" cm="1">
        <f t="array" ref="AM228">IFERROR(IF(LOOKUP(2,1/($AA$2:$AA$1000=AK228),$AD$2:$AD$1000)=0,"",
LOOKUP(2,1/($AA$2:$AA$1000=AK228),$AD$2:$AD$1000)),"")</f>
        <v/>
      </c>
      <c r="AO228" s="33" t="str" cm="1">
        <f t="array" ref="AO228">IFERROR(INDEX($AA$2:$AA$282,MATCH(0,COUNTIF('Paste Here'!$AK$1:AK227,$AA$2:$AA$282),0)),"")</f>
        <v/>
      </c>
      <c r="AP228" s="33" t="str">
        <f>IF(COUNTIF('Paste Here'!$AK$2:AK228,'Paste Here'!AK228)=1,VALUE('Paste Here'!AK228),"")</f>
        <v/>
      </c>
    </row>
    <row r="229" spans="1:42" x14ac:dyDescent="0.3">
      <c r="A229"/>
      <c r="B229"/>
      <c r="C229"/>
      <c r="D229" s="4"/>
      <c r="E229"/>
      <c r="F229"/>
      <c r="G229"/>
      <c r="H229"/>
      <c r="AA229" s="33" t="str">
        <f t="shared" si="10"/>
        <v/>
      </c>
      <c r="AC229" s="33">
        <f t="shared" si="9"/>
        <v>1048540</v>
      </c>
      <c r="AD229" s="33" t="str">
        <f t="shared" si="11"/>
        <v/>
      </c>
      <c r="AE229" s="33" t="str" cm="1">
        <f t="array" ref="AE229">LOOKUP(2,1/($AB$2:$AB$1000=AB229),$AD$2:$AD$1000)</f>
        <v/>
      </c>
      <c r="AL229" s="39" t="str">
        <f>IF(AK229="","",
   IF(
      COUNTIF('Paste Here'!$AA$2:$AA$1000,AK229)=0,
      "",
      ROUNDDOWN(COUNTIF('Paste Here'!$AA$2:$AA$1000,AK229)/2,0)
   )
)</f>
        <v/>
      </c>
      <c r="AM229" s="39" t="str" cm="1">
        <f t="array" ref="AM229">IFERROR(IF(LOOKUP(2,1/($AA$2:$AA$1000=AK229),$AD$2:$AD$1000)=0,"",
LOOKUP(2,1/($AA$2:$AA$1000=AK229),$AD$2:$AD$1000)),"")</f>
        <v/>
      </c>
      <c r="AO229" s="33" t="str" cm="1">
        <f t="array" ref="AO229">IFERROR(INDEX($AA$2:$AA$282,MATCH(0,COUNTIF('Paste Here'!$AK$1:AK228,$AA$2:$AA$282),0)),"")</f>
        <v/>
      </c>
      <c r="AP229" s="33" t="str">
        <f>IF(COUNTIF('Paste Here'!$AK$2:AK229,'Paste Here'!AK229)=1,VALUE('Paste Here'!AK229),"")</f>
        <v/>
      </c>
    </row>
    <row r="230" spans="1:42" x14ac:dyDescent="0.3">
      <c r="A230"/>
      <c r="B230"/>
      <c r="C230"/>
      <c r="D230" s="4"/>
      <c r="E230"/>
      <c r="F230"/>
      <c r="G230"/>
      <c r="H230"/>
      <c r="AA230" s="33" t="str">
        <f t="shared" si="10"/>
        <v/>
      </c>
      <c r="AC230" s="33">
        <f t="shared" si="9"/>
        <v>1048540</v>
      </c>
      <c r="AD230" s="33" t="str">
        <f t="shared" si="11"/>
        <v/>
      </c>
      <c r="AE230" s="33" t="str" cm="1">
        <f t="array" ref="AE230">LOOKUP(2,1/($AB$2:$AB$1000=AB230),$AD$2:$AD$1000)</f>
        <v/>
      </c>
      <c r="AL230" s="39" t="str">
        <f>IF(AK230="","",
   IF(
      COUNTIF('Paste Here'!$AA$2:$AA$1000,AK230)=0,
      "",
      ROUNDDOWN(COUNTIF('Paste Here'!$AA$2:$AA$1000,AK230)/2,0)
   )
)</f>
        <v/>
      </c>
      <c r="AM230" s="39" t="str" cm="1">
        <f t="array" ref="AM230">IFERROR(IF(LOOKUP(2,1/($AA$2:$AA$1000=AK230),$AD$2:$AD$1000)=0,"",
LOOKUP(2,1/($AA$2:$AA$1000=AK230),$AD$2:$AD$1000)),"")</f>
        <v/>
      </c>
      <c r="AO230" s="33" t="str" cm="1">
        <f t="array" ref="AO230">IFERROR(INDEX($AA$2:$AA$282,MATCH(0,COUNTIF('Paste Here'!$AK$1:AK229,$AA$2:$AA$282),0)),"")</f>
        <v/>
      </c>
      <c r="AP230" s="33" t="str">
        <f>IF(COUNTIF('Paste Here'!$AK$2:AK230,'Paste Here'!AK230)=1,VALUE('Paste Here'!AK230),"")</f>
        <v/>
      </c>
    </row>
    <row r="231" spans="1:42" x14ac:dyDescent="0.3">
      <c r="A231"/>
      <c r="B231"/>
      <c r="C231"/>
      <c r="D231" s="4"/>
      <c r="E231"/>
      <c r="F231"/>
      <c r="G231"/>
      <c r="H231"/>
      <c r="AA231" s="33" t="str">
        <f t="shared" si="10"/>
        <v/>
      </c>
      <c r="AC231" s="33">
        <f t="shared" si="9"/>
        <v>1048540</v>
      </c>
      <c r="AD231" s="33" t="str">
        <f t="shared" si="11"/>
        <v/>
      </c>
      <c r="AE231" s="33" t="str" cm="1">
        <f t="array" ref="AE231">LOOKUP(2,1/($AB$2:$AB$1000=AB231),$AD$2:$AD$1000)</f>
        <v/>
      </c>
      <c r="AL231" s="39" t="str">
        <f>IF(AK231="","",
   IF(
      COUNTIF('Paste Here'!$AA$2:$AA$1000,AK231)=0,
      "",
      ROUNDDOWN(COUNTIF('Paste Here'!$AA$2:$AA$1000,AK231)/2,0)
   )
)</f>
        <v/>
      </c>
      <c r="AM231" s="39" t="str" cm="1">
        <f t="array" ref="AM231">IFERROR(IF(LOOKUP(2,1/($AA$2:$AA$1000=AK231),$AD$2:$AD$1000)=0,"",
LOOKUP(2,1/($AA$2:$AA$1000=AK231),$AD$2:$AD$1000)),"")</f>
        <v/>
      </c>
      <c r="AO231" s="33" t="str" cm="1">
        <f t="array" ref="AO231">IFERROR(INDEX($AA$2:$AA$282,MATCH(0,COUNTIF('Paste Here'!$AK$1:AK230,$AA$2:$AA$282),0)),"")</f>
        <v/>
      </c>
      <c r="AP231" s="33" t="str">
        <f>IF(COUNTIF('Paste Here'!$AK$2:AK231,'Paste Here'!AK231)=1,VALUE('Paste Here'!AK231),"")</f>
        <v/>
      </c>
    </row>
    <row r="232" spans="1:42" x14ac:dyDescent="0.3">
      <c r="A232"/>
      <c r="B232"/>
      <c r="C232"/>
      <c r="D232" s="4"/>
      <c r="E232"/>
      <c r="F232"/>
      <c r="G232"/>
      <c r="H232"/>
      <c r="AA232" s="33" t="str">
        <f t="shared" si="10"/>
        <v/>
      </c>
      <c r="AC232" s="33">
        <f t="shared" si="9"/>
        <v>1048540</v>
      </c>
      <c r="AD232" s="33" t="str">
        <f t="shared" si="11"/>
        <v/>
      </c>
      <c r="AE232" s="33" t="str" cm="1">
        <f t="array" ref="AE232">LOOKUP(2,1/($AB$2:$AB$1000=AB232),$AD$2:$AD$1000)</f>
        <v/>
      </c>
      <c r="AL232" s="39" t="str">
        <f>IF(AK232="","",
   IF(
      COUNTIF('Paste Here'!$AA$2:$AA$1000,AK232)=0,
      "",
      ROUNDDOWN(COUNTIF('Paste Here'!$AA$2:$AA$1000,AK232)/2,0)
   )
)</f>
        <v/>
      </c>
      <c r="AM232" s="39" t="str" cm="1">
        <f t="array" ref="AM232">IFERROR(IF(LOOKUP(2,1/($AA$2:$AA$1000=AK232),$AD$2:$AD$1000)=0,"",
LOOKUP(2,1/($AA$2:$AA$1000=AK232),$AD$2:$AD$1000)),"")</f>
        <v/>
      </c>
      <c r="AO232" s="33" t="str" cm="1">
        <f t="array" ref="AO232">IFERROR(INDEX($AA$2:$AA$282,MATCH(0,COUNTIF('Paste Here'!$AK$1:AK231,$AA$2:$AA$282),0)),"")</f>
        <v/>
      </c>
      <c r="AP232" s="33" t="str">
        <f>IF(COUNTIF('Paste Here'!$AK$2:AK232,'Paste Here'!AK232)=1,VALUE('Paste Here'!AK232),"")</f>
        <v/>
      </c>
    </row>
    <row r="233" spans="1:42" x14ac:dyDescent="0.3">
      <c r="A233"/>
      <c r="B233"/>
      <c r="C233"/>
      <c r="D233" s="4"/>
      <c r="E233"/>
      <c r="F233"/>
      <c r="G233"/>
      <c r="H233"/>
      <c r="AA233" s="33" t="str">
        <f t="shared" si="10"/>
        <v/>
      </c>
      <c r="AC233" s="33">
        <f t="shared" si="9"/>
        <v>1048540</v>
      </c>
      <c r="AD233" s="33" t="str">
        <f t="shared" si="11"/>
        <v/>
      </c>
      <c r="AE233" s="33" t="str" cm="1">
        <f t="array" ref="AE233">LOOKUP(2,1/($AB$2:$AB$1000=AB233),$AD$2:$AD$1000)</f>
        <v/>
      </c>
      <c r="AL233" s="39" t="str">
        <f>IF(AK233="","",
   IF(
      COUNTIF('Paste Here'!$AA$2:$AA$1000,AK233)=0,
      "",
      ROUNDDOWN(COUNTIF('Paste Here'!$AA$2:$AA$1000,AK233)/2,0)
   )
)</f>
        <v/>
      </c>
      <c r="AM233" s="39" t="str" cm="1">
        <f t="array" ref="AM233">IFERROR(IF(LOOKUP(2,1/($AA$2:$AA$1000=AK233),$AD$2:$AD$1000)=0,"",
LOOKUP(2,1/($AA$2:$AA$1000=AK233),$AD$2:$AD$1000)),"")</f>
        <v/>
      </c>
      <c r="AO233" s="33" t="str" cm="1">
        <f t="array" ref="AO233">IFERROR(INDEX($AA$2:$AA$282,MATCH(0,COUNTIF('Paste Here'!$AK$1:AK232,$AA$2:$AA$282),0)),"")</f>
        <v/>
      </c>
      <c r="AP233" s="33" t="str">
        <f>IF(COUNTIF('Paste Here'!$AK$2:AK233,'Paste Here'!AK233)=1,VALUE('Paste Here'!AK233),"")</f>
        <v/>
      </c>
    </row>
    <row r="234" spans="1:42" x14ac:dyDescent="0.3">
      <c r="A234"/>
      <c r="B234"/>
      <c r="C234"/>
      <c r="D234" s="4"/>
      <c r="E234"/>
      <c r="F234"/>
      <c r="G234"/>
      <c r="H234"/>
      <c r="AA234" s="33" t="str">
        <f t="shared" si="10"/>
        <v/>
      </c>
      <c r="AC234" s="33">
        <f t="shared" si="9"/>
        <v>1048540</v>
      </c>
      <c r="AD234" s="33" t="str">
        <f t="shared" si="11"/>
        <v/>
      </c>
      <c r="AE234" s="33" t="str" cm="1">
        <f t="array" ref="AE234">LOOKUP(2,1/($AB$2:$AB$1000=AB234),$AD$2:$AD$1000)</f>
        <v/>
      </c>
      <c r="AL234" s="39" t="str">
        <f>IF(AK234="","",
   IF(
      COUNTIF('Paste Here'!$AA$2:$AA$1000,AK234)=0,
      "",
      ROUNDDOWN(COUNTIF('Paste Here'!$AA$2:$AA$1000,AK234)/2,0)
   )
)</f>
        <v/>
      </c>
      <c r="AM234" s="39" t="str" cm="1">
        <f t="array" ref="AM234">IFERROR(IF(LOOKUP(2,1/($AA$2:$AA$1000=AK234),$AD$2:$AD$1000)=0,"",
LOOKUP(2,1/($AA$2:$AA$1000=AK234),$AD$2:$AD$1000)),"")</f>
        <v/>
      </c>
      <c r="AO234" s="33" t="str" cm="1">
        <f t="array" ref="AO234">IFERROR(INDEX($AA$2:$AA$282,MATCH(0,COUNTIF('Paste Here'!$AK$1:AK233,$AA$2:$AA$282),0)),"")</f>
        <v/>
      </c>
      <c r="AP234" s="33" t="str">
        <f>IF(COUNTIF('Paste Here'!$AK$2:AK234,'Paste Here'!AK234)=1,VALUE('Paste Here'!AK234),"")</f>
        <v/>
      </c>
    </row>
    <row r="235" spans="1:42" x14ac:dyDescent="0.3">
      <c r="A235"/>
      <c r="B235"/>
      <c r="C235"/>
      <c r="D235" s="4"/>
      <c r="E235"/>
      <c r="F235"/>
      <c r="G235"/>
      <c r="H235"/>
      <c r="AA235" s="33" t="str">
        <f t="shared" si="10"/>
        <v/>
      </c>
      <c r="AC235" s="33">
        <f t="shared" si="9"/>
        <v>1048540</v>
      </c>
      <c r="AD235" s="33" t="str">
        <f t="shared" si="11"/>
        <v/>
      </c>
      <c r="AE235" s="33" t="str" cm="1">
        <f t="array" ref="AE235">LOOKUP(2,1/($AB$2:$AB$1000=AB235),$AD$2:$AD$1000)</f>
        <v/>
      </c>
      <c r="AL235" s="39" t="str">
        <f>IF(AK235="","",
   IF(
      COUNTIF('Paste Here'!$AA$2:$AA$1000,AK235)=0,
      "",
      ROUNDDOWN(COUNTIF('Paste Here'!$AA$2:$AA$1000,AK235)/2,0)
   )
)</f>
        <v/>
      </c>
      <c r="AM235" s="39" t="str" cm="1">
        <f t="array" ref="AM235">IFERROR(IF(LOOKUP(2,1/($AA$2:$AA$1000=AK235),$AD$2:$AD$1000)=0,"",
LOOKUP(2,1/($AA$2:$AA$1000=AK235),$AD$2:$AD$1000)),"")</f>
        <v/>
      </c>
      <c r="AO235" s="33" t="str" cm="1">
        <f t="array" ref="AO235">IFERROR(INDEX($AA$2:$AA$282,MATCH(0,COUNTIF('Paste Here'!$AK$1:AK234,$AA$2:$AA$282),0)),"")</f>
        <v/>
      </c>
      <c r="AP235" s="33" t="str">
        <f>IF(COUNTIF('Paste Here'!$AK$2:AK235,'Paste Here'!AK235)=1,VALUE('Paste Here'!AK235),"")</f>
        <v/>
      </c>
    </row>
    <row r="236" spans="1:42" x14ac:dyDescent="0.3">
      <c r="A236"/>
      <c r="B236"/>
      <c r="C236"/>
      <c r="D236" s="4"/>
      <c r="E236"/>
      <c r="F236"/>
      <c r="G236"/>
      <c r="H236"/>
      <c r="AA236" s="33" t="str">
        <f t="shared" si="10"/>
        <v/>
      </c>
      <c r="AC236" s="33">
        <f t="shared" si="9"/>
        <v>1048540</v>
      </c>
      <c r="AD236" s="33" t="str">
        <f t="shared" si="11"/>
        <v/>
      </c>
      <c r="AE236" s="33" t="str" cm="1">
        <f t="array" ref="AE236">LOOKUP(2,1/($AB$2:$AB$1000=AB236),$AD$2:$AD$1000)</f>
        <v/>
      </c>
      <c r="AL236" s="39" t="str">
        <f>IF(AK236="","",
   IF(
      COUNTIF('Paste Here'!$AA$2:$AA$1000,AK236)=0,
      "",
      ROUNDDOWN(COUNTIF('Paste Here'!$AA$2:$AA$1000,AK236)/2,0)
   )
)</f>
        <v/>
      </c>
      <c r="AM236" s="39" t="str" cm="1">
        <f t="array" ref="AM236">IFERROR(IF(LOOKUP(2,1/($AA$2:$AA$1000=AK236),$AD$2:$AD$1000)=0,"",
LOOKUP(2,1/($AA$2:$AA$1000=AK236),$AD$2:$AD$1000)),"")</f>
        <v/>
      </c>
      <c r="AO236" s="33" t="str" cm="1">
        <f t="array" ref="AO236">IFERROR(INDEX($AA$2:$AA$282,MATCH(0,COUNTIF('Paste Here'!$AK$1:AK235,$AA$2:$AA$282),0)),"")</f>
        <v/>
      </c>
      <c r="AP236" s="33" t="str">
        <f>IF(COUNTIF('Paste Here'!$AK$2:AK236,'Paste Here'!AK236)=1,VALUE('Paste Here'!AK236),"")</f>
        <v/>
      </c>
    </row>
    <row r="237" spans="1:42" x14ac:dyDescent="0.3">
      <c r="A237"/>
      <c r="B237"/>
      <c r="C237"/>
      <c r="D237" s="4"/>
      <c r="E237"/>
      <c r="F237"/>
      <c r="G237"/>
      <c r="H237"/>
      <c r="AA237" s="33" t="str">
        <f t="shared" si="10"/>
        <v/>
      </c>
      <c r="AC237" s="33">
        <f t="shared" si="9"/>
        <v>1048540</v>
      </c>
      <c r="AD237" s="33" t="str">
        <f t="shared" si="11"/>
        <v/>
      </c>
      <c r="AE237" s="33" t="str" cm="1">
        <f t="array" ref="AE237">LOOKUP(2,1/($AB$2:$AB$1000=AB237),$AD$2:$AD$1000)</f>
        <v/>
      </c>
      <c r="AL237" s="39" t="str">
        <f>IF(AK237="","",
   IF(
      COUNTIF('Paste Here'!$AA$2:$AA$1000,AK237)=0,
      "",
      ROUNDDOWN(COUNTIF('Paste Here'!$AA$2:$AA$1000,AK237)/2,0)
   )
)</f>
        <v/>
      </c>
      <c r="AM237" s="39" t="str" cm="1">
        <f t="array" ref="AM237">IFERROR(IF(LOOKUP(2,1/($AA$2:$AA$1000=AK237),$AD$2:$AD$1000)=0,"",
LOOKUP(2,1/($AA$2:$AA$1000=AK237),$AD$2:$AD$1000)),"")</f>
        <v/>
      </c>
      <c r="AO237" s="33" t="str" cm="1">
        <f t="array" ref="AO237">IFERROR(INDEX($AA$2:$AA$282,MATCH(0,COUNTIF('Paste Here'!$AK$1:AK236,$AA$2:$AA$282),0)),"")</f>
        <v/>
      </c>
      <c r="AP237" s="33" t="str">
        <f>IF(COUNTIF('Paste Here'!$AK$2:AK237,'Paste Here'!AK237)=1,VALUE('Paste Here'!AK237),"")</f>
        <v/>
      </c>
    </row>
    <row r="238" spans="1:42" x14ac:dyDescent="0.3">
      <c r="A238" s="2"/>
      <c r="B238" s="2"/>
      <c r="C238" s="2"/>
      <c r="D238" s="3"/>
      <c r="E238" s="2"/>
      <c r="F238" s="2"/>
      <c r="G238" s="2"/>
      <c r="H238" s="2"/>
      <c r="AA238" s="33" t="str">
        <f t="shared" si="10"/>
        <v/>
      </c>
      <c r="AC238" s="33">
        <f t="shared" si="9"/>
        <v>1048540</v>
      </c>
      <c r="AD238" s="33" t="str">
        <f t="shared" si="11"/>
        <v/>
      </c>
      <c r="AE238" s="33" t="str" cm="1">
        <f t="array" ref="AE238">LOOKUP(2,1/($AB$2:$AB$1000=AB238),$AD$2:$AD$1000)</f>
        <v/>
      </c>
      <c r="AL238" s="39" t="str">
        <f>IF(AK238="","",
   IF(
      COUNTIF('Paste Here'!$AA$2:$AA$1000,AK238)=0,
      "",
      ROUNDDOWN(COUNTIF('Paste Here'!$AA$2:$AA$1000,AK238)/2,0)
   )
)</f>
        <v/>
      </c>
      <c r="AM238" s="39" t="str" cm="1">
        <f t="array" ref="AM238">IFERROR(IF(LOOKUP(2,1/($AA$2:$AA$1000=AK238),$AD$2:$AD$1000)=0,"",
LOOKUP(2,1/($AA$2:$AA$1000=AK238),$AD$2:$AD$1000)),"")</f>
        <v/>
      </c>
      <c r="AO238" s="33" t="str" cm="1">
        <f t="array" ref="AO238">IFERROR(INDEX($AA$2:$AA$282,MATCH(0,COUNTIF('Paste Here'!$AK$1:AK237,$AA$2:$AA$282),0)),"")</f>
        <v/>
      </c>
      <c r="AP238" s="33" t="str">
        <f>IF(COUNTIF('Paste Here'!$AK$2:AK238,'Paste Here'!AK238)=1,VALUE('Paste Here'!AK238),"")</f>
        <v/>
      </c>
    </row>
    <row r="239" spans="1:42" x14ac:dyDescent="0.3">
      <c r="A239" s="2"/>
      <c r="B239" s="2"/>
      <c r="C239" s="2"/>
      <c r="D239" s="3"/>
      <c r="E239" s="2"/>
      <c r="F239" s="2"/>
      <c r="G239" s="2"/>
      <c r="H239" s="2"/>
      <c r="AA239" s="33" t="str">
        <f t="shared" si="10"/>
        <v/>
      </c>
      <c r="AC239" s="33">
        <f t="shared" si="9"/>
        <v>1048540</v>
      </c>
      <c r="AD239" s="33" t="str">
        <f t="shared" si="11"/>
        <v/>
      </c>
      <c r="AE239" s="33" t="str" cm="1">
        <f t="array" ref="AE239">LOOKUP(2,1/($AB$2:$AB$1000=AB239),$AD$2:$AD$1000)</f>
        <v/>
      </c>
      <c r="AL239" s="39" t="str">
        <f>IF(AK239="","",
   IF(
      COUNTIF('Paste Here'!$AA$2:$AA$1000,AK239)=0,
      "",
      ROUNDDOWN(COUNTIF('Paste Here'!$AA$2:$AA$1000,AK239)/2,0)
   )
)</f>
        <v/>
      </c>
      <c r="AM239" s="39" t="str" cm="1">
        <f t="array" ref="AM239">IFERROR(IF(LOOKUP(2,1/($AA$2:$AA$1000=AK239),$AD$2:$AD$1000)=0,"",
LOOKUP(2,1/($AA$2:$AA$1000=AK239),$AD$2:$AD$1000)),"")</f>
        <v/>
      </c>
      <c r="AO239" s="33" t="str" cm="1">
        <f t="array" ref="AO239">IFERROR(INDEX($AA$2:$AA$282,MATCH(0,COUNTIF('Paste Here'!$AK$1:AK238,$AA$2:$AA$282),0)),"")</f>
        <v/>
      </c>
      <c r="AP239" s="33" t="str">
        <f>IF(COUNTIF('Paste Here'!$AK$2:AK239,'Paste Here'!AK239)=1,VALUE('Paste Here'!AK239),"")</f>
        <v/>
      </c>
    </row>
    <row r="240" spans="1:42" x14ac:dyDescent="0.3">
      <c r="A240" s="2"/>
      <c r="B240" s="2"/>
      <c r="C240" s="2"/>
      <c r="D240" s="3"/>
      <c r="E240" s="2"/>
      <c r="F240" s="2"/>
      <c r="G240" s="2"/>
      <c r="H240" s="2"/>
      <c r="AA240" s="33" t="str">
        <f t="shared" si="10"/>
        <v/>
      </c>
      <c r="AC240" s="33">
        <f t="shared" si="9"/>
        <v>1048540</v>
      </c>
      <c r="AD240" s="33" t="str">
        <f t="shared" si="11"/>
        <v/>
      </c>
      <c r="AE240" s="33" t="str" cm="1">
        <f t="array" ref="AE240">LOOKUP(2,1/($AB$2:$AB$1000=AB240),$AD$2:$AD$1000)</f>
        <v/>
      </c>
      <c r="AL240" s="39" t="str">
        <f>IF(AK240="","",
   IF(
      COUNTIF('Paste Here'!$AA$2:$AA$1000,AK240)=0,
      "",
      ROUNDDOWN(COUNTIF('Paste Here'!$AA$2:$AA$1000,AK240)/2,0)
   )
)</f>
        <v/>
      </c>
      <c r="AM240" s="39" t="str" cm="1">
        <f t="array" ref="AM240">IFERROR(IF(LOOKUP(2,1/($AA$2:$AA$1000=AK240),$AD$2:$AD$1000)=0,"",
LOOKUP(2,1/($AA$2:$AA$1000=AK240),$AD$2:$AD$1000)),"")</f>
        <v/>
      </c>
      <c r="AO240" s="33" t="str" cm="1">
        <f t="array" ref="AO240">IFERROR(INDEX($AA$2:$AA$282,MATCH(0,COUNTIF('Paste Here'!$AK$1:AK239,$AA$2:$AA$282),0)),"")</f>
        <v/>
      </c>
      <c r="AP240" s="33" t="str">
        <f>IF(COUNTIF('Paste Here'!$AK$2:AK240,'Paste Here'!AK240)=1,VALUE('Paste Here'!AK240),"")</f>
        <v/>
      </c>
    </row>
    <row r="241" spans="1:42" x14ac:dyDescent="0.3">
      <c r="A241" s="2"/>
      <c r="B241" s="2"/>
      <c r="C241" s="2"/>
      <c r="D241" s="3"/>
      <c r="E241" s="2"/>
      <c r="F241" s="2"/>
      <c r="G241" s="2"/>
      <c r="H241" s="2"/>
      <c r="AA241" s="33" t="str">
        <f t="shared" si="10"/>
        <v/>
      </c>
      <c r="AC241" s="33">
        <f t="shared" si="9"/>
        <v>1048540</v>
      </c>
      <c r="AD241" s="33" t="str">
        <f t="shared" si="11"/>
        <v/>
      </c>
      <c r="AE241" s="33" t="str" cm="1">
        <f t="array" ref="AE241">LOOKUP(2,1/($AB$2:$AB$1000=AB241),$AD$2:$AD$1000)</f>
        <v/>
      </c>
      <c r="AL241" s="39" t="str">
        <f>IF(AK241="","",
   IF(
      COUNTIF('Paste Here'!$AA$2:$AA$1000,AK241)=0,
      "",
      ROUNDDOWN(COUNTIF('Paste Here'!$AA$2:$AA$1000,AK241)/2,0)
   )
)</f>
        <v/>
      </c>
      <c r="AM241" s="39" t="str" cm="1">
        <f t="array" ref="AM241">IFERROR(IF(LOOKUP(2,1/($AA$2:$AA$1000=AK241),$AD$2:$AD$1000)=0,"",
LOOKUP(2,1/($AA$2:$AA$1000=AK241),$AD$2:$AD$1000)),"")</f>
        <v/>
      </c>
      <c r="AO241" s="33" t="str" cm="1">
        <f t="array" ref="AO241">IFERROR(INDEX($AA$2:$AA$282,MATCH(0,COUNTIF('Paste Here'!$AK$1:AK240,$AA$2:$AA$282),0)),"")</f>
        <v/>
      </c>
      <c r="AP241" s="33" t="str">
        <f>IF(COUNTIF('Paste Here'!$AK$2:AK241,'Paste Here'!AK241)=1,VALUE('Paste Here'!AK241),"")</f>
        <v/>
      </c>
    </row>
    <row r="242" spans="1:42" x14ac:dyDescent="0.3">
      <c r="A242" s="2"/>
      <c r="B242" s="2"/>
      <c r="C242" s="2"/>
      <c r="D242" s="3"/>
      <c r="E242" s="2"/>
      <c r="F242" s="2"/>
      <c r="G242" s="2"/>
      <c r="H242" s="2"/>
      <c r="AA242" s="33" t="str">
        <f t="shared" si="10"/>
        <v/>
      </c>
      <c r="AC242" s="33">
        <f t="shared" si="9"/>
        <v>1048540</v>
      </c>
      <c r="AD242" s="33" t="str">
        <f t="shared" si="11"/>
        <v/>
      </c>
      <c r="AE242" s="33" t="str" cm="1">
        <f t="array" ref="AE242">LOOKUP(2,1/($AB$2:$AB$1000=AB242),$AD$2:$AD$1000)</f>
        <v/>
      </c>
      <c r="AL242" s="39" t="str">
        <f>IF(AK242="","",
   IF(
      COUNTIF('Paste Here'!$AA$2:$AA$1000,AK242)=0,
      "",
      ROUNDDOWN(COUNTIF('Paste Here'!$AA$2:$AA$1000,AK242)/2,0)
   )
)</f>
        <v/>
      </c>
      <c r="AM242" s="39" t="str" cm="1">
        <f t="array" ref="AM242">IFERROR(IF(LOOKUP(2,1/($AA$2:$AA$1000=AK242),$AD$2:$AD$1000)=0,"",
LOOKUP(2,1/($AA$2:$AA$1000=AK242),$AD$2:$AD$1000)),"")</f>
        <v/>
      </c>
      <c r="AO242" s="33" t="str" cm="1">
        <f t="array" ref="AO242">IFERROR(INDEX($AA$2:$AA$282,MATCH(0,COUNTIF('Paste Here'!$AK$1:AK241,$AA$2:$AA$282),0)),"")</f>
        <v/>
      </c>
      <c r="AP242" s="33" t="str">
        <f>IF(COUNTIF('Paste Here'!$AK$2:AK242,'Paste Here'!AK242)=1,VALUE('Paste Here'!AK242),"")</f>
        <v/>
      </c>
    </row>
    <row r="243" spans="1:42" x14ac:dyDescent="0.3">
      <c r="A243" s="2"/>
      <c r="B243" s="2"/>
      <c r="C243" s="2"/>
      <c r="D243" s="3"/>
      <c r="E243" s="2"/>
      <c r="F243" s="2"/>
      <c r="G243" s="2"/>
      <c r="H243" s="2"/>
      <c r="AA243" s="33" t="str">
        <f t="shared" si="10"/>
        <v/>
      </c>
      <c r="AC243" s="33">
        <f t="shared" si="9"/>
        <v>1048540</v>
      </c>
      <c r="AD243" s="33" t="str">
        <f t="shared" si="11"/>
        <v/>
      </c>
      <c r="AE243" s="33" t="str" cm="1">
        <f t="array" ref="AE243">LOOKUP(2,1/($AB$2:$AB$1000=AB243),$AD$2:$AD$1000)</f>
        <v/>
      </c>
      <c r="AL243" s="39" t="str">
        <f>IF(AK243="","",
   IF(
      COUNTIF('Paste Here'!$AA$2:$AA$1000,AK243)=0,
      "",
      ROUNDDOWN(COUNTIF('Paste Here'!$AA$2:$AA$1000,AK243)/2,0)
   )
)</f>
        <v/>
      </c>
      <c r="AM243" s="39" t="str" cm="1">
        <f t="array" ref="AM243">IFERROR(IF(LOOKUP(2,1/($AA$2:$AA$1000=AK243),$AD$2:$AD$1000)=0,"",
LOOKUP(2,1/($AA$2:$AA$1000=AK243),$AD$2:$AD$1000)),"")</f>
        <v/>
      </c>
      <c r="AO243" s="33" t="str" cm="1">
        <f t="array" ref="AO243">IFERROR(INDEX($AA$2:$AA$282,MATCH(0,COUNTIF('Paste Here'!$AK$1:AK242,$AA$2:$AA$282),0)),"")</f>
        <v/>
      </c>
      <c r="AP243" s="33" t="str">
        <f>IF(COUNTIF('Paste Here'!$AK$2:AK243,'Paste Here'!AK243)=1,VALUE('Paste Here'!AK243),"")</f>
        <v/>
      </c>
    </row>
    <row r="244" spans="1:42" x14ac:dyDescent="0.3">
      <c r="A244" s="2"/>
      <c r="B244" s="2"/>
      <c r="C244" s="2"/>
      <c r="D244" s="3"/>
      <c r="E244" s="2"/>
      <c r="F244" s="2"/>
      <c r="G244" s="2"/>
      <c r="H244" s="2"/>
      <c r="AA244" s="33" t="str">
        <f t="shared" si="10"/>
        <v/>
      </c>
      <c r="AC244" s="33">
        <f t="shared" si="9"/>
        <v>1048540</v>
      </c>
      <c r="AD244" s="33" t="str">
        <f t="shared" si="11"/>
        <v/>
      </c>
      <c r="AE244" s="33" t="str" cm="1">
        <f t="array" ref="AE244">LOOKUP(2,1/($AB$2:$AB$1000=AB244),$AD$2:$AD$1000)</f>
        <v/>
      </c>
      <c r="AL244" s="39" t="str">
        <f>IF(AK244="","",
   IF(
      COUNTIF('Paste Here'!$AA$2:$AA$1000,AK244)=0,
      "",
      ROUNDDOWN(COUNTIF('Paste Here'!$AA$2:$AA$1000,AK244)/2,0)
   )
)</f>
        <v/>
      </c>
      <c r="AM244" s="39" t="str" cm="1">
        <f t="array" ref="AM244">IFERROR(IF(LOOKUP(2,1/($AA$2:$AA$1000=AK244),$AD$2:$AD$1000)=0,"",
LOOKUP(2,1/($AA$2:$AA$1000=AK244),$AD$2:$AD$1000)),"")</f>
        <v/>
      </c>
      <c r="AO244" s="33" t="str" cm="1">
        <f t="array" ref="AO244">IFERROR(INDEX($AA$2:$AA$282,MATCH(0,COUNTIF('Paste Here'!$AK$1:AK243,$AA$2:$AA$282),0)),"")</f>
        <v/>
      </c>
      <c r="AP244" s="33" t="str">
        <f>IF(COUNTIF('Paste Here'!$AK$2:AK244,'Paste Here'!AK244)=1,VALUE('Paste Here'!AK244),"")</f>
        <v/>
      </c>
    </row>
    <row r="245" spans="1:42" x14ac:dyDescent="0.3">
      <c r="A245" s="2"/>
      <c r="B245" s="2"/>
      <c r="C245" s="2"/>
      <c r="D245" s="3"/>
      <c r="E245" s="2"/>
      <c r="F245" s="2"/>
      <c r="G245" s="2"/>
      <c r="H245" s="2"/>
      <c r="AA245" s="33" t="str">
        <f t="shared" si="10"/>
        <v/>
      </c>
      <c r="AC245" s="33">
        <f t="shared" si="9"/>
        <v>1048540</v>
      </c>
      <c r="AD245" s="33" t="str">
        <f t="shared" si="11"/>
        <v/>
      </c>
      <c r="AE245" s="33" t="str" cm="1">
        <f t="array" ref="AE245">LOOKUP(2,1/($AB$2:$AB$1000=AB245),$AD$2:$AD$1000)</f>
        <v/>
      </c>
      <c r="AL245" s="39" t="str">
        <f>IF(AK245="","",
   IF(
      COUNTIF('Paste Here'!$AA$2:$AA$1000,AK245)=0,
      "",
      ROUNDDOWN(COUNTIF('Paste Here'!$AA$2:$AA$1000,AK245)/2,0)
   )
)</f>
        <v/>
      </c>
      <c r="AM245" s="39" t="str" cm="1">
        <f t="array" ref="AM245">IFERROR(IF(LOOKUP(2,1/($AA$2:$AA$1000=AK245),$AD$2:$AD$1000)=0,"",
LOOKUP(2,1/($AA$2:$AA$1000=AK245),$AD$2:$AD$1000)),"")</f>
        <v/>
      </c>
      <c r="AO245" s="33" t="str" cm="1">
        <f t="array" ref="AO245">IFERROR(INDEX($AA$2:$AA$282,MATCH(0,COUNTIF('Paste Here'!$AK$1:AK244,$AA$2:$AA$282),0)),"")</f>
        <v/>
      </c>
      <c r="AP245" s="33" t="str">
        <f>IF(COUNTIF('Paste Here'!$AK$2:AK245,'Paste Here'!AK245)=1,VALUE('Paste Here'!AK245),"")</f>
        <v/>
      </c>
    </row>
    <row r="246" spans="1:42" x14ac:dyDescent="0.3">
      <c r="A246" s="2"/>
      <c r="B246" s="2"/>
      <c r="C246" s="2"/>
      <c r="D246" s="3"/>
      <c r="E246" s="2"/>
      <c r="F246" s="2"/>
      <c r="G246" s="2"/>
      <c r="H246" s="2"/>
      <c r="AA246" s="33" t="str">
        <f t="shared" si="10"/>
        <v/>
      </c>
      <c r="AC246" s="33">
        <f t="shared" si="9"/>
        <v>1048540</v>
      </c>
      <c r="AD246" s="33" t="str">
        <f t="shared" si="11"/>
        <v/>
      </c>
      <c r="AE246" s="33" t="str" cm="1">
        <f t="array" ref="AE246">LOOKUP(2,1/($AB$2:$AB$1000=AB246),$AD$2:$AD$1000)</f>
        <v/>
      </c>
      <c r="AL246" s="39" t="str">
        <f>IF(AK246="","",
   IF(
      COUNTIF('Paste Here'!$AA$2:$AA$1000,AK246)=0,
      "",
      ROUNDDOWN(COUNTIF('Paste Here'!$AA$2:$AA$1000,AK246)/2,0)
   )
)</f>
        <v/>
      </c>
      <c r="AM246" s="39" t="str" cm="1">
        <f t="array" ref="AM246">IFERROR(IF(LOOKUP(2,1/($AA$2:$AA$1000=AK246),$AD$2:$AD$1000)=0,"",
LOOKUP(2,1/($AA$2:$AA$1000=AK246),$AD$2:$AD$1000)),"")</f>
        <v/>
      </c>
      <c r="AO246" s="33" t="str" cm="1">
        <f t="array" ref="AO246">IFERROR(INDEX($AA$2:$AA$282,MATCH(0,COUNTIF('Paste Here'!$AK$1:AK245,$AA$2:$AA$282),0)),"")</f>
        <v/>
      </c>
      <c r="AP246" s="33" t="str">
        <f>IF(COUNTIF('Paste Here'!$AK$2:AK246,'Paste Here'!AK246)=1,VALUE('Paste Here'!AK246),"")</f>
        <v/>
      </c>
    </row>
    <row r="247" spans="1:42" x14ac:dyDescent="0.3">
      <c r="A247" s="2"/>
      <c r="B247" s="2"/>
      <c r="C247" s="2"/>
      <c r="D247" s="3"/>
      <c r="E247" s="2"/>
      <c r="F247" s="2"/>
      <c r="G247" s="2"/>
      <c r="H247" s="2"/>
      <c r="AA247" s="33" t="str">
        <f t="shared" si="10"/>
        <v/>
      </c>
      <c r="AC247" s="33">
        <f t="shared" si="9"/>
        <v>1048540</v>
      </c>
      <c r="AD247" s="33" t="str">
        <f t="shared" si="11"/>
        <v/>
      </c>
      <c r="AE247" s="33" t="str" cm="1">
        <f t="array" ref="AE247">LOOKUP(2,1/($AB$2:$AB$1000=AB247),$AD$2:$AD$1000)</f>
        <v/>
      </c>
      <c r="AL247" s="39" t="str">
        <f>IF(AK247="","",
   IF(
      COUNTIF('Paste Here'!$AA$2:$AA$1000,AK247)=0,
      "",
      ROUNDDOWN(COUNTIF('Paste Here'!$AA$2:$AA$1000,AK247)/2,0)
   )
)</f>
        <v/>
      </c>
      <c r="AM247" s="39" t="str" cm="1">
        <f t="array" ref="AM247">IFERROR(IF(LOOKUP(2,1/($AA$2:$AA$1000=AK247),$AD$2:$AD$1000)=0,"",
LOOKUP(2,1/($AA$2:$AA$1000=AK247),$AD$2:$AD$1000)),"")</f>
        <v/>
      </c>
      <c r="AO247" s="33" t="str" cm="1">
        <f t="array" ref="AO247">IFERROR(INDEX($AA$2:$AA$282,MATCH(0,COUNTIF('Paste Here'!$AK$1:AK246,$AA$2:$AA$282),0)),"")</f>
        <v/>
      </c>
      <c r="AP247" s="33" t="str">
        <f>IF(COUNTIF('Paste Here'!$AK$2:AK247,'Paste Here'!AK247)=1,VALUE('Paste Here'!AK247),"")</f>
        <v/>
      </c>
    </row>
    <row r="248" spans="1:42" x14ac:dyDescent="0.3">
      <c r="A248" s="2"/>
      <c r="B248" s="2"/>
      <c r="C248" s="2"/>
      <c r="D248" s="3"/>
      <c r="E248" s="2"/>
      <c r="F248" s="2"/>
      <c r="G248" s="2"/>
      <c r="H248" s="2"/>
      <c r="AA248" s="33" t="str">
        <f t="shared" si="10"/>
        <v/>
      </c>
      <c r="AC248" s="33">
        <f t="shared" si="9"/>
        <v>1048540</v>
      </c>
      <c r="AD248" s="33" t="str">
        <f t="shared" si="11"/>
        <v/>
      </c>
      <c r="AE248" s="33" t="str" cm="1">
        <f t="array" ref="AE248">LOOKUP(2,1/($AB$2:$AB$1000=AB248),$AD$2:$AD$1000)</f>
        <v/>
      </c>
      <c r="AL248" s="39" t="str">
        <f>IF(AK248="","",
   IF(
      COUNTIF('Paste Here'!$AA$2:$AA$1000,AK248)=0,
      "",
      ROUNDDOWN(COUNTIF('Paste Here'!$AA$2:$AA$1000,AK248)/2,0)
   )
)</f>
        <v/>
      </c>
      <c r="AM248" s="39" t="str" cm="1">
        <f t="array" ref="AM248">IFERROR(IF(LOOKUP(2,1/($AA$2:$AA$1000=AK248),$AD$2:$AD$1000)=0,"",
LOOKUP(2,1/($AA$2:$AA$1000=AK248),$AD$2:$AD$1000)),"")</f>
        <v/>
      </c>
      <c r="AO248" s="33" t="str" cm="1">
        <f t="array" ref="AO248">IFERROR(INDEX($AA$2:$AA$282,MATCH(0,COUNTIF('Paste Here'!$AK$1:AK247,$AA$2:$AA$282),0)),"")</f>
        <v/>
      </c>
      <c r="AP248" s="33" t="str">
        <f>IF(COUNTIF('Paste Here'!$AK$2:AK248,'Paste Here'!AK248)=1,VALUE('Paste Here'!AK248),"")</f>
        <v/>
      </c>
    </row>
    <row r="249" spans="1:42" x14ac:dyDescent="0.3">
      <c r="A249" s="2"/>
      <c r="B249" s="2"/>
      <c r="C249" s="2"/>
      <c r="D249" s="3"/>
      <c r="E249" s="2"/>
      <c r="F249" s="2"/>
      <c r="G249" s="2"/>
      <c r="H249" s="2"/>
      <c r="AA249" s="33" t="str">
        <f t="shared" si="10"/>
        <v/>
      </c>
      <c r="AC249" s="33">
        <f t="shared" si="9"/>
        <v>1048540</v>
      </c>
      <c r="AD249" s="33" t="str">
        <f t="shared" si="11"/>
        <v/>
      </c>
      <c r="AE249" s="33" t="str" cm="1">
        <f t="array" ref="AE249">LOOKUP(2,1/($AB$2:$AB$1000=AB249),$AD$2:$AD$1000)</f>
        <v/>
      </c>
      <c r="AL249" s="39" t="str">
        <f>IF(AK249="","",
   IF(
      COUNTIF('Paste Here'!$AA$2:$AA$1000,AK249)=0,
      "",
      ROUNDDOWN(COUNTIF('Paste Here'!$AA$2:$AA$1000,AK249)/2,0)
   )
)</f>
        <v/>
      </c>
      <c r="AM249" s="39" t="str" cm="1">
        <f t="array" ref="AM249">IFERROR(IF(LOOKUP(2,1/($AA$2:$AA$1000=AK249),$AD$2:$AD$1000)=0,"",
LOOKUP(2,1/($AA$2:$AA$1000=AK249),$AD$2:$AD$1000)),"")</f>
        <v/>
      </c>
      <c r="AO249" s="33" t="str" cm="1">
        <f t="array" ref="AO249">IFERROR(INDEX($AA$2:$AA$282,MATCH(0,COUNTIF('Paste Here'!$AK$1:AK248,$AA$2:$AA$282),0)),"")</f>
        <v/>
      </c>
      <c r="AP249" s="33" t="str">
        <f>IF(COUNTIF('Paste Here'!$AK$2:AK249,'Paste Here'!AK249)=1,VALUE('Paste Here'!AK249),"")</f>
        <v/>
      </c>
    </row>
    <row r="250" spans="1:42" x14ac:dyDescent="0.3">
      <c r="A250" s="2"/>
      <c r="B250" s="2"/>
      <c r="C250" s="2"/>
      <c r="D250" s="3"/>
      <c r="E250" s="2"/>
      <c r="F250" s="2"/>
      <c r="G250" s="2"/>
      <c r="H250" s="2"/>
      <c r="AA250" s="33" t="str">
        <f t="shared" si="10"/>
        <v/>
      </c>
      <c r="AC250" s="33">
        <f t="shared" si="9"/>
        <v>1048540</v>
      </c>
      <c r="AD250" s="33" t="str">
        <f t="shared" si="11"/>
        <v/>
      </c>
      <c r="AE250" s="33" t="str" cm="1">
        <f t="array" ref="AE250">LOOKUP(2,1/($AB$2:$AB$1000=AB250),$AD$2:$AD$1000)</f>
        <v/>
      </c>
      <c r="AL250" s="39" t="str">
        <f>IF(AK250="","",
   IF(
      COUNTIF('Paste Here'!$AA$2:$AA$1000,AK250)=0,
      "",
      ROUNDDOWN(COUNTIF('Paste Here'!$AA$2:$AA$1000,AK250)/2,0)
   )
)</f>
        <v/>
      </c>
      <c r="AM250" s="39" t="str" cm="1">
        <f t="array" ref="AM250">IFERROR(IF(LOOKUP(2,1/($AA$2:$AA$1000=AK250),$AD$2:$AD$1000)=0,"",
LOOKUP(2,1/($AA$2:$AA$1000=AK250),$AD$2:$AD$1000)),"")</f>
        <v/>
      </c>
      <c r="AO250" s="33" t="str" cm="1">
        <f t="array" ref="AO250">IFERROR(INDEX($AA$2:$AA$282,MATCH(0,COUNTIF('Paste Here'!$AK$1:AK249,$AA$2:$AA$282),0)),"")</f>
        <v/>
      </c>
      <c r="AP250" s="33" t="str">
        <f>IF(COUNTIF('Paste Here'!$AK$2:AK250,'Paste Here'!AK250)=1,VALUE('Paste Here'!AK250),"")</f>
        <v/>
      </c>
    </row>
    <row r="251" spans="1:42" x14ac:dyDescent="0.3">
      <c r="A251" s="2"/>
      <c r="B251" s="2"/>
      <c r="C251" s="2"/>
      <c r="D251" s="3"/>
      <c r="E251" s="2"/>
      <c r="F251" s="2"/>
      <c r="G251" s="2"/>
      <c r="H251" s="2"/>
      <c r="AA251" s="33" t="str">
        <f t="shared" si="10"/>
        <v/>
      </c>
      <c r="AC251" s="33">
        <f t="shared" si="9"/>
        <v>1048540</v>
      </c>
      <c r="AD251" s="33" t="str">
        <f t="shared" si="11"/>
        <v/>
      </c>
      <c r="AE251" s="33" t="str" cm="1">
        <f t="array" ref="AE251">LOOKUP(2,1/($AB$2:$AB$1000=AB251),$AD$2:$AD$1000)</f>
        <v/>
      </c>
      <c r="AL251" s="39" t="str">
        <f>IF(AK251="","",
   IF(
      COUNTIF('Paste Here'!$AA$2:$AA$1000,AK251)=0,
      "",
      ROUNDDOWN(COUNTIF('Paste Here'!$AA$2:$AA$1000,AK251)/2,0)
   )
)</f>
        <v/>
      </c>
      <c r="AM251" s="39" t="str" cm="1">
        <f t="array" ref="AM251">IFERROR(IF(LOOKUP(2,1/($AA$2:$AA$1000=AK251),$AD$2:$AD$1000)=0,"",
LOOKUP(2,1/($AA$2:$AA$1000=AK251),$AD$2:$AD$1000)),"")</f>
        <v/>
      </c>
      <c r="AO251" s="33" t="str" cm="1">
        <f t="array" ref="AO251">IFERROR(INDEX($AA$2:$AA$282,MATCH(0,COUNTIF('Paste Here'!$AK$1:AK250,$AA$2:$AA$282),0)),"")</f>
        <v/>
      </c>
      <c r="AP251" s="33" t="str">
        <f>IF(COUNTIF('Paste Here'!$AK$2:AK251,'Paste Here'!AK251)=1,VALUE('Paste Here'!AK251),"")</f>
        <v/>
      </c>
    </row>
    <row r="252" spans="1:42" x14ac:dyDescent="0.3">
      <c r="A252" s="2"/>
      <c r="B252" s="2"/>
      <c r="C252" s="2"/>
      <c r="D252" s="3"/>
      <c r="E252" s="2"/>
      <c r="F252" s="2"/>
      <c r="G252" s="2"/>
      <c r="H252" s="2"/>
      <c r="AA252" s="33" t="str">
        <f t="shared" si="10"/>
        <v/>
      </c>
      <c r="AC252" s="33">
        <f t="shared" si="9"/>
        <v>1048540</v>
      </c>
      <c r="AD252" s="33" t="str">
        <f t="shared" si="11"/>
        <v/>
      </c>
      <c r="AE252" s="33" t="str" cm="1">
        <f t="array" ref="AE252">LOOKUP(2,1/($AB$2:$AB$1000=AB252),$AD$2:$AD$1000)</f>
        <v/>
      </c>
      <c r="AL252" s="39" t="str">
        <f>IF(AK252="","",
   IF(
      COUNTIF('Paste Here'!$AA$2:$AA$1000,AK252)=0,
      "",
      ROUNDDOWN(COUNTIF('Paste Here'!$AA$2:$AA$1000,AK252)/2,0)
   )
)</f>
        <v/>
      </c>
      <c r="AM252" s="39" t="str" cm="1">
        <f t="array" ref="AM252">IFERROR(IF(LOOKUP(2,1/($AA$2:$AA$1000=AK252),$AD$2:$AD$1000)=0,"",
LOOKUP(2,1/($AA$2:$AA$1000=AK252),$AD$2:$AD$1000)),"")</f>
        <v/>
      </c>
      <c r="AO252" s="33" t="str" cm="1">
        <f t="array" ref="AO252">IFERROR(INDEX($AA$2:$AA$282,MATCH(0,COUNTIF('Paste Here'!$AK$1:AK251,$AA$2:$AA$282),0)),"")</f>
        <v/>
      </c>
      <c r="AP252" s="33" t="str">
        <f>IF(COUNTIF('Paste Here'!$AK$2:AK252,'Paste Here'!AK252)=1,VALUE('Paste Here'!AK252),"")</f>
        <v/>
      </c>
    </row>
    <row r="253" spans="1:42" x14ac:dyDescent="0.3">
      <c r="A253" s="2"/>
      <c r="B253" s="2"/>
      <c r="C253" s="2"/>
      <c r="D253" s="3"/>
      <c r="E253" s="2"/>
      <c r="F253" s="2"/>
      <c r="G253" s="2"/>
      <c r="H253" s="2"/>
      <c r="AA253" s="33" t="str">
        <f t="shared" si="10"/>
        <v/>
      </c>
      <c r="AC253" s="33">
        <f t="shared" si="9"/>
        <v>1048540</v>
      </c>
      <c r="AD253" s="33" t="str">
        <f t="shared" si="11"/>
        <v/>
      </c>
      <c r="AE253" s="33" t="str" cm="1">
        <f t="array" ref="AE253">LOOKUP(2,1/($AB$2:$AB$1000=AB253),$AD$2:$AD$1000)</f>
        <v/>
      </c>
      <c r="AL253" s="39" t="str">
        <f>IF(AK253="","",
   IF(
      COUNTIF('Paste Here'!$AA$2:$AA$1000,AK253)=0,
      "",
      ROUNDDOWN(COUNTIF('Paste Here'!$AA$2:$AA$1000,AK253)/2,0)
   )
)</f>
        <v/>
      </c>
      <c r="AM253" s="39" t="str" cm="1">
        <f t="array" ref="AM253">IFERROR(IF(LOOKUP(2,1/($AA$2:$AA$1000=AK253),$AD$2:$AD$1000)=0,"",
LOOKUP(2,1/($AA$2:$AA$1000=AK253),$AD$2:$AD$1000)),"")</f>
        <v/>
      </c>
      <c r="AO253" s="33" t="str" cm="1">
        <f t="array" ref="AO253">IFERROR(INDEX($AA$2:$AA$282,MATCH(0,COUNTIF('Paste Here'!$AK$1:AK252,$AA$2:$AA$282),0)),"")</f>
        <v/>
      </c>
      <c r="AP253" s="33" t="str">
        <f>IF(COUNTIF('Paste Here'!$AK$2:AK253,'Paste Here'!AK253)=1,VALUE('Paste Here'!AK253),"")</f>
        <v/>
      </c>
    </row>
    <row r="254" spans="1:42" x14ac:dyDescent="0.3">
      <c r="A254"/>
      <c r="B254"/>
      <c r="C254"/>
      <c r="D254" s="4"/>
      <c r="E254"/>
      <c r="F254"/>
      <c r="G254"/>
      <c r="H254"/>
      <c r="AA254" s="33" t="str">
        <f t="shared" si="10"/>
        <v/>
      </c>
      <c r="AC254" s="33">
        <f t="shared" si="9"/>
        <v>1048540</v>
      </c>
      <c r="AD254" s="33" t="str">
        <f t="shared" si="11"/>
        <v/>
      </c>
      <c r="AE254" s="33" t="str" cm="1">
        <f t="array" ref="AE254">LOOKUP(2,1/($AB$2:$AB$1000=AB254),$AD$2:$AD$1000)</f>
        <v/>
      </c>
      <c r="AL254" s="39" t="str">
        <f>IF(AK254="","",
   IF(
      COUNTIF('Paste Here'!$AA$2:$AA$1000,AK254)=0,
      "",
      ROUNDDOWN(COUNTIF('Paste Here'!$AA$2:$AA$1000,AK254)/2,0)
   )
)</f>
        <v/>
      </c>
      <c r="AM254" s="39" t="str" cm="1">
        <f t="array" ref="AM254">IFERROR(IF(LOOKUP(2,1/($AA$2:$AA$1000=AK254),$AD$2:$AD$1000)=0,"",
LOOKUP(2,1/($AA$2:$AA$1000=AK254),$AD$2:$AD$1000)),"")</f>
        <v/>
      </c>
      <c r="AO254" s="33" t="str" cm="1">
        <f t="array" ref="AO254">IFERROR(INDEX($AA$2:$AA$282,MATCH(0,COUNTIF('Paste Here'!$AK$1:AK253,$AA$2:$AA$282),0)),"")</f>
        <v/>
      </c>
      <c r="AP254" s="33" t="str">
        <f>IF(COUNTIF('Paste Here'!$AK$2:AK254,'Paste Here'!AK254)=1,VALUE('Paste Here'!AK254),"")</f>
        <v/>
      </c>
    </row>
    <row r="255" spans="1:42" x14ac:dyDescent="0.3">
      <c r="A255"/>
      <c r="B255"/>
      <c r="C255"/>
      <c r="D255" s="4"/>
      <c r="E255"/>
      <c r="F255"/>
      <c r="G255"/>
      <c r="H255"/>
      <c r="AA255" s="33" t="str">
        <f t="shared" si="10"/>
        <v/>
      </c>
      <c r="AC255" s="33">
        <f t="shared" si="9"/>
        <v>1048540</v>
      </c>
      <c r="AD255" s="33" t="str">
        <f t="shared" si="11"/>
        <v/>
      </c>
      <c r="AE255" s="33" t="str" cm="1">
        <f t="array" ref="AE255">LOOKUP(2,1/($AB$2:$AB$1000=AB255),$AD$2:$AD$1000)</f>
        <v/>
      </c>
      <c r="AL255" s="39" t="str">
        <f>IF(AK255="","",
   IF(
      COUNTIF('Paste Here'!$AA$2:$AA$1000,AK255)=0,
      "",
      ROUNDDOWN(COUNTIF('Paste Here'!$AA$2:$AA$1000,AK255)/2,0)
   )
)</f>
        <v/>
      </c>
      <c r="AM255" s="39" t="str" cm="1">
        <f t="array" ref="AM255">IFERROR(IF(LOOKUP(2,1/($AA$2:$AA$1000=AK255),$AD$2:$AD$1000)=0,"",
LOOKUP(2,1/($AA$2:$AA$1000=AK255),$AD$2:$AD$1000)),"")</f>
        <v/>
      </c>
      <c r="AO255" s="33" t="str" cm="1">
        <f t="array" ref="AO255">IFERROR(INDEX($AA$2:$AA$282,MATCH(0,COUNTIF('Paste Here'!$AK$1:AK254,$AA$2:$AA$282),0)),"")</f>
        <v/>
      </c>
      <c r="AP255" s="33" t="str">
        <f>IF(COUNTIF('Paste Here'!$AK$2:AK255,'Paste Here'!AK255)=1,VALUE('Paste Here'!AK255),"")</f>
        <v/>
      </c>
    </row>
    <row r="256" spans="1:42" x14ac:dyDescent="0.3">
      <c r="A256"/>
      <c r="B256"/>
      <c r="C256"/>
      <c r="D256" s="4"/>
      <c r="E256"/>
      <c r="F256"/>
      <c r="G256"/>
      <c r="H256"/>
      <c r="AA256" s="33" t="str">
        <f t="shared" si="10"/>
        <v/>
      </c>
      <c r="AC256" s="33">
        <f t="shared" si="9"/>
        <v>1048540</v>
      </c>
      <c r="AD256" s="33" t="str">
        <f t="shared" si="11"/>
        <v/>
      </c>
      <c r="AE256" s="33" t="str" cm="1">
        <f t="array" ref="AE256">LOOKUP(2,1/($AB$2:$AB$1000=AB256),$AD$2:$AD$1000)</f>
        <v/>
      </c>
      <c r="AL256" s="39" t="str">
        <f>IF(AK256="","",
   IF(
      COUNTIF('Paste Here'!$AA$2:$AA$1000,AK256)=0,
      "",
      ROUNDDOWN(COUNTIF('Paste Here'!$AA$2:$AA$1000,AK256)/2,0)
   )
)</f>
        <v/>
      </c>
      <c r="AM256" s="39" t="str" cm="1">
        <f t="array" ref="AM256">IFERROR(IF(LOOKUP(2,1/($AA$2:$AA$1000=AK256),$AD$2:$AD$1000)=0,"",
LOOKUP(2,1/($AA$2:$AA$1000=AK256),$AD$2:$AD$1000)),"")</f>
        <v/>
      </c>
      <c r="AO256" s="33" t="str" cm="1">
        <f t="array" ref="AO256">IFERROR(INDEX($AA$2:$AA$282,MATCH(0,COUNTIF('Paste Here'!$AK$1:AK255,$AA$2:$AA$282),0)),"")</f>
        <v/>
      </c>
      <c r="AP256" s="33" t="str">
        <f>IF(COUNTIF('Paste Here'!$AK$2:AK256,'Paste Here'!AK256)=1,VALUE('Paste Here'!AK256),"")</f>
        <v/>
      </c>
    </row>
    <row r="257" spans="1:42" x14ac:dyDescent="0.3">
      <c r="A257"/>
      <c r="B257"/>
      <c r="C257"/>
      <c r="D257" s="4"/>
      <c r="E257"/>
      <c r="F257"/>
      <c r="G257"/>
      <c r="H257"/>
      <c r="AA257" s="33" t="str">
        <f t="shared" si="10"/>
        <v/>
      </c>
      <c r="AC257" s="33">
        <f t="shared" si="9"/>
        <v>1048540</v>
      </c>
      <c r="AD257" s="33" t="str">
        <f t="shared" si="11"/>
        <v/>
      </c>
      <c r="AE257" s="33" t="str" cm="1">
        <f t="array" ref="AE257">LOOKUP(2,1/($AB$2:$AB$1000=AB257),$AD$2:$AD$1000)</f>
        <v/>
      </c>
      <c r="AL257" s="39" t="str">
        <f>IF(AK257="","",
   IF(
      COUNTIF('Paste Here'!$AA$2:$AA$1000,AK257)=0,
      "",
      ROUNDDOWN(COUNTIF('Paste Here'!$AA$2:$AA$1000,AK257)/2,0)
   )
)</f>
        <v/>
      </c>
      <c r="AM257" s="39" t="str" cm="1">
        <f t="array" ref="AM257">IFERROR(IF(LOOKUP(2,1/($AA$2:$AA$1000=AK257),$AD$2:$AD$1000)=0,"",
LOOKUP(2,1/($AA$2:$AA$1000=AK257),$AD$2:$AD$1000)),"")</f>
        <v/>
      </c>
      <c r="AO257" s="33" t="str" cm="1">
        <f t="array" ref="AO257">IFERROR(INDEX($AA$2:$AA$282,MATCH(0,COUNTIF('Paste Here'!$AK$1:AK256,$AA$2:$AA$282),0)),"")</f>
        <v/>
      </c>
      <c r="AP257" s="33" t="str">
        <f>IF(COUNTIF('Paste Here'!$AK$2:AK257,'Paste Here'!AK257)=1,VALUE('Paste Here'!AK257),"")</f>
        <v/>
      </c>
    </row>
    <row r="258" spans="1:42" x14ac:dyDescent="0.3">
      <c r="A258" s="2"/>
      <c r="B258" s="2"/>
      <c r="C258" s="2"/>
      <c r="D258" s="3"/>
      <c r="E258" s="2"/>
      <c r="F258" s="2"/>
      <c r="G258" s="2"/>
      <c r="H258" s="2"/>
      <c r="AA258" s="33" t="str">
        <f t="shared" si="10"/>
        <v/>
      </c>
      <c r="AC258" s="33">
        <f t="shared" ref="AC258:AC321" si="12">COUNTIF($AA:$AA,AA258)</f>
        <v>1048540</v>
      </c>
      <c r="AD258" s="33" t="str">
        <f t="shared" si="11"/>
        <v/>
      </c>
      <c r="AE258" s="33" t="str" cm="1">
        <f t="array" ref="AE258">LOOKUP(2,1/($AB$2:$AB$1000=AB258),$AD$2:$AD$1000)</f>
        <v/>
      </c>
      <c r="AL258" s="39" t="str">
        <f>IF(AK258="","",
   IF(
      COUNTIF('Paste Here'!$AA$2:$AA$1000,AK258)=0,
      "",
      ROUNDDOWN(COUNTIF('Paste Here'!$AA$2:$AA$1000,AK258)/2,0)
   )
)</f>
        <v/>
      </c>
      <c r="AM258" s="39" t="str" cm="1">
        <f t="array" ref="AM258">IFERROR(IF(LOOKUP(2,1/($AA$2:$AA$1000=AK258),$AD$2:$AD$1000)=0,"",
LOOKUP(2,1/($AA$2:$AA$1000=AK258),$AD$2:$AD$1000)),"")</f>
        <v/>
      </c>
      <c r="AO258" s="33" t="str" cm="1">
        <f t="array" ref="AO258">IFERROR(INDEX($AA$2:$AA$282,MATCH(0,COUNTIF('Paste Here'!$AK$1:AK257,$AA$2:$AA$282),0)),"")</f>
        <v/>
      </c>
      <c r="AP258" s="33" t="str">
        <f>IF(COUNTIF('Paste Here'!$AK$2:AK258,'Paste Here'!AK258)=1,VALUE('Paste Here'!AK258),"")</f>
        <v/>
      </c>
    </row>
    <row r="259" spans="1:42" x14ac:dyDescent="0.3">
      <c r="A259" s="2"/>
      <c r="B259" s="2"/>
      <c r="C259" s="2"/>
      <c r="D259" s="3"/>
      <c r="E259" s="2"/>
      <c r="F259" s="2"/>
      <c r="G259" s="2"/>
      <c r="H259" s="2"/>
      <c r="AA259" s="33" t="str">
        <f t="shared" ref="AA259:AA322" si="13">IFERROR(MID(G259,FIND("LR-",G259)+3,FIND("-",G259,FIND("LR-",G259)+3)-FIND("LR-",G259)-3),"")</f>
        <v/>
      </c>
      <c r="AC259" s="33">
        <f t="shared" si="12"/>
        <v>1048540</v>
      </c>
      <c r="AD259" s="33" t="str">
        <f t="shared" ref="AD259:AD322" si="14">IF(F259=0,"",F259)</f>
        <v/>
      </c>
      <c r="AE259" s="33" t="str" cm="1">
        <f t="array" ref="AE259">LOOKUP(2,1/($AB$2:$AB$1000=AB259),$AD$2:$AD$1000)</f>
        <v/>
      </c>
      <c r="AL259" s="39" t="str">
        <f>IF(AK259="","",
   IF(
      COUNTIF('Paste Here'!$AA$2:$AA$1000,AK259)=0,
      "",
      ROUNDDOWN(COUNTIF('Paste Here'!$AA$2:$AA$1000,AK259)/2,0)
   )
)</f>
        <v/>
      </c>
      <c r="AM259" s="39" t="str" cm="1">
        <f t="array" ref="AM259">IFERROR(IF(LOOKUP(2,1/($AA$2:$AA$1000=AK259),$AD$2:$AD$1000)=0,"",
LOOKUP(2,1/($AA$2:$AA$1000=AK259),$AD$2:$AD$1000)),"")</f>
        <v/>
      </c>
      <c r="AO259" s="33" t="str" cm="1">
        <f t="array" ref="AO259">IFERROR(INDEX($AA$2:$AA$282,MATCH(0,COUNTIF('Paste Here'!$AK$1:AK258,$AA$2:$AA$282),0)),"")</f>
        <v/>
      </c>
      <c r="AP259" s="33" t="str">
        <f>IF(COUNTIF('Paste Here'!$AK$2:AK259,'Paste Here'!AK259)=1,VALUE('Paste Here'!AK259),"")</f>
        <v/>
      </c>
    </row>
    <row r="260" spans="1:42" x14ac:dyDescent="0.3">
      <c r="A260" s="2"/>
      <c r="B260" s="2"/>
      <c r="C260" s="2"/>
      <c r="D260" s="3"/>
      <c r="E260" s="2"/>
      <c r="F260" s="2"/>
      <c r="G260" s="2"/>
      <c r="H260" s="2"/>
      <c r="AA260" s="33" t="str">
        <f t="shared" si="13"/>
        <v/>
      </c>
      <c r="AC260" s="33">
        <f t="shared" si="12"/>
        <v>1048540</v>
      </c>
      <c r="AD260" s="33" t="str">
        <f t="shared" si="14"/>
        <v/>
      </c>
      <c r="AE260" s="33" t="str" cm="1">
        <f t="array" ref="AE260">LOOKUP(2,1/($AB$2:$AB$1000=AB260),$AD$2:$AD$1000)</f>
        <v/>
      </c>
      <c r="AL260" s="39" t="str">
        <f>IF(AK260="","",
   IF(
      COUNTIF('Paste Here'!$AA$2:$AA$1000,AK260)=0,
      "",
      ROUNDDOWN(COUNTIF('Paste Here'!$AA$2:$AA$1000,AK260)/2,0)
   )
)</f>
        <v/>
      </c>
      <c r="AM260" s="39" t="str" cm="1">
        <f t="array" ref="AM260">IFERROR(IF(LOOKUP(2,1/($AA$2:$AA$1000=AK260),$AD$2:$AD$1000)=0,"",
LOOKUP(2,1/($AA$2:$AA$1000=AK260),$AD$2:$AD$1000)),"")</f>
        <v/>
      </c>
      <c r="AO260" s="33" t="str" cm="1">
        <f t="array" ref="AO260">IFERROR(INDEX($AA$2:$AA$282,MATCH(0,COUNTIF('Paste Here'!$AK$1:AK259,$AA$2:$AA$282),0)),"")</f>
        <v/>
      </c>
      <c r="AP260" s="33" t="str">
        <f>IF(COUNTIF('Paste Here'!$AK$2:AK260,'Paste Here'!AK260)=1,VALUE('Paste Here'!AK260),"")</f>
        <v/>
      </c>
    </row>
    <row r="261" spans="1:42" x14ac:dyDescent="0.3">
      <c r="A261" s="2"/>
      <c r="B261" s="2"/>
      <c r="C261" s="2"/>
      <c r="D261" s="3"/>
      <c r="E261" s="2"/>
      <c r="F261" s="2"/>
      <c r="G261" s="2"/>
      <c r="H261" s="2"/>
      <c r="AA261" s="33" t="str">
        <f t="shared" si="13"/>
        <v/>
      </c>
      <c r="AC261" s="33">
        <f t="shared" si="12"/>
        <v>1048540</v>
      </c>
      <c r="AD261" s="33" t="str">
        <f t="shared" si="14"/>
        <v/>
      </c>
      <c r="AE261" s="33" t="str" cm="1">
        <f t="array" ref="AE261">LOOKUP(2,1/($AB$2:$AB$1000=AB261),$AD$2:$AD$1000)</f>
        <v/>
      </c>
      <c r="AL261" s="39" t="str">
        <f>IF(AK261="","",
   IF(
      COUNTIF('Paste Here'!$AA$2:$AA$1000,AK261)=0,
      "",
      ROUNDDOWN(COUNTIF('Paste Here'!$AA$2:$AA$1000,AK261)/2,0)
   )
)</f>
        <v/>
      </c>
      <c r="AM261" s="39" t="str" cm="1">
        <f t="array" ref="AM261">IFERROR(IF(LOOKUP(2,1/($AA$2:$AA$1000=AK261),$AD$2:$AD$1000)=0,"",
LOOKUP(2,1/($AA$2:$AA$1000=AK261),$AD$2:$AD$1000)),"")</f>
        <v/>
      </c>
      <c r="AO261" s="33" t="str" cm="1">
        <f t="array" ref="AO261">IFERROR(INDEX($AA$2:$AA$282,MATCH(0,COUNTIF('Paste Here'!$AK$1:AK260,$AA$2:$AA$282),0)),"")</f>
        <v/>
      </c>
      <c r="AP261" s="33" t="str">
        <f>IF(COUNTIF('Paste Here'!$AK$2:AK261,'Paste Here'!AK261)=1,VALUE('Paste Here'!AK261),"")</f>
        <v/>
      </c>
    </row>
    <row r="262" spans="1:42" x14ac:dyDescent="0.3">
      <c r="A262"/>
      <c r="B262"/>
      <c r="C262"/>
      <c r="D262" s="4"/>
      <c r="E262"/>
      <c r="F262"/>
      <c r="G262"/>
      <c r="H262"/>
      <c r="AA262" s="33" t="str">
        <f t="shared" si="13"/>
        <v/>
      </c>
      <c r="AC262" s="33">
        <f t="shared" si="12"/>
        <v>1048540</v>
      </c>
      <c r="AD262" s="33" t="str">
        <f t="shared" si="14"/>
        <v/>
      </c>
      <c r="AE262" s="33" t="str" cm="1">
        <f t="array" ref="AE262">LOOKUP(2,1/($AB$2:$AB$1000=AB262),$AD$2:$AD$1000)</f>
        <v/>
      </c>
      <c r="AL262" s="39" t="str">
        <f>IF(AK262="","",
   IF(
      COUNTIF('Paste Here'!$AA$2:$AA$1000,AK262)=0,
      "",
      ROUNDDOWN(COUNTIF('Paste Here'!$AA$2:$AA$1000,AK262)/2,0)
   )
)</f>
        <v/>
      </c>
      <c r="AM262" s="39" t="str" cm="1">
        <f t="array" ref="AM262">IFERROR(IF(LOOKUP(2,1/($AA$2:$AA$1000=AK262),$AD$2:$AD$1000)=0,"",
LOOKUP(2,1/($AA$2:$AA$1000=AK262),$AD$2:$AD$1000)),"")</f>
        <v/>
      </c>
      <c r="AO262" s="33" t="str" cm="1">
        <f t="array" ref="AO262">IFERROR(INDEX($AA$2:$AA$282,MATCH(0,COUNTIF('Paste Here'!$AK$1:AK261,$AA$2:$AA$282),0)),"")</f>
        <v/>
      </c>
      <c r="AP262" s="33" t="str">
        <f>IF(COUNTIF('Paste Here'!$AK$2:AK262,'Paste Here'!AK262)=1,VALUE('Paste Here'!AK262),"")</f>
        <v/>
      </c>
    </row>
    <row r="263" spans="1:42" x14ac:dyDescent="0.3">
      <c r="A263"/>
      <c r="B263"/>
      <c r="C263"/>
      <c r="D263" s="4"/>
      <c r="E263"/>
      <c r="F263"/>
      <c r="G263"/>
      <c r="H263"/>
      <c r="AA263" s="33" t="str">
        <f t="shared" si="13"/>
        <v/>
      </c>
      <c r="AC263" s="33">
        <f t="shared" si="12"/>
        <v>1048540</v>
      </c>
      <c r="AD263" s="33" t="str">
        <f t="shared" si="14"/>
        <v/>
      </c>
      <c r="AE263" s="33" t="str" cm="1">
        <f t="array" ref="AE263">LOOKUP(2,1/($AB$2:$AB$1000=AB263),$AD$2:$AD$1000)</f>
        <v/>
      </c>
      <c r="AL263" s="39" t="str">
        <f>IF(AK263="","",
   IF(
      COUNTIF('Paste Here'!$AA$2:$AA$1000,AK263)=0,
      "",
      ROUNDDOWN(COUNTIF('Paste Here'!$AA$2:$AA$1000,AK263)/2,0)
   )
)</f>
        <v/>
      </c>
      <c r="AM263" s="39" t="str" cm="1">
        <f t="array" ref="AM263">IFERROR(IF(LOOKUP(2,1/($AA$2:$AA$1000=AK263),$AD$2:$AD$1000)=0,"",
LOOKUP(2,1/($AA$2:$AA$1000=AK263),$AD$2:$AD$1000)),"")</f>
        <v/>
      </c>
      <c r="AO263" s="33" t="str" cm="1">
        <f t="array" ref="AO263">IFERROR(INDEX($AA$2:$AA$282,MATCH(0,COUNTIF('Paste Here'!$AK$1:AK262,$AA$2:$AA$282),0)),"")</f>
        <v/>
      </c>
      <c r="AP263" s="33" t="str">
        <f>IF(COUNTIF('Paste Here'!$AK$2:AK263,'Paste Here'!AK263)=1,VALUE('Paste Here'!AK263),"")</f>
        <v/>
      </c>
    </row>
    <row r="264" spans="1:42" x14ac:dyDescent="0.3">
      <c r="A264"/>
      <c r="B264"/>
      <c r="C264"/>
      <c r="D264" s="4"/>
      <c r="E264"/>
      <c r="F264"/>
      <c r="G264"/>
      <c r="H264"/>
      <c r="AA264" s="33" t="str">
        <f t="shared" si="13"/>
        <v/>
      </c>
      <c r="AC264" s="33">
        <f t="shared" si="12"/>
        <v>1048540</v>
      </c>
      <c r="AD264" s="33" t="str">
        <f t="shared" si="14"/>
        <v/>
      </c>
      <c r="AE264" s="33" t="str" cm="1">
        <f t="array" ref="AE264">LOOKUP(2,1/($AB$2:$AB$1000=AB264),$AD$2:$AD$1000)</f>
        <v/>
      </c>
      <c r="AL264" s="39" t="str">
        <f>IF(AK264="","",
   IF(
      COUNTIF('Paste Here'!$AA$2:$AA$1000,AK264)=0,
      "",
      ROUNDDOWN(COUNTIF('Paste Here'!$AA$2:$AA$1000,AK264)/2,0)
   )
)</f>
        <v/>
      </c>
      <c r="AM264" s="39" t="str" cm="1">
        <f t="array" ref="AM264">IFERROR(IF(LOOKUP(2,1/($AA$2:$AA$1000=AK264),$AD$2:$AD$1000)=0,"",
LOOKUP(2,1/($AA$2:$AA$1000=AK264),$AD$2:$AD$1000)),"")</f>
        <v/>
      </c>
      <c r="AO264" s="33" t="str" cm="1">
        <f t="array" ref="AO264">IFERROR(INDEX($AA$2:$AA$282,MATCH(0,COUNTIF('Paste Here'!$AK$1:AK263,$AA$2:$AA$282),0)),"")</f>
        <v/>
      </c>
      <c r="AP264" s="33" t="str">
        <f>IF(COUNTIF('Paste Here'!$AK$2:AK264,'Paste Here'!AK264)=1,VALUE('Paste Here'!AK264),"")</f>
        <v/>
      </c>
    </row>
    <row r="265" spans="1:42" x14ac:dyDescent="0.3">
      <c r="A265"/>
      <c r="B265"/>
      <c r="C265"/>
      <c r="D265" s="4"/>
      <c r="E265"/>
      <c r="F265"/>
      <c r="G265"/>
      <c r="H265"/>
      <c r="AA265" s="33" t="str">
        <f t="shared" si="13"/>
        <v/>
      </c>
      <c r="AC265" s="33">
        <f t="shared" si="12"/>
        <v>1048540</v>
      </c>
      <c r="AD265" s="33" t="str">
        <f t="shared" si="14"/>
        <v/>
      </c>
      <c r="AE265" s="33" t="str" cm="1">
        <f t="array" ref="AE265">LOOKUP(2,1/($AB$2:$AB$1000=AB265),$AD$2:$AD$1000)</f>
        <v/>
      </c>
      <c r="AL265" s="39" t="str">
        <f>IF(AK265="","",
   IF(
      COUNTIF('Paste Here'!$AA$2:$AA$1000,AK265)=0,
      "",
      ROUNDDOWN(COUNTIF('Paste Here'!$AA$2:$AA$1000,AK265)/2,0)
   )
)</f>
        <v/>
      </c>
      <c r="AM265" s="39" t="str" cm="1">
        <f t="array" ref="AM265">IFERROR(IF(LOOKUP(2,1/($AA$2:$AA$1000=AK265),$AD$2:$AD$1000)=0,"",
LOOKUP(2,1/($AA$2:$AA$1000=AK265),$AD$2:$AD$1000)),"")</f>
        <v/>
      </c>
      <c r="AO265" s="33" t="str" cm="1">
        <f t="array" ref="AO265">IFERROR(INDEX($AA$2:$AA$282,MATCH(0,COUNTIF('Paste Here'!$AK$1:AK264,$AA$2:$AA$282),0)),"")</f>
        <v/>
      </c>
      <c r="AP265" s="33" t="str">
        <f>IF(COUNTIF('Paste Here'!$AK$2:AK265,'Paste Here'!AK265)=1,VALUE('Paste Here'!AK265),"")</f>
        <v/>
      </c>
    </row>
    <row r="266" spans="1:42" x14ac:dyDescent="0.3">
      <c r="A266" s="2"/>
      <c r="B266" s="2"/>
      <c r="C266" s="2"/>
      <c r="D266" s="3"/>
      <c r="E266" s="2"/>
      <c r="F266" s="2"/>
      <c r="G266" s="2"/>
      <c r="H266" s="2"/>
      <c r="AA266" s="33" t="str">
        <f t="shared" si="13"/>
        <v/>
      </c>
      <c r="AC266" s="33">
        <f t="shared" si="12"/>
        <v>1048540</v>
      </c>
      <c r="AD266" s="33" t="str">
        <f t="shared" si="14"/>
        <v/>
      </c>
      <c r="AE266" s="33" t="str" cm="1">
        <f t="array" ref="AE266">LOOKUP(2,1/($AB$2:$AB$1000=AB266),$AD$2:$AD$1000)</f>
        <v/>
      </c>
      <c r="AL266" s="39" t="str">
        <f>IF(AK266="","",
   IF(
      COUNTIF('Paste Here'!$AA$2:$AA$1000,AK266)=0,
      "",
      ROUNDDOWN(COUNTIF('Paste Here'!$AA$2:$AA$1000,AK266)/2,0)
   )
)</f>
        <v/>
      </c>
      <c r="AM266" s="39" t="str" cm="1">
        <f t="array" ref="AM266">IFERROR(IF(LOOKUP(2,1/($AA$2:$AA$1000=AK266),$AD$2:$AD$1000)=0,"",
LOOKUP(2,1/($AA$2:$AA$1000=AK266),$AD$2:$AD$1000)),"")</f>
        <v/>
      </c>
      <c r="AO266" s="33" t="str" cm="1">
        <f t="array" ref="AO266">IFERROR(INDEX($AA$2:$AA$282,MATCH(0,COUNTIF('Paste Here'!$AK$1:AK265,$AA$2:$AA$282),0)),"")</f>
        <v/>
      </c>
      <c r="AP266" s="33" t="str">
        <f>IF(COUNTIF('Paste Here'!$AK$2:AK266,'Paste Here'!AK266)=1,VALUE('Paste Here'!AK266),"")</f>
        <v/>
      </c>
    </row>
    <row r="267" spans="1:42" x14ac:dyDescent="0.3">
      <c r="A267" s="2"/>
      <c r="B267" s="2"/>
      <c r="C267" s="2"/>
      <c r="D267" s="3"/>
      <c r="E267" s="2"/>
      <c r="F267" s="2"/>
      <c r="G267" s="2"/>
      <c r="H267" s="2"/>
      <c r="AA267" s="33" t="str">
        <f t="shared" si="13"/>
        <v/>
      </c>
      <c r="AC267" s="33">
        <f t="shared" si="12"/>
        <v>1048540</v>
      </c>
      <c r="AD267" s="33" t="str">
        <f t="shared" si="14"/>
        <v/>
      </c>
      <c r="AE267" s="33" t="str" cm="1">
        <f t="array" ref="AE267">LOOKUP(2,1/($AB$2:$AB$1000=AB267),$AD$2:$AD$1000)</f>
        <v/>
      </c>
      <c r="AL267" s="39" t="str">
        <f>IF(AK267="","",
   IF(
      COUNTIF('Paste Here'!$AA$2:$AA$1000,AK267)=0,
      "",
      ROUNDDOWN(COUNTIF('Paste Here'!$AA$2:$AA$1000,AK267)/2,0)
   )
)</f>
        <v/>
      </c>
      <c r="AM267" s="39" t="str" cm="1">
        <f t="array" ref="AM267">IFERROR(IF(LOOKUP(2,1/($AA$2:$AA$1000=AK267),$AD$2:$AD$1000)=0,"",
LOOKUP(2,1/($AA$2:$AA$1000=AK267),$AD$2:$AD$1000)),"")</f>
        <v/>
      </c>
      <c r="AO267" s="33" t="str" cm="1">
        <f t="array" ref="AO267">IFERROR(INDEX($AA$2:$AA$282,MATCH(0,COUNTIF('Paste Here'!$AK$1:AK266,$AA$2:$AA$282),0)),"")</f>
        <v/>
      </c>
      <c r="AP267" s="33" t="str">
        <f>IF(COUNTIF('Paste Here'!$AK$2:AK267,'Paste Here'!AK267)=1,VALUE('Paste Here'!AK267),"")</f>
        <v/>
      </c>
    </row>
    <row r="268" spans="1:42" x14ac:dyDescent="0.3">
      <c r="A268" s="2"/>
      <c r="B268" s="2"/>
      <c r="C268" s="2"/>
      <c r="D268" s="3"/>
      <c r="E268" s="2"/>
      <c r="F268" s="2"/>
      <c r="G268" s="2"/>
      <c r="H268" s="2"/>
      <c r="AA268" s="33" t="str">
        <f t="shared" si="13"/>
        <v/>
      </c>
      <c r="AC268" s="33">
        <f t="shared" si="12"/>
        <v>1048540</v>
      </c>
      <c r="AD268" s="33" t="str">
        <f t="shared" si="14"/>
        <v/>
      </c>
      <c r="AE268" s="33" t="str" cm="1">
        <f t="array" ref="AE268">LOOKUP(2,1/($AB$2:$AB$1000=AB268),$AD$2:$AD$1000)</f>
        <v/>
      </c>
      <c r="AL268" s="39" t="str">
        <f>IF(AK268="","",
   IF(
      COUNTIF('Paste Here'!$AA$2:$AA$1000,AK268)=0,
      "",
      ROUNDDOWN(COUNTIF('Paste Here'!$AA$2:$AA$1000,AK268)/2,0)
   )
)</f>
        <v/>
      </c>
      <c r="AM268" s="39" t="str" cm="1">
        <f t="array" ref="AM268">IFERROR(IF(LOOKUP(2,1/($AA$2:$AA$1000=AK268),$AD$2:$AD$1000)=0,"",
LOOKUP(2,1/($AA$2:$AA$1000=AK268),$AD$2:$AD$1000)),"")</f>
        <v/>
      </c>
      <c r="AO268" s="33" t="str" cm="1">
        <f t="array" ref="AO268">IFERROR(INDEX($AA$2:$AA$282,MATCH(0,COUNTIF('Paste Here'!$AK$1:AK267,$AA$2:$AA$282),0)),"")</f>
        <v/>
      </c>
      <c r="AP268" s="33" t="str">
        <f>IF(COUNTIF('Paste Here'!$AK$2:AK268,'Paste Here'!AK268)=1,VALUE('Paste Here'!AK268),"")</f>
        <v/>
      </c>
    </row>
    <row r="269" spans="1:42" x14ac:dyDescent="0.3">
      <c r="A269" s="2"/>
      <c r="B269" s="2"/>
      <c r="C269" s="2"/>
      <c r="D269" s="3"/>
      <c r="E269" s="2"/>
      <c r="F269" s="2"/>
      <c r="G269" s="2"/>
      <c r="H269" s="2"/>
      <c r="AA269" s="33" t="str">
        <f t="shared" si="13"/>
        <v/>
      </c>
      <c r="AC269" s="33">
        <f t="shared" si="12"/>
        <v>1048540</v>
      </c>
      <c r="AD269" s="33" t="str">
        <f t="shared" si="14"/>
        <v/>
      </c>
      <c r="AE269" s="33" t="str" cm="1">
        <f t="array" ref="AE269">LOOKUP(2,1/($AB$2:$AB$1000=AB269),$AD$2:$AD$1000)</f>
        <v/>
      </c>
      <c r="AL269" s="39" t="str">
        <f>IF(AK269="","",
   IF(
      COUNTIF('Paste Here'!$AA$2:$AA$1000,AK269)=0,
      "",
      ROUNDDOWN(COUNTIF('Paste Here'!$AA$2:$AA$1000,AK269)/2,0)
   )
)</f>
        <v/>
      </c>
      <c r="AM269" s="39" t="str" cm="1">
        <f t="array" ref="AM269">IFERROR(IF(LOOKUP(2,1/($AA$2:$AA$1000=AK269),$AD$2:$AD$1000)=0,"",
LOOKUP(2,1/($AA$2:$AA$1000=AK269),$AD$2:$AD$1000)),"")</f>
        <v/>
      </c>
      <c r="AO269" s="33" t="str" cm="1">
        <f t="array" ref="AO269">IFERROR(INDEX($AA$2:$AA$282,MATCH(0,COUNTIF('Paste Here'!$AK$1:AK268,$AA$2:$AA$282),0)),"")</f>
        <v/>
      </c>
      <c r="AP269" s="33" t="str">
        <f>IF(COUNTIF('Paste Here'!$AK$2:AK269,'Paste Here'!AK269)=1,VALUE('Paste Here'!AK269),"")</f>
        <v/>
      </c>
    </row>
    <row r="270" spans="1:42" x14ac:dyDescent="0.3">
      <c r="A270"/>
      <c r="B270"/>
      <c r="C270"/>
      <c r="D270" s="4"/>
      <c r="E270"/>
      <c r="F270"/>
      <c r="G270"/>
      <c r="H270"/>
      <c r="AA270" s="33" t="str">
        <f t="shared" si="13"/>
        <v/>
      </c>
      <c r="AC270" s="33">
        <f t="shared" si="12"/>
        <v>1048540</v>
      </c>
      <c r="AD270" s="33" t="str">
        <f t="shared" si="14"/>
        <v/>
      </c>
      <c r="AE270" s="33" t="str" cm="1">
        <f t="array" ref="AE270">LOOKUP(2,1/($AB$2:$AB$1000=AB270),$AD$2:$AD$1000)</f>
        <v/>
      </c>
      <c r="AL270" s="39" t="str">
        <f>IF(AK270="","",
   IF(
      COUNTIF('Paste Here'!$AA$2:$AA$1000,AK270)=0,
      "",
      ROUNDDOWN(COUNTIF('Paste Here'!$AA$2:$AA$1000,AK270)/2,0)
   )
)</f>
        <v/>
      </c>
      <c r="AM270" s="39" t="str" cm="1">
        <f t="array" ref="AM270">IFERROR(IF(LOOKUP(2,1/($AA$2:$AA$1000=AK270),$AD$2:$AD$1000)=0,"",
LOOKUP(2,1/($AA$2:$AA$1000=AK270),$AD$2:$AD$1000)),"")</f>
        <v/>
      </c>
      <c r="AO270" s="33" t="str" cm="1">
        <f t="array" ref="AO270">IFERROR(INDEX($AA$2:$AA$282,MATCH(0,COUNTIF('Paste Here'!$AK$1:AK269,$AA$2:$AA$282),0)),"")</f>
        <v/>
      </c>
      <c r="AP270" s="33" t="str">
        <f>IF(COUNTIF('Paste Here'!$AK$2:AK270,'Paste Here'!AK270)=1,VALUE('Paste Here'!AK270),"")</f>
        <v/>
      </c>
    </row>
    <row r="271" spans="1:42" x14ac:dyDescent="0.3">
      <c r="A271"/>
      <c r="B271"/>
      <c r="C271"/>
      <c r="D271" s="4"/>
      <c r="E271"/>
      <c r="F271"/>
      <c r="G271"/>
      <c r="H271"/>
      <c r="AA271" s="33" t="str">
        <f t="shared" si="13"/>
        <v/>
      </c>
      <c r="AC271" s="33">
        <f t="shared" si="12"/>
        <v>1048540</v>
      </c>
      <c r="AD271" s="33" t="str">
        <f t="shared" si="14"/>
        <v/>
      </c>
      <c r="AE271" s="33" t="str" cm="1">
        <f t="array" ref="AE271">LOOKUP(2,1/($AB$2:$AB$1000=AB271),$AD$2:$AD$1000)</f>
        <v/>
      </c>
      <c r="AL271" s="39" t="str">
        <f>IF(AK271="","",
   IF(
      COUNTIF('Paste Here'!$AA$2:$AA$1000,AK271)=0,
      "",
      ROUNDDOWN(COUNTIF('Paste Here'!$AA$2:$AA$1000,AK271)/2,0)
   )
)</f>
        <v/>
      </c>
      <c r="AM271" s="39" t="str" cm="1">
        <f t="array" ref="AM271">IFERROR(IF(LOOKUP(2,1/($AA$2:$AA$1000=AK271),$AD$2:$AD$1000)=0,"",
LOOKUP(2,1/($AA$2:$AA$1000=AK271),$AD$2:$AD$1000)),"")</f>
        <v/>
      </c>
      <c r="AO271" s="33" t="str" cm="1">
        <f t="array" ref="AO271">IFERROR(INDEX($AA$2:$AA$282,MATCH(0,COUNTIF('Paste Here'!$AK$1:AK270,$AA$2:$AA$282),0)),"")</f>
        <v/>
      </c>
      <c r="AP271" s="33" t="str">
        <f>IF(COUNTIF('Paste Here'!$AK$2:AK271,'Paste Here'!AK271)=1,VALUE('Paste Here'!AK271),"")</f>
        <v/>
      </c>
    </row>
    <row r="272" spans="1:42" x14ac:dyDescent="0.3">
      <c r="A272"/>
      <c r="B272"/>
      <c r="C272"/>
      <c r="D272" s="4"/>
      <c r="E272"/>
      <c r="F272"/>
      <c r="G272"/>
      <c r="H272"/>
      <c r="AA272" s="33" t="str">
        <f t="shared" si="13"/>
        <v/>
      </c>
      <c r="AC272" s="33">
        <f t="shared" si="12"/>
        <v>1048540</v>
      </c>
      <c r="AD272" s="33" t="str">
        <f t="shared" si="14"/>
        <v/>
      </c>
      <c r="AE272" s="33" t="str" cm="1">
        <f t="array" ref="AE272">LOOKUP(2,1/($AB$2:$AB$1000=AB272),$AD$2:$AD$1000)</f>
        <v/>
      </c>
      <c r="AL272" s="39" t="str">
        <f>IF(AK272="","",
   IF(
      COUNTIF('Paste Here'!$AA$2:$AA$1000,AK272)=0,
      "",
      ROUNDDOWN(COUNTIF('Paste Here'!$AA$2:$AA$1000,AK272)/2,0)
   )
)</f>
        <v/>
      </c>
      <c r="AM272" s="39" t="str" cm="1">
        <f t="array" ref="AM272">IFERROR(IF(LOOKUP(2,1/($AA$2:$AA$1000=AK272),$AD$2:$AD$1000)=0,"",
LOOKUP(2,1/($AA$2:$AA$1000=AK272),$AD$2:$AD$1000)),"")</f>
        <v/>
      </c>
      <c r="AO272" s="33" t="str" cm="1">
        <f t="array" ref="AO272">IFERROR(INDEX($AA$2:$AA$282,MATCH(0,COUNTIF('Paste Here'!$AK$1:AK271,$AA$2:$AA$282),0)),"")</f>
        <v/>
      </c>
      <c r="AP272" s="33" t="str">
        <f>IF(COUNTIF('Paste Here'!$AK$2:AK272,'Paste Here'!AK272)=1,VALUE('Paste Here'!AK272),"")</f>
        <v/>
      </c>
    </row>
    <row r="273" spans="1:42" x14ac:dyDescent="0.3">
      <c r="A273"/>
      <c r="B273"/>
      <c r="C273"/>
      <c r="D273" s="4"/>
      <c r="E273"/>
      <c r="F273"/>
      <c r="G273"/>
      <c r="H273"/>
      <c r="AA273" s="33" t="str">
        <f t="shared" si="13"/>
        <v/>
      </c>
      <c r="AC273" s="33">
        <f t="shared" si="12"/>
        <v>1048540</v>
      </c>
      <c r="AD273" s="33" t="str">
        <f t="shared" si="14"/>
        <v/>
      </c>
      <c r="AE273" s="33" t="str" cm="1">
        <f t="array" ref="AE273">LOOKUP(2,1/($AB$2:$AB$1000=AB273),$AD$2:$AD$1000)</f>
        <v/>
      </c>
      <c r="AL273" s="39" t="str">
        <f>IF(AK273="","",
   IF(
      COUNTIF('Paste Here'!$AA$2:$AA$1000,AK273)=0,
      "",
      ROUNDDOWN(COUNTIF('Paste Here'!$AA$2:$AA$1000,AK273)/2,0)
   )
)</f>
        <v/>
      </c>
      <c r="AM273" s="39" t="str" cm="1">
        <f t="array" ref="AM273">IFERROR(IF(LOOKUP(2,1/($AA$2:$AA$1000=AK273),$AD$2:$AD$1000)=0,"",
LOOKUP(2,1/($AA$2:$AA$1000=AK273),$AD$2:$AD$1000)),"")</f>
        <v/>
      </c>
      <c r="AO273" s="33" t="str" cm="1">
        <f t="array" ref="AO273">IFERROR(INDEX($AA$2:$AA$282,MATCH(0,COUNTIF('Paste Here'!$AK$1:AK272,$AA$2:$AA$282),0)),"")</f>
        <v/>
      </c>
      <c r="AP273" s="33" t="str">
        <f>IF(COUNTIF('Paste Here'!$AK$2:AK273,'Paste Here'!AK273)=1,VALUE('Paste Here'!AK273),"")</f>
        <v/>
      </c>
    </row>
    <row r="274" spans="1:42" x14ac:dyDescent="0.3">
      <c r="A274" s="2"/>
      <c r="B274" s="2"/>
      <c r="C274" s="2"/>
      <c r="D274" s="3"/>
      <c r="E274" s="2"/>
      <c r="F274" s="2"/>
      <c r="G274" s="2"/>
      <c r="H274" s="2"/>
      <c r="AA274" s="33" t="str">
        <f t="shared" si="13"/>
        <v/>
      </c>
      <c r="AC274" s="33">
        <f t="shared" si="12"/>
        <v>1048540</v>
      </c>
      <c r="AD274" s="33" t="str">
        <f t="shared" si="14"/>
        <v/>
      </c>
      <c r="AE274" s="33" t="str" cm="1">
        <f t="array" ref="AE274">LOOKUP(2,1/($AB$2:$AB$1000=AB274),$AD$2:$AD$1000)</f>
        <v/>
      </c>
      <c r="AL274" s="39" t="str">
        <f>IF(AK274="","",
   IF(
      COUNTIF('Paste Here'!$AA$2:$AA$1000,AK274)=0,
      "",
      ROUNDDOWN(COUNTIF('Paste Here'!$AA$2:$AA$1000,AK274)/2,0)
   )
)</f>
        <v/>
      </c>
      <c r="AM274" s="39" t="str" cm="1">
        <f t="array" ref="AM274">IFERROR(IF(LOOKUP(2,1/($AA$2:$AA$1000=AK274),$AD$2:$AD$1000)=0,"",
LOOKUP(2,1/($AA$2:$AA$1000=AK274),$AD$2:$AD$1000)),"")</f>
        <v/>
      </c>
      <c r="AO274" s="33" t="str" cm="1">
        <f t="array" ref="AO274">IFERROR(INDEX($AA$2:$AA$282,MATCH(0,COUNTIF('Paste Here'!$AK$1:AK273,$AA$2:$AA$282),0)),"")</f>
        <v/>
      </c>
      <c r="AP274" s="33" t="str">
        <f>IF(COUNTIF('Paste Here'!$AK$2:AK274,'Paste Here'!AK274)=1,VALUE('Paste Here'!AK274),"")</f>
        <v/>
      </c>
    </row>
    <row r="275" spans="1:42" x14ac:dyDescent="0.3">
      <c r="A275"/>
      <c r="B275"/>
      <c r="C275"/>
      <c r="D275" s="4"/>
      <c r="E275"/>
      <c r="F275"/>
      <c r="G275"/>
      <c r="H275"/>
      <c r="AA275" s="33" t="str">
        <f t="shared" si="13"/>
        <v/>
      </c>
      <c r="AC275" s="33">
        <f t="shared" si="12"/>
        <v>1048540</v>
      </c>
      <c r="AD275" s="33" t="str">
        <f t="shared" si="14"/>
        <v/>
      </c>
      <c r="AE275" s="33" t="str" cm="1">
        <f t="array" ref="AE275">LOOKUP(2,1/($AB$2:$AB$1000=AB275),$AD$2:$AD$1000)</f>
        <v/>
      </c>
      <c r="AL275" s="39" t="str">
        <f>IF(AK275="","",
   IF(
      COUNTIF('Paste Here'!$AA$2:$AA$1000,AK275)=0,
      "",
      ROUNDDOWN(COUNTIF('Paste Here'!$AA$2:$AA$1000,AK275)/2,0)
   )
)</f>
        <v/>
      </c>
      <c r="AM275" s="39" t="str" cm="1">
        <f t="array" ref="AM275">IFERROR(IF(LOOKUP(2,1/($AA$2:$AA$1000=AK275),$AD$2:$AD$1000)=0,"",
LOOKUP(2,1/($AA$2:$AA$1000=AK275),$AD$2:$AD$1000)),"")</f>
        <v/>
      </c>
      <c r="AO275" s="33" t="str" cm="1">
        <f t="array" ref="AO275">IFERROR(INDEX($AA$2:$AA$282,MATCH(0,COUNTIF('Paste Here'!$AK$1:AK274,$AA$2:$AA$282),0)),"")</f>
        <v/>
      </c>
      <c r="AP275" s="33" t="str">
        <f>IF(COUNTIF('Paste Here'!$AK$2:AK275,'Paste Here'!AK275)=1,VALUE('Paste Here'!AK275),"")</f>
        <v/>
      </c>
    </row>
    <row r="276" spans="1:42" x14ac:dyDescent="0.3">
      <c r="A276"/>
      <c r="B276"/>
      <c r="C276"/>
      <c r="D276" s="4"/>
      <c r="E276"/>
      <c r="F276"/>
      <c r="G276"/>
      <c r="H276"/>
      <c r="AA276" s="33" t="str">
        <f t="shared" si="13"/>
        <v/>
      </c>
      <c r="AC276" s="33">
        <f t="shared" si="12"/>
        <v>1048540</v>
      </c>
      <c r="AD276" s="33" t="str">
        <f t="shared" si="14"/>
        <v/>
      </c>
      <c r="AE276" s="33" t="str" cm="1">
        <f t="array" ref="AE276">LOOKUP(2,1/($AB$2:$AB$1000=AB276),$AD$2:$AD$1000)</f>
        <v/>
      </c>
      <c r="AL276" s="39" t="str">
        <f>IF(AK276="","",
   IF(
      COUNTIF('Paste Here'!$AA$2:$AA$1000,AK276)=0,
      "",
      ROUNDDOWN(COUNTIF('Paste Here'!$AA$2:$AA$1000,AK276)/2,0)
   )
)</f>
        <v/>
      </c>
      <c r="AM276" s="39" t="str" cm="1">
        <f t="array" ref="AM276">IFERROR(IF(LOOKUP(2,1/($AA$2:$AA$1000=AK276),$AD$2:$AD$1000)=0,"",
LOOKUP(2,1/($AA$2:$AA$1000=AK276),$AD$2:$AD$1000)),"")</f>
        <v/>
      </c>
      <c r="AO276" s="33" t="str" cm="1">
        <f t="array" ref="AO276">IFERROR(INDEX($AA$2:$AA$282,MATCH(0,COUNTIF('Paste Here'!$AK$1:AK275,$AA$2:$AA$282),0)),"")</f>
        <v/>
      </c>
      <c r="AP276" s="33" t="str">
        <f>IF(COUNTIF('Paste Here'!$AK$2:AK276,'Paste Here'!AK276)=1,VALUE('Paste Here'!AK276),"")</f>
        <v/>
      </c>
    </row>
    <row r="277" spans="1:42" x14ac:dyDescent="0.3">
      <c r="A277"/>
      <c r="B277"/>
      <c r="C277"/>
      <c r="D277" s="4"/>
      <c r="E277"/>
      <c r="F277"/>
      <c r="G277"/>
      <c r="H277"/>
      <c r="AA277" s="33" t="str">
        <f t="shared" si="13"/>
        <v/>
      </c>
      <c r="AC277" s="33">
        <f t="shared" si="12"/>
        <v>1048540</v>
      </c>
      <c r="AD277" s="33" t="str">
        <f t="shared" si="14"/>
        <v/>
      </c>
      <c r="AE277" s="33" t="str" cm="1">
        <f t="array" ref="AE277">LOOKUP(2,1/($AB$2:$AB$1000=AB277),$AD$2:$AD$1000)</f>
        <v/>
      </c>
      <c r="AL277" s="39" t="str">
        <f>IF(AK277="","",
   IF(
      COUNTIF('Paste Here'!$AA$2:$AA$1000,AK277)=0,
      "",
      ROUNDDOWN(COUNTIF('Paste Here'!$AA$2:$AA$1000,AK277)/2,0)
   )
)</f>
        <v/>
      </c>
      <c r="AM277" s="39" t="str" cm="1">
        <f t="array" ref="AM277">IFERROR(IF(LOOKUP(2,1/($AA$2:$AA$1000=AK277),$AD$2:$AD$1000)=0,"",
LOOKUP(2,1/($AA$2:$AA$1000=AK277),$AD$2:$AD$1000)),"")</f>
        <v/>
      </c>
      <c r="AO277" s="33" t="str" cm="1">
        <f t="array" ref="AO277">IFERROR(INDEX($AA$2:$AA$282,MATCH(0,COUNTIF('Paste Here'!$AK$1:AK276,$AA$2:$AA$282),0)),"")</f>
        <v/>
      </c>
      <c r="AP277" s="33" t="str">
        <f>IF(COUNTIF('Paste Here'!$AK$2:AK277,'Paste Here'!AK277)=1,VALUE('Paste Here'!AK277),"")</f>
        <v/>
      </c>
    </row>
    <row r="278" spans="1:42" x14ac:dyDescent="0.3">
      <c r="A278"/>
      <c r="B278"/>
      <c r="C278"/>
      <c r="D278" s="4"/>
      <c r="E278"/>
      <c r="F278"/>
      <c r="G278"/>
      <c r="H278"/>
      <c r="AA278" s="33" t="str">
        <f t="shared" si="13"/>
        <v/>
      </c>
      <c r="AC278" s="33">
        <f t="shared" si="12"/>
        <v>1048540</v>
      </c>
      <c r="AD278" s="33" t="str">
        <f t="shared" si="14"/>
        <v/>
      </c>
      <c r="AE278" s="33" t="str" cm="1">
        <f t="array" ref="AE278">LOOKUP(2,1/($AB$2:$AB$1000=AB278),$AD$2:$AD$1000)</f>
        <v/>
      </c>
      <c r="AL278" s="39" t="str">
        <f>IF(AK278="","",
   IF(
      COUNTIF('Paste Here'!$AA$2:$AA$1000,AK278)=0,
      "",
      ROUNDDOWN(COUNTIF('Paste Here'!$AA$2:$AA$1000,AK278)/2,0)
   )
)</f>
        <v/>
      </c>
      <c r="AM278" s="39" t="str" cm="1">
        <f t="array" ref="AM278">IFERROR(IF(LOOKUP(2,1/($AA$2:$AA$1000=AK278),$AD$2:$AD$1000)=0,"",
LOOKUP(2,1/($AA$2:$AA$1000=AK278),$AD$2:$AD$1000)),"")</f>
        <v/>
      </c>
      <c r="AO278" s="33" t="str" cm="1">
        <f t="array" ref="AO278">IFERROR(INDEX($AA$2:$AA$282,MATCH(0,COUNTIF('Paste Here'!$AK$1:AK277,$AA$2:$AA$282),0)),"")</f>
        <v/>
      </c>
      <c r="AP278" s="33" t="str">
        <f>IF(COUNTIF('Paste Here'!$AK$2:AK278,'Paste Here'!AK278)=1,VALUE('Paste Here'!AK278),"")</f>
        <v/>
      </c>
    </row>
    <row r="279" spans="1:42" x14ac:dyDescent="0.3">
      <c r="A279"/>
      <c r="B279"/>
      <c r="C279"/>
      <c r="D279" s="4"/>
      <c r="E279"/>
      <c r="F279"/>
      <c r="G279"/>
      <c r="H279"/>
      <c r="AA279" s="33" t="str">
        <f t="shared" si="13"/>
        <v/>
      </c>
      <c r="AC279" s="33">
        <f t="shared" si="12"/>
        <v>1048540</v>
      </c>
      <c r="AD279" s="33" t="str">
        <f t="shared" si="14"/>
        <v/>
      </c>
      <c r="AE279" s="33" t="str" cm="1">
        <f t="array" ref="AE279">LOOKUP(2,1/($AB$2:$AB$1000=AB279),$AD$2:$AD$1000)</f>
        <v/>
      </c>
      <c r="AL279" s="39" t="str">
        <f>IF(AK279="","",
   IF(
      COUNTIF('Paste Here'!$AA$2:$AA$1000,AK279)=0,
      "",
      ROUNDDOWN(COUNTIF('Paste Here'!$AA$2:$AA$1000,AK279)/2,0)
   )
)</f>
        <v/>
      </c>
      <c r="AM279" s="39" t="str" cm="1">
        <f t="array" ref="AM279">IFERROR(IF(LOOKUP(2,1/($AA$2:$AA$1000=AK279),$AD$2:$AD$1000)=0,"",
LOOKUP(2,1/($AA$2:$AA$1000=AK279),$AD$2:$AD$1000)),"")</f>
        <v/>
      </c>
      <c r="AO279" s="33" t="str" cm="1">
        <f t="array" ref="AO279">IFERROR(INDEX($AA$2:$AA$282,MATCH(0,COUNTIF('Paste Here'!$AK$1:AK278,$AA$2:$AA$282),0)),"")</f>
        <v/>
      </c>
      <c r="AP279" s="33" t="str">
        <f>IF(COUNTIF('Paste Here'!$AK$2:AK279,'Paste Here'!AK279)=1,VALUE('Paste Here'!AK279),"")</f>
        <v/>
      </c>
    </row>
    <row r="280" spans="1:42" x14ac:dyDescent="0.3">
      <c r="A280"/>
      <c r="B280"/>
      <c r="C280"/>
      <c r="D280" s="4"/>
      <c r="E280"/>
      <c r="F280"/>
      <c r="G280"/>
      <c r="H280"/>
      <c r="AA280" s="33" t="str">
        <f t="shared" si="13"/>
        <v/>
      </c>
      <c r="AC280" s="33">
        <f t="shared" si="12"/>
        <v>1048540</v>
      </c>
      <c r="AD280" s="33" t="str">
        <f t="shared" si="14"/>
        <v/>
      </c>
      <c r="AE280" s="33" t="str" cm="1">
        <f t="array" ref="AE280">LOOKUP(2,1/($AB$2:$AB$1000=AB280),$AD$2:$AD$1000)</f>
        <v/>
      </c>
      <c r="AL280" s="39" t="str">
        <f>IF(AK280="","",
   IF(
      COUNTIF('Paste Here'!$AA$2:$AA$1000,AK280)=0,
      "",
      ROUNDDOWN(COUNTIF('Paste Here'!$AA$2:$AA$1000,AK280)/2,0)
   )
)</f>
        <v/>
      </c>
      <c r="AM280" s="39" t="str" cm="1">
        <f t="array" ref="AM280">IFERROR(IF(LOOKUP(2,1/($AA$2:$AA$1000=AK280),$AD$2:$AD$1000)=0,"",
LOOKUP(2,1/($AA$2:$AA$1000=AK280),$AD$2:$AD$1000)),"")</f>
        <v/>
      </c>
      <c r="AO280" s="33" t="str" cm="1">
        <f t="array" ref="AO280">IFERROR(INDEX($AA$2:$AA$282,MATCH(0,COUNTIF('Paste Here'!$AK$1:AK279,$AA$2:$AA$282),0)),"")</f>
        <v/>
      </c>
      <c r="AP280" s="33" t="str">
        <f>IF(COUNTIF('Paste Here'!$AK$2:AK280,'Paste Here'!AK280)=1,VALUE('Paste Here'!AK280),"")</f>
        <v/>
      </c>
    </row>
    <row r="281" spans="1:42" x14ac:dyDescent="0.3">
      <c r="A281"/>
      <c r="B281"/>
      <c r="C281"/>
      <c r="D281" s="4"/>
      <c r="E281"/>
      <c r="F281"/>
      <c r="G281"/>
      <c r="H281"/>
      <c r="AA281" s="33" t="str">
        <f t="shared" si="13"/>
        <v/>
      </c>
      <c r="AC281" s="33">
        <f t="shared" si="12"/>
        <v>1048540</v>
      </c>
      <c r="AD281" s="33" t="str">
        <f t="shared" si="14"/>
        <v/>
      </c>
      <c r="AE281" s="33" t="str" cm="1">
        <f t="array" ref="AE281">LOOKUP(2,1/($AB$2:$AB$1000=AB281),$AD$2:$AD$1000)</f>
        <v/>
      </c>
      <c r="AL281" s="39" t="str">
        <f>IF(AK281="","",
   IF(
      COUNTIF('Paste Here'!$AA$2:$AA$1000,AK281)=0,
      "",
      ROUNDDOWN(COUNTIF('Paste Here'!$AA$2:$AA$1000,AK281)/2,0)
   )
)</f>
        <v/>
      </c>
      <c r="AM281" s="39" t="str" cm="1">
        <f t="array" ref="AM281">IFERROR(IF(LOOKUP(2,1/($AA$2:$AA$1000=AK281),$AD$2:$AD$1000)=0,"",
LOOKUP(2,1/($AA$2:$AA$1000=AK281),$AD$2:$AD$1000)),"")</f>
        <v/>
      </c>
      <c r="AO281" s="33" t="str" cm="1">
        <f t="array" ref="AO281">IFERROR(INDEX($AA$2:$AA$282,MATCH(0,COUNTIF('Paste Here'!$AK$1:AK280,$AA$2:$AA$282),0)),"")</f>
        <v/>
      </c>
      <c r="AP281" s="33" t="str">
        <f>IF(COUNTIF('Paste Here'!$AK$2:AK281,'Paste Here'!AK281)=1,VALUE('Paste Here'!AK281),"")</f>
        <v/>
      </c>
    </row>
    <row r="282" spans="1:42" x14ac:dyDescent="0.3">
      <c r="A282"/>
      <c r="B282"/>
      <c r="C282"/>
      <c r="D282" s="4"/>
      <c r="E282"/>
      <c r="F282"/>
      <c r="G282"/>
      <c r="H282"/>
      <c r="AA282" s="33" t="str">
        <f t="shared" si="13"/>
        <v/>
      </c>
      <c r="AC282" s="33">
        <f t="shared" si="12"/>
        <v>1048540</v>
      </c>
      <c r="AD282" s="33" t="str">
        <f t="shared" si="14"/>
        <v/>
      </c>
      <c r="AE282" s="33" t="str" cm="1">
        <f t="array" ref="AE282">LOOKUP(2,1/($AB$2:$AB$1000=AB282),$AD$2:$AD$1000)</f>
        <v/>
      </c>
      <c r="AL282" s="39" t="str">
        <f>IF(AK282="","",
   IF(
      COUNTIF('Paste Here'!$AA$2:$AA$1000,AK282)=0,
      "",
      ROUNDDOWN(COUNTIF('Paste Here'!$AA$2:$AA$1000,AK282)/2,0)
   )
)</f>
        <v/>
      </c>
      <c r="AM282" s="39" t="str" cm="1">
        <f t="array" ref="AM282">IFERROR(IF(LOOKUP(2,1/($AA$2:$AA$1000=AK282),$AD$2:$AD$1000)=0,"",
LOOKUP(2,1/($AA$2:$AA$1000=AK282),$AD$2:$AD$1000)),"")</f>
        <v/>
      </c>
      <c r="AO282" s="33" t="str" cm="1">
        <f t="array" ref="AO282">IFERROR(INDEX($AA$2:$AA$282,MATCH(0,COUNTIF('Paste Here'!$AK$1:AK281,$AA$2:$AA$282),0)),"")</f>
        <v/>
      </c>
      <c r="AP282" s="33" t="str">
        <f>IF(COUNTIF('Paste Here'!$AK$2:AK282,'Paste Here'!AK282)=1,VALUE('Paste Here'!AK282),"")</f>
        <v/>
      </c>
    </row>
    <row r="283" spans="1:42" x14ac:dyDescent="0.3">
      <c r="A283"/>
      <c r="B283"/>
      <c r="C283"/>
      <c r="D283" s="4"/>
      <c r="E283"/>
      <c r="F283"/>
      <c r="G283"/>
      <c r="H283"/>
      <c r="AA283" s="33" t="str">
        <f t="shared" si="13"/>
        <v/>
      </c>
      <c r="AC283" s="33">
        <f t="shared" si="12"/>
        <v>1048540</v>
      </c>
      <c r="AD283" s="33" t="str">
        <f t="shared" si="14"/>
        <v/>
      </c>
      <c r="AE283" s="33" t="str" cm="1">
        <f t="array" ref="AE283">LOOKUP(2,1/($AB$2:$AB$1000=AB283),$AD$2:$AD$1000)</f>
        <v/>
      </c>
      <c r="AL283" s="39" t="str">
        <f>IF(AK283="","",
   IF(
      COUNTIF('Paste Here'!$AA$2:$AA$1000,AK283)=0,
      "",
      ROUNDDOWN(COUNTIF('Paste Here'!$AA$2:$AA$1000,AK283)/2,0)
   )
)</f>
        <v/>
      </c>
      <c r="AM283" s="39" t="str" cm="1">
        <f t="array" ref="AM283">IFERROR(IF(LOOKUP(2,1/($AA$2:$AA$1000=AK283),$AD$2:$AD$1000)=0,"",
LOOKUP(2,1/($AA$2:$AA$1000=AK283),$AD$2:$AD$1000)),"")</f>
        <v/>
      </c>
      <c r="AO283" s="33" t="str" cm="1">
        <f t="array" ref="AO283">IFERROR(INDEX($AA$2:$AA$282,MATCH(0,COUNTIF('Paste Here'!$AK$1:AK282,$AA$2:$AA$282),0)),"")</f>
        <v/>
      </c>
      <c r="AP283" s="33" t="str">
        <f>IF(COUNTIF('Paste Here'!$AK$2:AK283,'Paste Here'!AK283)=1,VALUE('Paste Here'!AK283),"")</f>
        <v/>
      </c>
    </row>
    <row r="284" spans="1:42" x14ac:dyDescent="0.3">
      <c r="A284"/>
      <c r="B284"/>
      <c r="C284"/>
      <c r="D284" s="4"/>
      <c r="E284"/>
      <c r="F284"/>
      <c r="G284"/>
      <c r="H284"/>
      <c r="AA284" s="33" t="str">
        <f t="shared" si="13"/>
        <v/>
      </c>
      <c r="AC284" s="33">
        <f t="shared" si="12"/>
        <v>1048540</v>
      </c>
      <c r="AD284" s="33" t="str">
        <f t="shared" si="14"/>
        <v/>
      </c>
      <c r="AE284" s="33" t="str" cm="1">
        <f t="array" ref="AE284">LOOKUP(2,1/($AB$2:$AB$1000=AB284),$AD$2:$AD$1000)</f>
        <v/>
      </c>
      <c r="AL284" s="39" t="str">
        <f>IF(AK284="","",
   IF(
      COUNTIF('Paste Here'!$AA$2:$AA$1000,AK284)=0,
      "",
      ROUNDDOWN(COUNTIF('Paste Here'!$AA$2:$AA$1000,AK284)/2,0)
   )
)</f>
        <v/>
      </c>
      <c r="AM284" s="39" t="str" cm="1">
        <f t="array" ref="AM284">IFERROR(IF(LOOKUP(2,1/($AA$2:$AA$1000=AK284),$AD$2:$AD$1000)=0,"",
LOOKUP(2,1/($AA$2:$AA$1000=AK284),$AD$2:$AD$1000)),"")</f>
        <v/>
      </c>
      <c r="AO284" s="33" t="str" cm="1">
        <f t="array" ref="AO284">IFERROR(INDEX($AA$2:$AA$282,MATCH(0,COUNTIF('Paste Here'!$AK$1:AK283,$AA$2:$AA$282),0)),"")</f>
        <v/>
      </c>
      <c r="AP284" s="33" t="str">
        <f>IF(COUNTIF('Paste Here'!$AK$2:AK284,'Paste Here'!AK284)=1,VALUE('Paste Here'!AK284),"")</f>
        <v/>
      </c>
    </row>
    <row r="285" spans="1:42" x14ac:dyDescent="0.3">
      <c r="A285"/>
      <c r="B285"/>
      <c r="C285"/>
      <c r="D285" s="4"/>
      <c r="E285"/>
      <c r="F285"/>
      <c r="G285"/>
      <c r="H285"/>
      <c r="AA285" s="33" t="str">
        <f t="shared" si="13"/>
        <v/>
      </c>
      <c r="AC285" s="33">
        <f t="shared" si="12"/>
        <v>1048540</v>
      </c>
      <c r="AD285" s="33" t="str">
        <f t="shared" si="14"/>
        <v/>
      </c>
      <c r="AE285" s="33" t="str" cm="1">
        <f t="array" ref="AE285">LOOKUP(2,1/($AB$2:$AB$1000=AB285),$AD$2:$AD$1000)</f>
        <v/>
      </c>
      <c r="AL285" s="39" t="str">
        <f>IF(AK285="","",
   IF(
      COUNTIF('Paste Here'!$AA$2:$AA$1000,AK285)=0,
      "",
      ROUNDDOWN(COUNTIF('Paste Here'!$AA$2:$AA$1000,AK285)/2,0)
   )
)</f>
        <v/>
      </c>
      <c r="AM285" s="39" t="str" cm="1">
        <f t="array" ref="AM285">IFERROR(IF(LOOKUP(2,1/($AA$2:$AA$1000=AK285),$AD$2:$AD$1000)=0,"",
LOOKUP(2,1/($AA$2:$AA$1000=AK285),$AD$2:$AD$1000)),"")</f>
        <v/>
      </c>
      <c r="AO285" s="33" t="str" cm="1">
        <f t="array" ref="AO285">IFERROR(INDEX($AA$2:$AA$282,MATCH(0,COUNTIF('Paste Here'!$AK$1:AK284,$AA$2:$AA$282),0)),"")</f>
        <v/>
      </c>
      <c r="AP285" s="33" t="str">
        <f>IF(COUNTIF('Paste Here'!$AK$2:AK285,'Paste Here'!AK285)=1,VALUE('Paste Here'!AK285),"")</f>
        <v/>
      </c>
    </row>
    <row r="286" spans="1:42" x14ac:dyDescent="0.3">
      <c r="A286"/>
      <c r="B286"/>
      <c r="C286"/>
      <c r="D286" s="4"/>
      <c r="E286"/>
      <c r="F286"/>
      <c r="G286"/>
      <c r="H286"/>
      <c r="AA286" s="33" t="str">
        <f t="shared" si="13"/>
        <v/>
      </c>
      <c r="AC286" s="33">
        <f t="shared" si="12"/>
        <v>1048540</v>
      </c>
      <c r="AD286" s="33" t="str">
        <f t="shared" si="14"/>
        <v/>
      </c>
      <c r="AE286" s="33" t="str" cm="1">
        <f t="array" ref="AE286">LOOKUP(2,1/($AB$2:$AB$1000=AB286),$AD$2:$AD$1000)</f>
        <v/>
      </c>
      <c r="AL286" s="39" t="str">
        <f>IF(AK286="","",
   IF(
      COUNTIF('Paste Here'!$AA$2:$AA$1000,AK286)=0,
      "",
      ROUNDDOWN(COUNTIF('Paste Here'!$AA$2:$AA$1000,AK286)/2,0)
   )
)</f>
        <v/>
      </c>
      <c r="AM286" s="39" t="str" cm="1">
        <f t="array" ref="AM286">IFERROR(IF(LOOKUP(2,1/($AA$2:$AA$1000=AK286),$AD$2:$AD$1000)=0,"",
LOOKUP(2,1/($AA$2:$AA$1000=AK286),$AD$2:$AD$1000)),"")</f>
        <v/>
      </c>
      <c r="AO286" s="33" t="str" cm="1">
        <f t="array" ref="AO286">IFERROR(INDEX($AA$2:$AA$282,MATCH(0,COUNTIF('Paste Here'!$AK$1:AK285,$AA$2:$AA$282),0)),"")</f>
        <v/>
      </c>
      <c r="AP286" s="33" t="str">
        <f>IF(COUNTIF('Paste Here'!$AK$2:AK286,'Paste Here'!AK286)=1,VALUE('Paste Here'!AK286),"")</f>
        <v/>
      </c>
    </row>
    <row r="287" spans="1:42" x14ac:dyDescent="0.3">
      <c r="A287"/>
      <c r="B287"/>
      <c r="C287"/>
      <c r="D287" s="4"/>
      <c r="E287"/>
      <c r="F287"/>
      <c r="G287"/>
      <c r="H287"/>
      <c r="AA287" s="33" t="str">
        <f t="shared" si="13"/>
        <v/>
      </c>
      <c r="AC287" s="33">
        <f t="shared" si="12"/>
        <v>1048540</v>
      </c>
      <c r="AD287" s="33" t="str">
        <f t="shared" si="14"/>
        <v/>
      </c>
      <c r="AE287" s="33" t="str" cm="1">
        <f t="array" ref="AE287">LOOKUP(2,1/($AB$2:$AB$1000=AB287),$AD$2:$AD$1000)</f>
        <v/>
      </c>
      <c r="AL287" s="39" t="str">
        <f>IF(AK287="","",
   IF(
      COUNTIF('Paste Here'!$AA$2:$AA$1000,AK287)=0,
      "",
      ROUNDDOWN(COUNTIF('Paste Here'!$AA$2:$AA$1000,AK287)/2,0)
   )
)</f>
        <v/>
      </c>
      <c r="AM287" s="39" t="str" cm="1">
        <f t="array" ref="AM287">IFERROR(IF(LOOKUP(2,1/($AA$2:$AA$1000=AK287),$AD$2:$AD$1000)=0,"",
LOOKUP(2,1/($AA$2:$AA$1000=AK287),$AD$2:$AD$1000)),"")</f>
        <v/>
      </c>
      <c r="AO287" s="33" t="str" cm="1">
        <f t="array" ref="AO287">IFERROR(INDEX($AA$2:$AA$282,MATCH(0,COUNTIF('Paste Here'!$AK$1:AK286,$AA$2:$AA$282),0)),"")</f>
        <v/>
      </c>
      <c r="AP287" s="33" t="str">
        <f>IF(COUNTIF('Paste Here'!$AK$2:AK287,'Paste Here'!AK287)=1,VALUE('Paste Here'!AK287),"")</f>
        <v/>
      </c>
    </row>
    <row r="288" spans="1:42" x14ac:dyDescent="0.3">
      <c r="A288"/>
      <c r="B288"/>
      <c r="C288"/>
      <c r="D288" s="4"/>
      <c r="E288"/>
      <c r="F288"/>
      <c r="G288"/>
      <c r="H288"/>
      <c r="AA288" s="33" t="str">
        <f t="shared" si="13"/>
        <v/>
      </c>
      <c r="AC288" s="33">
        <f t="shared" si="12"/>
        <v>1048540</v>
      </c>
      <c r="AD288" s="33" t="str">
        <f t="shared" si="14"/>
        <v/>
      </c>
      <c r="AE288" s="33" t="str" cm="1">
        <f t="array" ref="AE288">LOOKUP(2,1/($AB$2:$AB$1000=AB288),$AD$2:$AD$1000)</f>
        <v/>
      </c>
      <c r="AL288" s="39" t="str">
        <f>IF(AK288="","",
   IF(
      COUNTIF('Paste Here'!$AA$2:$AA$1000,AK288)=0,
      "",
      ROUNDDOWN(COUNTIF('Paste Here'!$AA$2:$AA$1000,AK288)/2,0)
   )
)</f>
        <v/>
      </c>
      <c r="AM288" s="39" t="str" cm="1">
        <f t="array" ref="AM288">IFERROR(IF(LOOKUP(2,1/($AA$2:$AA$1000=AK288),$AD$2:$AD$1000)=0,"",
LOOKUP(2,1/($AA$2:$AA$1000=AK288),$AD$2:$AD$1000)),"")</f>
        <v/>
      </c>
      <c r="AO288" s="33" t="str" cm="1">
        <f t="array" ref="AO288">IFERROR(INDEX($AA$2:$AA$282,MATCH(0,COUNTIF('Paste Here'!$AK$1:AK287,$AA$2:$AA$282),0)),"")</f>
        <v/>
      </c>
      <c r="AP288" s="33" t="str">
        <f>IF(COUNTIF('Paste Here'!$AK$2:AK288,'Paste Here'!AK288)=1,VALUE('Paste Here'!AK288),"")</f>
        <v/>
      </c>
    </row>
    <row r="289" spans="1:42" x14ac:dyDescent="0.3">
      <c r="A289"/>
      <c r="B289"/>
      <c r="C289"/>
      <c r="D289" s="4"/>
      <c r="E289"/>
      <c r="F289"/>
      <c r="G289"/>
      <c r="H289"/>
      <c r="AA289" s="33" t="str">
        <f t="shared" si="13"/>
        <v/>
      </c>
      <c r="AC289" s="33">
        <f t="shared" si="12"/>
        <v>1048540</v>
      </c>
      <c r="AD289" s="33" t="str">
        <f t="shared" si="14"/>
        <v/>
      </c>
      <c r="AE289" s="33" t="str" cm="1">
        <f t="array" ref="AE289">LOOKUP(2,1/($AB$2:$AB$1000=AB289),$AD$2:$AD$1000)</f>
        <v/>
      </c>
      <c r="AL289" s="39" t="str">
        <f>IF(AK289="","",
   IF(
      COUNTIF('Paste Here'!$AA$2:$AA$1000,AK289)=0,
      "",
      ROUNDDOWN(COUNTIF('Paste Here'!$AA$2:$AA$1000,AK289)/2,0)
   )
)</f>
        <v/>
      </c>
      <c r="AM289" s="39" t="str" cm="1">
        <f t="array" ref="AM289">IFERROR(IF(LOOKUP(2,1/($AA$2:$AA$1000=AK289),$AD$2:$AD$1000)=0,"",
LOOKUP(2,1/($AA$2:$AA$1000=AK289),$AD$2:$AD$1000)),"")</f>
        <v/>
      </c>
      <c r="AO289" s="33" t="str" cm="1">
        <f t="array" ref="AO289">IFERROR(INDEX($AA$2:$AA$282,MATCH(0,COUNTIF('Paste Here'!$AK$1:AK288,$AA$2:$AA$282),0)),"")</f>
        <v/>
      </c>
      <c r="AP289" s="33" t="str">
        <f>IF(COUNTIF('Paste Here'!$AK$2:AK289,'Paste Here'!AK289)=1,VALUE('Paste Here'!AK289),"")</f>
        <v/>
      </c>
    </row>
    <row r="290" spans="1:42" x14ac:dyDescent="0.3">
      <c r="A290"/>
      <c r="B290"/>
      <c r="C290"/>
      <c r="D290" s="4"/>
      <c r="E290"/>
      <c r="F290"/>
      <c r="G290"/>
      <c r="H290"/>
      <c r="AA290" s="33" t="str">
        <f t="shared" si="13"/>
        <v/>
      </c>
      <c r="AC290" s="33">
        <f t="shared" si="12"/>
        <v>1048540</v>
      </c>
      <c r="AD290" s="33" t="str">
        <f t="shared" si="14"/>
        <v/>
      </c>
      <c r="AE290" s="33" t="str" cm="1">
        <f t="array" ref="AE290">LOOKUP(2,1/($AB$2:$AB$1000=AB290),$AD$2:$AD$1000)</f>
        <v/>
      </c>
      <c r="AL290" s="39" t="str">
        <f>IF(AK290="","",
   IF(
      COUNTIF('Paste Here'!$AA$2:$AA$1000,AK290)=0,
      "",
      ROUNDDOWN(COUNTIF('Paste Here'!$AA$2:$AA$1000,AK290)/2,0)
   )
)</f>
        <v/>
      </c>
      <c r="AM290" s="39" t="str" cm="1">
        <f t="array" ref="AM290">IFERROR(IF(LOOKUP(2,1/($AA$2:$AA$1000=AK290),$AD$2:$AD$1000)=0,"",
LOOKUP(2,1/($AA$2:$AA$1000=AK290),$AD$2:$AD$1000)),"")</f>
        <v/>
      </c>
      <c r="AO290" s="33" t="str" cm="1">
        <f t="array" ref="AO290">IFERROR(INDEX($AA$2:$AA$282,MATCH(0,COUNTIF('Paste Here'!$AK$1:AK289,$AA$2:$AA$282),0)),"")</f>
        <v/>
      </c>
      <c r="AP290" s="33" t="str">
        <f>IF(COUNTIF('Paste Here'!$AK$2:AK290,'Paste Here'!AK290)=1,VALUE('Paste Here'!AK290),"")</f>
        <v/>
      </c>
    </row>
    <row r="291" spans="1:42" x14ac:dyDescent="0.3">
      <c r="A291"/>
      <c r="B291"/>
      <c r="C291"/>
      <c r="D291" s="4"/>
      <c r="E291"/>
      <c r="F291"/>
      <c r="G291"/>
      <c r="H291"/>
      <c r="AA291" s="33" t="str">
        <f t="shared" si="13"/>
        <v/>
      </c>
      <c r="AC291" s="33">
        <f t="shared" si="12"/>
        <v>1048540</v>
      </c>
      <c r="AD291" s="33" t="str">
        <f t="shared" si="14"/>
        <v/>
      </c>
      <c r="AE291" s="33" t="str" cm="1">
        <f t="array" ref="AE291">LOOKUP(2,1/($AB$2:$AB$1000=AB291),$AD$2:$AD$1000)</f>
        <v/>
      </c>
      <c r="AL291" s="39" t="str">
        <f>IF(AK291="","",
   IF(
      COUNTIF('Paste Here'!$AA$2:$AA$1000,AK291)=0,
      "",
      ROUNDDOWN(COUNTIF('Paste Here'!$AA$2:$AA$1000,AK291)/2,0)
   )
)</f>
        <v/>
      </c>
      <c r="AM291" s="39" t="str" cm="1">
        <f t="array" ref="AM291">IFERROR(IF(LOOKUP(2,1/($AA$2:$AA$1000=AK291),$AD$2:$AD$1000)=0,"",
LOOKUP(2,1/($AA$2:$AA$1000=AK291),$AD$2:$AD$1000)),"")</f>
        <v/>
      </c>
      <c r="AO291" s="33" t="str" cm="1">
        <f t="array" ref="AO291">IFERROR(INDEX($AA$2:$AA$282,MATCH(0,COUNTIF('Paste Here'!$AK$1:AK290,$AA$2:$AA$282),0)),"")</f>
        <v/>
      </c>
      <c r="AP291" s="33" t="str">
        <f>IF(COUNTIF('Paste Here'!$AK$2:AK291,'Paste Here'!AK291)=1,VALUE('Paste Here'!AK291),"")</f>
        <v/>
      </c>
    </row>
    <row r="292" spans="1:42" x14ac:dyDescent="0.3">
      <c r="A292"/>
      <c r="B292"/>
      <c r="C292"/>
      <c r="D292" s="4"/>
      <c r="E292"/>
      <c r="F292"/>
      <c r="G292"/>
      <c r="H292"/>
      <c r="AA292" s="33" t="str">
        <f t="shared" si="13"/>
        <v/>
      </c>
      <c r="AC292" s="33">
        <f t="shared" si="12"/>
        <v>1048540</v>
      </c>
      <c r="AD292" s="33" t="str">
        <f t="shared" si="14"/>
        <v/>
      </c>
      <c r="AE292" s="33" t="str" cm="1">
        <f t="array" ref="AE292">LOOKUP(2,1/($AB$2:$AB$1000=AB292),$AD$2:$AD$1000)</f>
        <v/>
      </c>
      <c r="AL292" s="39" t="str">
        <f>IF(AK292="","",
   IF(
      COUNTIF('Paste Here'!$AA$2:$AA$1000,AK292)=0,
      "",
      ROUNDDOWN(COUNTIF('Paste Here'!$AA$2:$AA$1000,AK292)/2,0)
   )
)</f>
        <v/>
      </c>
      <c r="AM292" s="39" t="str" cm="1">
        <f t="array" ref="AM292">IFERROR(IF(LOOKUP(2,1/($AA$2:$AA$1000=AK292),$AD$2:$AD$1000)=0,"",
LOOKUP(2,1/($AA$2:$AA$1000=AK292),$AD$2:$AD$1000)),"")</f>
        <v/>
      </c>
      <c r="AO292" s="33" t="str" cm="1">
        <f t="array" ref="AO292">IFERROR(INDEX($AA$2:$AA$282,MATCH(0,COUNTIF('Paste Here'!$AK$1:AK291,$AA$2:$AA$282),0)),"")</f>
        <v/>
      </c>
      <c r="AP292" s="33" t="str">
        <f>IF(COUNTIF('Paste Here'!$AK$2:AK292,'Paste Here'!AK292)=1,VALUE('Paste Here'!AK292),"")</f>
        <v/>
      </c>
    </row>
    <row r="293" spans="1:42" x14ac:dyDescent="0.3">
      <c r="A293"/>
      <c r="B293"/>
      <c r="C293"/>
      <c r="D293" s="4"/>
      <c r="E293"/>
      <c r="F293"/>
      <c r="G293"/>
      <c r="H293"/>
      <c r="AA293" s="33" t="str">
        <f t="shared" si="13"/>
        <v/>
      </c>
      <c r="AC293" s="33">
        <f t="shared" si="12"/>
        <v>1048540</v>
      </c>
      <c r="AD293" s="33" t="str">
        <f t="shared" si="14"/>
        <v/>
      </c>
      <c r="AE293" s="33" t="str" cm="1">
        <f t="array" ref="AE293">LOOKUP(2,1/($AB$2:$AB$1000=AB293),$AD$2:$AD$1000)</f>
        <v/>
      </c>
      <c r="AL293" s="39" t="str">
        <f>IF(AK293="","",
   IF(
      COUNTIF('Paste Here'!$AA$2:$AA$1000,AK293)=0,
      "",
      ROUNDDOWN(COUNTIF('Paste Here'!$AA$2:$AA$1000,AK293)/2,0)
   )
)</f>
        <v/>
      </c>
      <c r="AM293" s="39" t="str" cm="1">
        <f t="array" ref="AM293">IFERROR(IF(LOOKUP(2,1/($AA$2:$AA$1000=AK293),$AD$2:$AD$1000)=0,"",
LOOKUP(2,1/($AA$2:$AA$1000=AK293),$AD$2:$AD$1000)),"")</f>
        <v/>
      </c>
      <c r="AO293" s="33" t="str" cm="1">
        <f t="array" ref="AO293">IFERROR(INDEX($AA$2:$AA$282,MATCH(0,COUNTIF('Paste Here'!$AK$1:AK292,$AA$2:$AA$282),0)),"")</f>
        <v/>
      </c>
      <c r="AP293" s="33" t="str">
        <f>IF(COUNTIF('Paste Here'!$AK$2:AK293,'Paste Here'!AK293)=1,VALUE('Paste Here'!AK293),"")</f>
        <v/>
      </c>
    </row>
    <row r="294" spans="1:42" x14ac:dyDescent="0.3">
      <c r="A294" s="2"/>
      <c r="B294" s="2"/>
      <c r="C294" s="2"/>
      <c r="D294" s="3"/>
      <c r="E294" s="2"/>
      <c r="F294" s="2"/>
      <c r="G294" s="2"/>
      <c r="H294" s="2"/>
      <c r="AA294" s="33" t="str">
        <f t="shared" si="13"/>
        <v/>
      </c>
      <c r="AC294" s="33">
        <f t="shared" si="12"/>
        <v>1048540</v>
      </c>
      <c r="AD294" s="33" t="str">
        <f t="shared" si="14"/>
        <v/>
      </c>
      <c r="AE294" s="33" t="str" cm="1">
        <f t="array" ref="AE294">LOOKUP(2,1/($AB$2:$AB$1000=AB294),$AD$2:$AD$1000)</f>
        <v/>
      </c>
      <c r="AL294" s="39" t="str">
        <f>IF(AK294="","",
   IF(
      COUNTIF('Paste Here'!$AA$2:$AA$1000,AK294)=0,
      "",
      ROUNDDOWN(COUNTIF('Paste Here'!$AA$2:$AA$1000,AK294)/2,0)
   )
)</f>
        <v/>
      </c>
      <c r="AM294" s="39" t="str" cm="1">
        <f t="array" ref="AM294">IFERROR(IF(LOOKUP(2,1/($AA$2:$AA$1000=AK294),$AD$2:$AD$1000)=0,"",
LOOKUP(2,1/($AA$2:$AA$1000=AK294),$AD$2:$AD$1000)),"")</f>
        <v/>
      </c>
      <c r="AO294" s="33" t="str" cm="1">
        <f t="array" ref="AO294">IFERROR(INDEX($AA$2:$AA$282,MATCH(0,COUNTIF('Paste Here'!$AK$1:AK293,$AA$2:$AA$282),0)),"")</f>
        <v/>
      </c>
      <c r="AP294" s="33" t="str">
        <f>IF(COUNTIF('Paste Here'!$AK$2:AK294,'Paste Here'!AK294)=1,VALUE('Paste Here'!AK294),"")</f>
        <v/>
      </c>
    </row>
    <row r="295" spans="1:42" x14ac:dyDescent="0.3">
      <c r="A295" s="2"/>
      <c r="B295" s="2"/>
      <c r="C295" s="2"/>
      <c r="D295" s="3"/>
      <c r="E295" s="2"/>
      <c r="F295" s="2"/>
      <c r="G295" s="2"/>
      <c r="H295" s="2"/>
      <c r="AA295" s="33" t="str">
        <f t="shared" si="13"/>
        <v/>
      </c>
      <c r="AC295" s="33">
        <f t="shared" si="12"/>
        <v>1048540</v>
      </c>
      <c r="AD295" s="33" t="str">
        <f t="shared" si="14"/>
        <v/>
      </c>
      <c r="AE295" s="33" t="str" cm="1">
        <f t="array" ref="AE295">LOOKUP(2,1/($AB$2:$AB$1000=AB295),$AD$2:$AD$1000)</f>
        <v/>
      </c>
      <c r="AL295" s="39" t="str">
        <f>IF(AK295="","",
   IF(
      COUNTIF('Paste Here'!$AA$2:$AA$1000,AK295)=0,
      "",
      ROUNDDOWN(COUNTIF('Paste Here'!$AA$2:$AA$1000,AK295)/2,0)
   )
)</f>
        <v/>
      </c>
      <c r="AM295" s="39" t="str" cm="1">
        <f t="array" ref="AM295">IFERROR(IF(LOOKUP(2,1/($AA$2:$AA$1000=AK295),$AD$2:$AD$1000)=0,"",
LOOKUP(2,1/($AA$2:$AA$1000=AK295),$AD$2:$AD$1000)),"")</f>
        <v/>
      </c>
      <c r="AO295" s="33" t="str" cm="1">
        <f t="array" ref="AO295">IFERROR(INDEX($AA$2:$AA$282,MATCH(0,COUNTIF('Paste Here'!$AK$1:AK294,$AA$2:$AA$282),0)),"")</f>
        <v/>
      </c>
      <c r="AP295" s="33" t="str">
        <f>IF(COUNTIF('Paste Here'!$AK$2:AK295,'Paste Here'!AK295)=1,VALUE('Paste Here'!AK295),"")</f>
        <v/>
      </c>
    </row>
    <row r="296" spans="1:42" x14ac:dyDescent="0.3">
      <c r="A296" s="2"/>
      <c r="B296" s="2"/>
      <c r="C296" s="2"/>
      <c r="D296" s="3"/>
      <c r="E296" s="2"/>
      <c r="F296" s="2"/>
      <c r="G296" s="2"/>
      <c r="H296" s="2"/>
      <c r="AA296" s="33" t="str">
        <f t="shared" si="13"/>
        <v/>
      </c>
      <c r="AC296" s="33">
        <f t="shared" si="12"/>
        <v>1048540</v>
      </c>
      <c r="AD296" s="33" t="str">
        <f t="shared" si="14"/>
        <v/>
      </c>
      <c r="AE296" s="33" t="str" cm="1">
        <f t="array" ref="AE296">LOOKUP(2,1/($AB$2:$AB$1000=AB296),$AD$2:$AD$1000)</f>
        <v/>
      </c>
      <c r="AL296" s="39" t="str">
        <f>IF(AK296="","",
   IF(
      COUNTIF('Paste Here'!$AA$2:$AA$1000,AK296)=0,
      "",
      ROUNDDOWN(COUNTIF('Paste Here'!$AA$2:$AA$1000,AK296)/2,0)
   )
)</f>
        <v/>
      </c>
      <c r="AM296" s="39" t="str" cm="1">
        <f t="array" ref="AM296">IFERROR(IF(LOOKUP(2,1/($AA$2:$AA$1000=AK296),$AD$2:$AD$1000)=0,"",
LOOKUP(2,1/($AA$2:$AA$1000=AK296),$AD$2:$AD$1000)),"")</f>
        <v/>
      </c>
      <c r="AO296" s="33" t="str" cm="1">
        <f t="array" ref="AO296">IFERROR(INDEX($AA$2:$AA$282,MATCH(0,COUNTIF('Paste Here'!$AK$1:AK295,$AA$2:$AA$282),0)),"")</f>
        <v/>
      </c>
      <c r="AP296" s="33" t="str">
        <f>IF(COUNTIF('Paste Here'!$AK$2:AK296,'Paste Here'!AK296)=1,VALUE('Paste Here'!AK296),"")</f>
        <v/>
      </c>
    </row>
    <row r="297" spans="1:42" x14ac:dyDescent="0.3">
      <c r="A297" s="2"/>
      <c r="B297" s="2"/>
      <c r="C297" s="2"/>
      <c r="D297" s="3"/>
      <c r="E297" s="2"/>
      <c r="F297" s="2"/>
      <c r="G297" s="2"/>
      <c r="H297" s="2"/>
      <c r="AA297" s="33" t="str">
        <f t="shared" si="13"/>
        <v/>
      </c>
      <c r="AC297" s="33">
        <f t="shared" si="12"/>
        <v>1048540</v>
      </c>
      <c r="AD297" s="33" t="str">
        <f t="shared" si="14"/>
        <v/>
      </c>
      <c r="AE297" s="33" t="str" cm="1">
        <f t="array" ref="AE297">LOOKUP(2,1/($AB$2:$AB$1000=AB297),$AD$2:$AD$1000)</f>
        <v/>
      </c>
      <c r="AL297" s="39" t="str">
        <f>IF(AK297="","",
   IF(
      COUNTIF('Paste Here'!$AA$2:$AA$1000,AK297)=0,
      "",
      ROUNDDOWN(COUNTIF('Paste Here'!$AA$2:$AA$1000,AK297)/2,0)
   )
)</f>
        <v/>
      </c>
      <c r="AM297" s="39" t="str" cm="1">
        <f t="array" ref="AM297">IFERROR(IF(LOOKUP(2,1/($AA$2:$AA$1000=AK297),$AD$2:$AD$1000)=0,"",
LOOKUP(2,1/($AA$2:$AA$1000=AK297),$AD$2:$AD$1000)),"")</f>
        <v/>
      </c>
      <c r="AO297" s="33" t="str" cm="1">
        <f t="array" ref="AO297">IFERROR(INDEX($AA$2:$AA$282,MATCH(0,COUNTIF('Paste Here'!$AK$1:AK296,$AA$2:$AA$282),0)),"")</f>
        <v/>
      </c>
      <c r="AP297" s="33" t="str">
        <f>IF(COUNTIF('Paste Here'!$AK$2:AK297,'Paste Here'!AK297)=1,VALUE('Paste Here'!AK297),"")</f>
        <v/>
      </c>
    </row>
    <row r="298" spans="1:42" x14ac:dyDescent="0.3">
      <c r="A298" s="2"/>
      <c r="B298" s="2"/>
      <c r="C298" s="2"/>
      <c r="D298" s="3"/>
      <c r="E298" s="2"/>
      <c r="F298" s="2"/>
      <c r="G298" s="2"/>
      <c r="H298" s="2"/>
      <c r="AA298" s="33" t="str">
        <f t="shared" si="13"/>
        <v/>
      </c>
      <c r="AC298" s="33">
        <f t="shared" si="12"/>
        <v>1048540</v>
      </c>
      <c r="AD298" s="33" t="str">
        <f t="shared" si="14"/>
        <v/>
      </c>
      <c r="AE298" s="33" t="str" cm="1">
        <f t="array" ref="AE298">LOOKUP(2,1/($AB$2:$AB$1000=AB298),$AD$2:$AD$1000)</f>
        <v/>
      </c>
      <c r="AL298" s="39" t="str">
        <f>IF(AK298="","",
   IF(
      COUNTIF('Paste Here'!$AA$2:$AA$1000,AK298)=0,
      "",
      ROUNDDOWN(COUNTIF('Paste Here'!$AA$2:$AA$1000,AK298)/2,0)
   )
)</f>
        <v/>
      </c>
      <c r="AM298" s="39" t="str" cm="1">
        <f t="array" ref="AM298">IFERROR(IF(LOOKUP(2,1/($AA$2:$AA$1000=AK298),$AD$2:$AD$1000)=0,"",
LOOKUP(2,1/($AA$2:$AA$1000=AK298),$AD$2:$AD$1000)),"")</f>
        <v/>
      </c>
      <c r="AO298" s="33" t="str" cm="1">
        <f t="array" ref="AO298">IFERROR(INDEX($AA$2:$AA$282,MATCH(0,COUNTIF('Paste Here'!$AK$1:AK297,$AA$2:$AA$282),0)),"")</f>
        <v/>
      </c>
      <c r="AP298" s="33" t="str">
        <f>IF(COUNTIF('Paste Here'!$AK$2:AK298,'Paste Here'!AK298)=1,VALUE('Paste Here'!AK298),"")</f>
        <v/>
      </c>
    </row>
    <row r="299" spans="1:42" x14ac:dyDescent="0.3">
      <c r="A299" s="2"/>
      <c r="B299" s="2"/>
      <c r="C299" s="2"/>
      <c r="D299" s="3"/>
      <c r="E299" s="2"/>
      <c r="F299" s="2"/>
      <c r="G299" s="2"/>
      <c r="H299" s="2"/>
      <c r="AA299" s="33" t="str">
        <f t="shared" si="13"/>
        <v/>
      </c>
      <c r="AC299" s="33">
        <f t="shared" si="12"/>
        <v>1048540</v>
      </c>
      <c r="AD299" s="33" t="str">
        <f t="shared" si="14"/>
        <v/>
      </c>
      <c r="AE299" s="33" t="str" cm="1">
        <f t="array" ref="AE299">LOOKUP(2,1/($AB$2:$AB$1000=AB299),$AD$2:$AD$1000)</f>
        <v/>
      </c>
      <c r="AL299" s="39" t="str">
        <f>IF(AK299="","",
   IF(
      COUNTIF('Paste Here'!$AA$2:$AA$1000,AK299)=0,
      "",
      ROUNDDOWN(COUNTIF('Paste Here'!$AA$2:$AA$1000,AK299)/2,0)
   )
)</f>
        <v/>
      </c>
      <c r="AM299" s="39" t="str" cm="1">
        <f t="array" ref="AM299">IFERROR(IF(LOOKUP(2,1/($AA$2:$AA$1000=AK299),$AD$2:$AD$1000)=0,"",
LOOKUP(2,1/($AA$2:$AA$1000=AK299),$AD$2:$AD$1000)),"")</f>
        <v/>
      </c>
      <c r="AO299" s="33" t="str" cm="1">
        <f t="array" ref="AO299">IFERROR(INDEX($AA$2:$AA$282,MATCH(0,COUNTIF('Paste Here'!$AK$1:AK298,$AA$2:$AA$282),0)),"")</f>
        <v/>
      </c>
      <c r="AP299" s="33" t="str">
        <f>IF(COUNTIF('Paste Here'!$AK$2:AK299,'Paste Here'!AK299)=1,VALUE('Paste Here'!AK299),"")</f>
        <v/>
      </c>
    </row>
    <row r="300" spans="1:42" x14ac:dyDescent="0.3">
      <c r="A300" s="2"/>
      <c r="B300" s="2"/>
      <c r="C300" s="2"/>
      <c r="D300" s="3"/>
      <c r="E300" s="2"/>
      <c r="F300" s="2"/>
      <c r="G300" s="2"/>
      <c r="H300" s="2"/>
      <c r="AA300" s="33" t="str">
        <f t="shared" si="13"/>
        <v/>
      </c>
      <c r="AC300" s="33">
        <f t="shared" si="12"/>
        <v>1048540</v>
      </c>
      <c r="AD300" s="33" t="str">
        <f t="shared" si="14"/>
        <v/>
      </c>
      <c r="AE300" s="33" t="str" cm="1">
        <f t="array" ref="AE300">LOOKUP(2,1/($AB$2:$AB$1000=AB300),$AD$2:$AD$1000)</f>
        <v/>
      </c>
      <c r="AL300" s="39" t="str">
        <f>IF(AK300="","",
   IF(
      COUNTIF('Paste Here'!$AA$2:$AA$1000,AK300)=0,
      "",
      ROUNDDOWN(COUNTIF('Paste Here'!$AA$2:$AA$1000,AK300)/2,0)
   )
)</f>
        <v/>
      </c>
      <c r="AM300" s="39" t="str" cm="1">
        <f t="array" ref="AM300">IFERROR(IF(LOOKUP(2,1/($AA$2:$AA$1000=AK300),$AD$2:$AD$1000)=0,"",
LOOKUP(2,1/($AA$2:$AA$1000=AK300),$AD$2:$AD$1000)),"")</f>
        <v/>
      </c>
      <c r="AO300" s="33" t="str" cm="1">
        <f t="array" ref="AO300">IFERROR(INDEX($AA$2:$AA$282,MATCH(0,COUNTIF('Paste Here'!$AK$1:AK299,$AA$2:$AA$282),0)),"")</f>
        <v/>
      </c>
      <c r="AP300" s="33" t="str">
        <f>IF(COUNTIF('Paste Here'!$AK$2:AK300,'Paste Here'!AK300)=1,VALUE('Paste Here'!AK300),"")</f>
        <v/>
      </c>
    </row>
    <row r="301" spans="1:42" x14ac:dyDescent="0.3">
      <c r="A301" s="2"/>
      <c r="B301" s="2"/>
      <c r="C301" s="2"/>
      <c r="D301" s="3"/>
      <c r="E301" s="2"/>
      <c r="F301" s="2"/>
      <c r="G301" s="2"/>
      <c r="H301" s="2"/>
      <c r="AA301" s="33" t="str">
        <f t="shared" si="13"/>
        <v/>
      </c>
      <c r="AC301" s="33">
        <f t="shared" si="12"/>
        <v>1048540</v>
      </c>
      <c r="AD301" s="33" t="str">
        <f t="shared" si="14"/>
        <v/>
      </c>
      <c r="AE301" s="33" t="str" cm="1">
        <f t="array" ref="AE301">LOOKUP(2,1/($AB$2:$AB$1000=AB301),$AD$2:$AD$1000)</f>
        <v/>
      </c>
      <c r="AL301" s="39" t="str">
        <f>IF(AK301="","",
   IF(
      COUNTIF('Paste Here'!$AA$2:$AA$1000,AK301)=0,
      "",
      ROUNDDOWN(COUNTIF('Paste Here'!$AA$2:$AA$1000,AK301)/2,0)
   )
)</f>
        <v/>
      </c>
      <c r="AM301" s="39" t="str" cm="1">
        <f t="array" ref="AM301">IFERROR(IF(LOOKUP(2,1/($AA$2:$AA$1000=AK301),$AD$2:$AD$1000)=0,"",
LOOKUP(2,1/($AA$2:$AA$1000=AK301),$AD$2:$AD$1000)),"")</f>
        <v/>
      </c>
      <c r="AO301" s="33" t="str" cm="1">
        <f t="array" ref="AO301">IFERROR(INDEX($AA$2:$AA$282,MATCH(0,COUNTIF('Paste Here'!$AK$1:AK300,$AA$2:$AA$282),0)),"")</f>
        <v/>
      </c>
      <c r="AP301" s="33" t="str">
        <f>IF(COUNTIF('Paste Here'!$AK$2:AK301,'Paste Here'!AK301)=1,VALUE('Paste Here'!AK301),"")</f>
        <v/>
      </c>
    </row>
    <row r="302" spans="1:42" x14ac:dyDescent="0.3">
      <c r="A302" s="2"/>
      <c r="B302" s="2"/>
      <c r="C302" s="2"/>
      <c r="D302" s="3"/>
      <c r="E302" s="2"/>
      <c r="F302" s="2"/>
      <c r="G302" s="2"/>
      <c r="H302" s="2"/>
      <c r="AA302" s="33" t="str">
        <f t="shared" si="13"/>
        <v/>
      </c>
      <c r="AC302" s="33">
        <f t="shared" si="12"/>
        <v>1048540</v>
      </c>
      <c r="AD302" s="33" t="str">
        <f t="shared" si="14"/>
        <v/>
      </c>
      <c r="AE302" s="33" t="str" cm="1">
        <f t="array" ref="AE302">LOOKUP(2,1/($AB$2:$AB$1000=AB302),$AD$2:$AD$1000)</f>
        <v/>
      </c>
      <c r="AL302" s="39" t="str">
        <f>IF(AK302="","",
   IF(
      COUNTIF('Paste Here'!$AA$2:$AA$1000,AK302)=0,
      "",
      ROUNDDOWN(COUNTIF('Paste Here'!$AA$2:$AA$1000,AK302)/2,0)
   )
)</f>
        <v/>
      </c>
      <c r="AM302" s="39" t="str" cm="1">
        <f t="array" ref="AM302">IFERROR(IF(LOOKUP(2,1/($AA$2:$AA$1000=AK302),$AD$2:$AD$1000)=0,"",
LOOKUP(2,1/($AA$2:$AA$1000=AK302),$AD$2:$AD$1000)),"")</f>
        <v/>
      </c>
      <c r="AO302" s="33" t="str" cm="1">
        <f t="array" ref="AO302">IFERROR(INDEX($AA$2:$AA$282,MATCH(0,COUNTIF('Paste Here'!$AK$1:AK301,$AA$2:$AA$282),0)),"")</f>
        <v/>
      </c>
      <c r="AP302" s="33" t="str">
        <f>IF(COUNTIF('Paste Here'!$AK$2:AK302,'Paste Here'!AK302)=1,VALUE('Paste Here'!AK302),"")</f>
        <v/>
      </c>
    </row>
    <row r="303" spans="1:42" x14ac:dyDescent="0.3">
      <c r="A303"/>
      <c r="B303"/>
      <c r="C303"/>
      <c r="D303" s="4"/>
      <c r="E303"/>
      <c r="F303"/>
      <c r="G303"/>
      <c r="H303"/>
      <c r="AA303" s="33" t="str">
        <f t="shared" si="13"/>
        <v/>
      </c>
      <c r="AC303" s="33">
        <f t="shared" si="12"/>
        <v>1048540</v>
      </c>
      <c r="AD303" s="33" t="str">
        <f t="shared" si="14"/>
        <v/>
      </c>
      <c r="AE303" s="33" t="str" cm="1">
        <f t="array" ref="AE303">LOOKUP(2,1/($AB$2:$AB$1000=AB303),$AD$2:$AD$1000)</f>
        <v/>
      </c>
      <c r="AL303" s="39" t="str">
        <f>IF(AK303="","",
   IF(
      COUNTIF('Paste Here'!$AA$2:$AA$1000,AK303)=0,
      "",
      ROUNDDOWN(COUNTIF('Paste Here'!$AA$2:$AA$1000,AK303)/2,0)
   )
)</f>
        <v/>
      </c>
      <c r="AM303" s="39" t="str" cm="1">
        <f t="array" ref="AM303">IFERROR(IF(LOOKUP(2,1/($AA$2:$AA$1000=AK303),$AD$2:$AD$1000)=0,"",
LOOKUP(2,1/($AA$2:$AA$1000=AK303),$AD$2:$AD$1000)),"")</f>
        <v/>
      </c>
      <c r="AO303" s="33" t="str" cm="1">
        <f t="array" ref="AO303">IFERROR(INDEX($AA$2:$AA$282,MATCH(0,COUNTIF('Paste Here'!$AK$1:AK302,$AA$2:$AA$282),0)),"")</f>
        <v/>
      </c>
      <c r="AP303" s="33" t="str">
        <f>IF(COUNTIF('Paste Here'!$AK$2:AK303,'Paste Here'!AK303)=1,VALUE('Paste Here'!AK303),"")</f>
        <v/>
      </c>
    </row>
    <row r="304" spans="1:42" x14ac:dyDescent="0.3">
      <c r="A304"/>
      <c r="B304"/>
      <c r="C304"/>
      <c r="D304" s="4"/>
      <c r="E304"/>
      <c r="F304"/>
      <c r="G304"/>
      <c r="H304"/>
      <c r="AA304" s="33" t="str">
        <f t="shared" si="13"/>
        <v/>
      </c>
      <c r="AC304" s="33">
        <f t="shared" si="12"/>
        <v>1048540</v>
      </c>
      <c r="AD304" s="33" t="str">
        <f t="shared" si="14"/>
        <v/>
      </c>
      <c r="AE304" s="33" t="str" cm="1">
        <f t="array" ref="AE304">LOOKUP(2,1/($AB$2:$AB$1000=AB304),$AD$2:$AD$1000)</f>
        <v/>
      </c>
      <c r="AL304" s="39" t="str">
        <f>IF(AK304="","",
   IF(
      COUNTIF('Paste Here'!$AA$2:$AA$1000,AK304)=0,
      "",
      ROUNDDOWN(COUNTIF('Paste Here'!$AA$2:$AA$1000,AK304)/2,0)
   )
)</f>
        <v/>
      </c>
      <c r="AM304" s="39" t="str" cm="1">
        <f t="array" ref="AM304">IFERROR(IF(LOOKUP(2,1/($AA$2:$AA$1000=AK304),$AD$2:$AD$1000)=0,"",
LOOKUP(2,1/($AA$2:$AA$1000=AK304),$AD$2:$AD$1000)),"")</f>
        <v/>
      </c>
      <c r="AO304" s="33" t="str" cm="1">
        <f t="array" ref="AO304">IFERROR(INDEX($AA$2:$AA$282,MATCH(0,COUNTIF('Paste Here'!$AK$1:AK303,$AA$2:$AA$282),0)),"")</f>
        <v/>
      </c>
      <c r="AP304" s="33" t="str">
        <f>IF(COUNTIF('Paste Here'!$AK$2:AK304,'Paste Here'!AK304)=1,VALUE('Paste Here'!AK304),"")</f>
        <v/>
      </c>
    </row>
    <row r="305" spans="1:42" x14ac:dyDescent="0.3">
      <c r="A305"/>
      <c r="B305"/>
      <c r="C305"/>
      <c r="D305" s="4"/>
      <c r="E305"/>
      <c r="F305"/>
      <c r="G305"/>
      <c r="H305"/>
      <c r="AA305" s="33" t="str">
        <f t="shared" si="13"/>
        <v/>
      </c>
      <c r="AC305" s="33">
        <f t="shared" si="12"/>
        <v>1048540</v>
      </c>
      <c r="AD305" s="33" t="str">
        <f t="shared" si="14"/>
        <v/>
      </c>
      <c r="AE305" s="33" t="str" cm="1">
        <f t="array" ref="AE305">LOOKUP(2,1/($AB$2:$AB$1000=AB305),$AD$2:$AD$1000)</f>
        <v/>
      </c>
      <c r="AL305" s="39" t="str">
        <f>IF(AK305="","",
   IF(
      COUNTIF('Paste Here'!$AA$2:$AA$1000,AK305)=0,
      "",
      ROUNDDOWN(COUNTIF('Paste Here'!$AA$2:$AA$1000,AK305)/2,0)
   )
)</f>
        <v/>
      </c>
      <c r="AM305" s="39" t="str" cm="1">
        <f t="array" ref="AM305">IFERROR(IF(LOOKUP(2,1/($AA$2:$AA$1000=AK305),$AD$2:$AD$1000)=0,"",
LOOKUP(2,1/($AA$2:$AA$1000=AK305),$AD$2:$AD$1000)),"")</f>
        <v/>
      </c>
      <c r="AO305" s="33" t="str" cm="1">
        <f t="array" ref="AO305">IFERROR(INDEX($AA$2:$AA$282,MATCH(0,COUNTIF('Paste Here'!$AK$1:AK304,$AA$2:$AA$282),0)),"")</f>
        <v/>
      </c>
      <c r="AP305" s="33" t="str">
        <f>IF(COUNTIF('Paste Here'!$AK$2:AK305,'Paste Here'!AK305)=1,VALUE('Paste Here'!AK305),"")</f>
        <v/>
      </c>
    </row>
    <row r="306" spans="1:42" x14ac:dyDescent="0.3">
      <c r="A306" s="2"/>
      <c r="B306" s="2"/>
      <c r="C306" s="2"/>
      <c r="D306" s="3"/>
      <c r="E306" s="2"/>
      <c r="F306" s="2"/>
      <c r="G306" s="2"/>
      <c r="H306" s="2"/>
      <c r="AA306" s="33" t="str">
        <f t="shared" si="13"/>
        <v/>
      </c>
      <c r="AC306" s="33">
        <f t="shared" si="12"/>
        <v>1048540</v>
      </c>
      <c r="AD306" s="33" t="str">
        <f t="shared" si="14"/>
        <v/>
      </c>
      <c r="AE306" s="33" t="str" cm="1">
        <f t="array" ref="AE306">LOOKUP(2,1/($AB$2:$AB$1000=AB306),$AD$2:$AD$1000)</f>
        <v/>
      </c>
      <c r="AL306" s="39" t="str">
        <f>IF(AK306="","",
   IF(
      COUNTIF('Paste Here'!$AA$2:$AA$1000,AK306)=0,
      "",
      ROUNDDOWN(COUNTIF('Paste Here'!$AA$2:$AA$1000,AK306)/2,0)
   )
)</f>
        <v/>
      </c>
      <c r="AM306" s="39" t="str" cm="1">
        <f t="array" ref="AM306">IFERROR(IF(LOOKUP(2,1/($AA$2:$AA$1000=AK306),$AD$2:$AD$1000)=0,"",
LOOKUP(2,1/($AA$2:$AA$1000=AK306),$AD$2:$AD$1000)),"")</f>
        <v/>
      </c>
      <c r="AO306" s="33" t="str" cm="1">
        <f t="array" ref="AO306">IFERROR(INDEX($AA$2:$AA$282,MATCH(0,COUNTIF('Paste Here'!$AK$1:AK305,$AA$2:$AA$282),0)),"")</f>
        <v/>
      </c>
      <c r="AP306" s="33" t="str">
        <f>IF(COUNTIF('Paste Here'!$AK$2:AK306,'Paste Here'!AK306)=1,VALUE('Paste Here'!AK306),"")</f>
        <v/>
      </c>
    </row>
    <row r="307" spans="1:42" x14ac:dyDescent="0.3">
      <c r="A307" s="2"/>
      <c r="B307" s="2"/>
      <c r="C307" s="2"/>
      <c r="D307" s="3"/>
      <c r="E307" s="2"/>
      <c r="F307" s="2"/>
      <c r="G307" s="2"/>
      <c r="H307" s="2"/>
      <c r="AA307" s="33" t="str">
        <f t="shared" si="13"/>
        <v/>
      </c>
      <c r="AC307" s="33">
        <f t="shared" si="12"/>
        <v>1048540</v>
      </c>
      <c r="AD307" s="33" t="str">
        <f t="shared" si="14"/>
        <v/>
      </c>
      <c r="AE307" s="33" t="str" cm="1">
        <f t="array" ref="AE307">LOOKUP(2,1/($AB$2:$AB$1000=AB307),$AD$2:$AD$1000)</f>
        <v/>
      </c>
      <c r="AL307" s="39" t="str">
        <f>IF(AK307="","",
   IF(
      COUNTIF('Paste Here'!$AA$2:$AA$1000,AK307)=0,
      "",
      ROUNDDOWN(COUNTIF('Paste Here'!$AA$2:$AA$1000,AK307)/2,0)
   )
)</f>
        <v/>
      </c>
      <c r="AM307" s="39" t="str" cm="1">
        <f t="array" ref="AM307">IFERROR(IF(LOOKUP(2,1/($AA$2:$AA$1000=AK307),$AD$2:$AD$1000)=0,"",
LOOKUP(2,1/($AA$2:$AA$1000=AK307),$AD$2:$AD$1000)),"")</f>
        <v/>
      </c>
      <c r="AO307" s="33" t="str" cm="1">
        <f t="array" ref="AO307">IFERROR(INDEX($AA$2:$AA$282,MATCH(0,COUNTIF('Paste Here'!$AK$1:AK306,$AA$2:$AA$282),0)),"")</f>
        <v/>
      </c>
      <c r="AP307" s="33" t="str">
        <f>IF(COUNTIF('Paste Here'!$AK$2:AK307,'Paste Here'!AK307)=1,VALUE('Paste Here'!AK307),"")</f>
        <v/>
      </c>
    </row>
    <row r="308" spans="1:42" x14ac:dyDescent="0.3">
      <c r="A308" s="2"/>
      <c r="B308" s="2"/>
      <c r="C308" s="2"/>
      <c r="D308" s="3"/>
      <c r="E308" s="2"/>
      <c r="F308" s="2"/>
      <c r="G308" s="2"/>
      <c r="H308" s="2"/>
      <c r="AA308" s="33" t="str">
        <f t="shared" si="13"/>
        <v/>
      </c>
      <c r="AC308" s="33">
        <f t="shared" si="12"/>
        <v>1048540</v>
      </c>
      <c r="AD308" s="33" t="str">
        <f t="shared" si="14"/>
        <v/>
      </c>
      <c r="AE308" s="33" t="str" cm="1">
        <f t="array" ref="AE308">LOOKUP(2,1/($AB$2:$AB$1000=AB308),$AD$2:$AD$1000)</f>
        <v/>
      </c>
      <c r="AL308" s="39" t="str">
        <f>IF(AK308="","",
   IF(
      COUNTIF('Paste Here'!$AA$2:$AA$1000,AK308)=0,
      "",
      ROUNDDOWN(COUNTIF('Paste Here'!$AA$2:$AA$1000,AK308)/2,0)
   )
)</f>
        <v/>
      </c>
      <c r="AM308" s="39" t="str" cm="1">
        <f t="array" ref="AM308">IFERROR(IF(LOOKUP(2,1/($AA$2:$AA$1000=AK308),$AD$2:$AD$1000)=0,"",
LOOKUP(2,1/($AA$2:$AA$1000=AK308),$AD$2:$AD$1000)),"")</f>
        <v/>
      </c>
      <c r="AO308" s="33" t="str" cm="1">
        <f t="array" ref="AO308">IFERROR(INDEX($AA$2:$AA$282,MATCH(0,COUNTIF('Paste Here'!$AK$1:AK307,$AA$2:$AA$282),0)),"")</f>
        <v/>
      </c>
      <c r="AP308" s="33" t="str">
        <f>IF(COUNTIF('Paste Here'!$AK$2:AK308,'Paste Here'!AK308)=1,VALUE('Paste Here'!AK308),"")</f>
        <v/>
      </c>
    </row>
    <row r="309" spans="1:42" x14ac:dyDescent="0.3">
      <c r="A309" s="2"/>
      <c r="B309" s="2"/>
      <c r="C309" s="2"/>
      <c r="D309" s="3"/>
      <c r="E309" s="2"/>
      <c r="F309" s="2"/>
      <c r="G309" s="2"/>
      <c r="H309" s="2"/>
      <c r="AA309" s="33" t="str">
        <f t="shared" si="13"/>
        <v/>
      </c>
      <c r="AC309" s="33">
        <f t="shared" si="12"/>
        <v>1048540</v>
      </c>
      <c r="AD309" s="33" t="str">
        <f t="shared" si="14"/>
        <v/>
      </c>
      <c r="AE309" s="33" t="str" cm="1">
        <f t="array" ref="AE309">LOOKUP(2,1/($AB$2:$AB$1000=AB309),$AD$2:$AD$1000)</f>
        <v/>
      </c>
      <c r="AL309" s="39" t="str">
        <f>IF(AK309="","",
   IF(
      COUNTIF('Paste Here'!$AA$2:$AA$1000,AK309)=0,
      "",
      ROUNDDOWN(COUNTIF('Paste Here'!$AA$2:$AA$1000,AK309)/2,0)
   )
)</f>
        <v/>
      </c>
      <c r="AM309" s="39" t="str" cm="1">
        <f t="array" ref="AM309">IFERROR(IF(LOOKUP(2,1/($AA$2:$AA$1000=AK309),$AD$2:$AD$1000)=0,"",
LOOKUP(2,1/($AA$2:$AA$1000=AK309),$AD$2:$AD$1000)),"")</f>
        <v/>
      </c>
      <c r="AO309" s="33" t="str" cm="1">
        <f t="array" ref="AO309">IFERROR(INDEX($AA$2:$AA$282,MATCH(0,COUNTIF('Paste Here'!$AK$1:AK308,$AA$2:$AA$282),0)),"")</f>
        <v/>
      </c>
      <c r="AP309" s="33" t="str">
        <f>IF(COUNTIF('Paste Here'!$AK$2:AK309,'Paste Here'!AK309)=1,VALUE('Paste Here'!AK309),"")</f>
        <v/>
      </c>
    </row>
    <row r="310" spans="1:42" x14ac:dyDescent="0.3">
      <c r="A310" s="2"/>
      <c r="B310" s="2"/>
      <c r="C310" s="2"/>
      <c r="D310" s="3"/>
      <c r="E310" s="2"/>
      <c r="F310" s="2"/>
      <c r="G310" s="2"/>
      <c r="H310" s="2"/>
      <c r="AA310" s="33" t="str">
        <f t="shared" si="13"/>
        <v/>
      </c>
      <c r="AC310" s="33">
        <f t="shared" si="12"/>
        <v>1048540</v>
      </c>
      <c r="AD310" s="33" t="str">
        <f t="shared" si="14"/>
        <v/>
      </c>
      <c r="AE310" s="33" t="str" cm="1">
        <f t="array" ref="AE310">LOOKUP(2,1/($AB$2:$AB$1000=AB310),$AD$2:$AD$1000)</f>
        <v/>
      </c>
      <c r="AL310" s="39" t="str">
        <f>IF(AK310="","",
   IF(
      COUNTIF('Paste Here'!$AA$2:$AA$1000,AK310)=0,
      "",
      ROUNDDOWN(COUNTIF('Paste Here'!$AA$2:$AA$1000,AK310)/2,0)
   )
)</f>
        <v/>
      </c>
      <c r="AM310" s="39" t="str" cm="1">
        <f t="array" ref="AM310">IFERROR(IF(LOOKUP(2,1/($AA$2:$AA$1000=AK310),$AD$2:$AD$1000)=0,"",
LOOKUP(2,1/($AA$2:$AA$1000=AK310),$AD$2:$AD$1000)),"")</f>
        <v/>
      </c>
      <c r="AO310" s="33" t="str" cm="1">
        <f t="array" ref="AO310">IFERROR(INDEX($AA$2:$AA$282,MATCH(0,COUNTIF('Paste Here'!$AK$1:AK309,$AA$2:$AA$282),0)),"")</f>
        <v/>
      </c>
      <c r="AP310" s="33" t="str">
        <f>IF(COUNTIF('Paste Here'!$AK$2:AK310,'Paste Here'!AK310)=1,VALUE('Paste Here'!AK310),"")</f>
        <v/>
      </c>
    </row>
    <row r="311" spans="1:42" x14ac:dyDescent="0.3">
      <c r="A311" s="2"/>
      <c r="B311" s="2"/>
      <c r="C311" s="2"/>
      <c r="D311" s="3"/>
      <c r="E311" s="2"/>
      <c r="F311" s="2"/>
      <c r="G311" s="2"/>
      <c r="H311" s="2"/>
      <c r="AA311" s="33" t="str">
        <f t="shared" si="13"/>
        <v/>
      </c>
      <c r="AC311" s="33">
        <f t="shared" si="12"/>
        <v>1048540</v>
      </c>
      <c r="AD311" s="33" t="str">
        <f t="shared" si="14"/>
        <v/>
      </c>
      <c r="AE311" s="33" t="str" cm="1">
        <f t="array" ref="AE311">LOOKUP(2,1/($AB$2:$AB$1000=AB311),$AD$2:$AD$1000)</f>
        <v/>
      </c>
      <c r="AL311" s="39" t="str">
        <f>IF(AK311="","",
   IF(
      COUNTIF('Paste Here'!$AA$2:$AA$1000,AK311)=0,
      "",
      ROUNDDOWN(COUNTIF('Paste Here'!$AA$2:$AA$1000,AK311)/2,0)
   )
)</f>
        <v/>
      </c>
      <c r="AM311" s="39" t="str" cm="1">
        <f t="array" ref="AM311">IFERROR(IF(LOOKUP(2,1/($AA$2:$AA$1000=AK311),$AD$2:$AD$1000)=0,"",
LOOKUP(2,1/($AA$2:$AA$1000=AK311),$AD$2:$AD$1000)),"")</f>
        <v/>
      </c>
      <c r="AO311" s="33" t="str" cm="1">
        <f t="array" ref="AO311">IFERROR(INDEX($AA$2:$AA$282,MATCH(0,COUNTIF('Paste Here'!$AK$1:AK310,$AA$2:$AA$282),0)),"")</f>
        <v/>
      </c>
      <c r="AP311" s="33" t="str">
        <f>IF(COUNTIF('Paste Here'!$AK$2:AK311,'Paste Here'!AK311)=1,VALUE('Paste Here'!AK311),"")</f>
        <v/>
      </c>
    </row>
    <row r="312" spans="1:42" x14ac:dyDescent="0.3">
      <c r="A312" s="2"/>
      <c r="B312" s="2"/>
      <c r="C312" s="2"/>
      <c r="D312" s="3"/>
      <c r="E312" s="2"/>
      <c r="F312" s="2"/>
      <c r="G312" s="2"/>
      <c r="H312" s="2"/>
      <c r="AA312" s="33" t="str">
        <f t="shared" si="13"/>
        <v/>
      </c>
      <c r="AC312" s="33">
        <f t="shared" si="12"/>
        <v>1048540</v>
      </c>
      <c r="AD312" s="33" t="str">
        <f t="shared" si="14"/>
        <v/>
      </c>
      <c r="AE312" s="33" t="str" cm="1">
        <f t="array" ref="AE312">LOOKUP(2,1/($AB$2:$AB$1000=AB312),$AD$2:$AD$1000)</f>
        <v/>
      </c>
      <c r="AL312" s="39" t="str">
        <f>IF(AK312="","",
   IF(
      COUNTIF('Paste Here'!$AA$2:$AA$1000,AK312)=0,
      "",
      ROUNDDOWN(COUNTIF('Paste Here'!$AA$2:$AA$1000,AK312)/2,0)
   )
)</f>
        <v/>
      </c>
      <c r="AM312" s="39" t="str" cm="1">
        <f t="array" ref="AM312">IFERROR(IF(LOOKUP(2,1/($AA$2:$AA$1000=AK312),$AD$2:$AD$1000)=0,"",
LOOKUP(2,1/($AA$2:$AA$1000=AK312),$AD$2:$AD$1000)),"")</f>
        <v/>
      </c>
      <c r="AO312" s="33" t="str" cm="1">
        <f t="array" ref="AO312">IFERROR(INDEX($AA$2:$AA$282,MATCH(0,COUNTIF('Paste Here'!$AK$1:AK311,$AA$2:$AA$282),0)),"")</f>
        <v/>
      </c>
      <c r="AP312" s="33" t="str">
        <f>IF(COUNTIF('Paste Here'!$AK$2:AK312,'Paste Here'!AK312)=1,VALUE('Paste Here'!AK312),"")</f>
        <v/>
      </c>
    </row>
    <row r="313" spans="1:42" x14ac:dyDescent="0.3">
      <c r="A313" s="2"/>
      <c r="B313" s="2"/>
      <c r="C313" s="2"/>
      <c r="D313" s="3"/>
      <c r="E313" s="2"/>
      <c r="F313" s="2"/>
      <c r="G313" s="2"/>
      <c r="H313" s="2"/>
      <c r="AA313" s="33" t="str">
        <f t="shared" si="13"/>
        <v/>
      </c>
      <c r="AC313" s="33">
        <f t="shared" si="12"/>
        <v>1048540</v>
      </c>
      <c r="AD313" s="33" t="str">
        <f t="shared" si="14"/>
        <v/>
      </c>
      <c r="AE313" s="33" t="str" cm="1">
        <f t="array" ref="AE313">LOOKUP(2,1/($AB$2:$AB$1000=AB313),$AD$2:$AD$1000)</f>
        <v/>
      </c>
      <c r="AL313" s="39" t="str">
        <f>IF(AK313="","",
   IF(
      COUNTIF('Paste Here'!$AA$2:$AA$1000,AK313)=0,
      "",
      ROUNDDOWN(COUNTIF('Paste Here'!$AA$2:$AA$1000,AK313)/2,0)
   )
)</f>
        <v/>
      </c>
      <c r="AM313" s="39" t="str" cm="1">
        <f t="array" ref="AM313">IFERROR(IF(LOOKUP(2,1/($AA$2:$AA$1000=AK313),$AD$2:$AD$1000)=0,"",
LOOKUP(2,1/($AA$2:$AA$1000=AK313),$AD$2:$AD$1000)),"")</f>
        <v/>
      </c>
      <c r="AO313" s="33" t="str" cm="1">
        <f t="array" ref="AO313">IFERROR(INDEX($AA$2:$AA$282,MATCH(0,COUNTIF('Paste Here'!$AK$1:AK312,$AA$2:$AA$282),0)),"")</f>
        <v/>
      </c>
      <c r="AP313" s="33" t="str">
        <f>IF(COUNTIF('Paste Here'!$AK$2:AK313,'Paste Here'!AK313)=1,VALUE('Paste Here'!AK313),"")</f>
        <v/>
      </c>
    </row>
    <row r="314" spans="1:42" x14ac:dyDescent="0.3">
      <c r="A314" s="2"/>
      <c r="B314" s="2"/>
      <c r="C314" s="2"/>
      <c r="D314" s="3"/>
      <c r="E314" s="2"/>
      <c r="F314" s="2"/>
      <c r="G314" s="2"/>
      <c r="H314" s="2"/>
      <c r="AA314" s="33" t="str">
        <f t="shared" si="13"/>
        <v/>
      </c>
      <c r="AC314" s="33">
        <f t="shared" si="12"/>
        <v>1048540</v>
      </c>
      <c r="AD314" s="33" t="str">
        <f t="shared" si="14"/>
        <v/>
      </c>
      <c r="AE314" s="33" t="str" cm="1">
        <f t="array" ref="AE314">LOOKUP(2,1/($AB$2:$AB$1000=AB314),$AD$2:$AD$1000)</f>
        <v/>
      </c>
      <c r="AL314" s="39" t="str">
        <f>IF(AK314="","",
   IF(
      COUNTIF('Paste Here'!$AA$2:$AA$1000,AK314)=0,
      "",
      ROUNDDOWN(COUNTIF('Paste Here'!$AA$2:$AA$1000,AK314)/2,0)
   )
)</f>
        <v/>
      </c>
      <c r="AM314" s="39" t="str" cm="1">
        <f t="array" ref="AM314">IFERROR(IF(LOOKUP(2,1/($AA$2:$AA$1000=AK314),$AD$2:$AD$1000)=0,"",
LOOKUP(2,1/($AA$2:$AA$1000=AK314),$AD$2:$AD$1000)),"")</f>
        <v/>
      </c>
      <c r="AO314" s="33" t="str" cm="1">
        <f t="array" ref="AO314">IFERROR(INDEX($AA$2:$AA$282,MATCH(0,COUNTIF('Paste Here'!$AK$1:AK313,$AA$2:$AA$282),0)),"")</f>
        <v/>
      </c>
      <c r="AP314" s="33" t="str">
        <f>IF(COUNTIF('Paste Here'!$AK$2:AK314,'Paste Here'!AK314)=1,VALUE('Paste Here'!AK314),"")</f>
        <v/>
      </c>
    </row>
    <row r="315" spans="1:42" x14ac:dyDescent="0.3">
      <c r="A315" s="2"/>
      <c r="B315" s="2"/>
      <c r="C315" s="2"/>
      <c r="D315" s="3"/>
      <c r="E315" s="2"/>
      <c r="F315" s="2"/>
      <c r="G315" s="2"/>
      <c r="H315" s="2"/>
      <c r="AA315" s="33" t="str">
        <f t="shared" si="13"/>
        <v/>
      </c>
      <c r="AC315" s="33">
        <f t="shared" si="12"/>
        <v>1048540</v>
      </c>
      <c r="AD315" s="33" t="str">
        <f t="shared" si="14"/>
        <v/>
      </c>
      <c r="AE315" s="33" t="str" cm="1">
        <f t="array" ref="AE315">LOOKUP(2,1/($AB$2:$AB$1000=AB315),$AD$2:$AD$1000)</f>
        <v/>
      </c>
      <c r="AL315" s="39" t="str">
        <f>IF(AK315="","",
   IF(
      COUNTIF('Paste Here'!$AA$2:$AA$1000,AK315)=0,
      "",
      ROUNDDOWN(COUNTIF('Paste Here'!$AA$2:$AA$1000,AK315)/2,0)
   )
)</f>
        <v/>
      </c>
      <c r="AM315" s="39" t="str" cm="1">
        <f t="array" ref="AM315">IFERROR(IF(LOOKUP(2,1/($AA$2:$AA$1000=AK315),$AD$2:$AD$1000)=0,"",
LOOKUP(2,1/($AA$2:$AA$1000=AK315),$AD$2:$AD$1000)),"")</f>
        <v/>
      </c>
      <c r="AO315" s="33" t="str" cm="1">
        <f t="array" ref="AO315">IFERROR(INDEX($AA$2:$AA$282,MATCH(0,COUNTIF('Paste Here'!$AK$1:AK314,$AA$2:$AA$282),0)),"")</f>
        <v/>
      </c>
      <c r="AP315" s="33" t="str">
        <f>IF(COUNTIF('Paste Here'!$AK$2:AK315,'Paste Here'!AK315)=1,VALUE('Paste Here'!AK315),"")</f>
        <v/>
      </c>
    </row>
    <row r="316" spans="1:42" x14ac:dyDescent="0.3">
      <c r="A316" s="2"/>
      <c r="B316" s="2"/>
      <c r="C316" s="2"/>
      <c r="D316" s="3"/>
      <c r="E316" s="2"/>
      <c r="F316" s="2"/>
      <c r="G316" s="2"/>
      <c r="H316" s="2"/>
      <c r="AA316" s="33" t="str">
        <f t="shared" si="13"/>
        <v/>
      </c>
      <c r="AC316" s="33">
        <f t="shared" si="12"/>
        <v>1048540</v>
      </c>
      <c r="AD316" s="33" t="str">
        <f t="shared" si="14"/>
        <v/>
      </c>
      <c r="AE316" s="33" t="str" cm="1">
        <f t="array" ref="AE316">LOOKUP(2,1/($AB$2:$AB$1000=AB316),$AD$2:$AD$1000)</f>
        <v/>
      </c>
      <c r="AL316" s="39" t="str">
        <f>IF(AK316="","",
   IF(
      COUNTIF('Paste Here'!$AA$2:$AA$1000,AK316)=0,
      "",
      ROUNDDOWN(COUNTIF('Paste Here'!$AA$2:$AA$1000,AK316)/2,0)
   )
)</f>
        <v/>
      </c>
      <c r="AM316" s="39" t="str" cm="1">
        <f t="array" ref="AM316">IFERROR(IF(LOOKUP(2,1/($AA$2:$AA$1000=AK316),$AD$2:$AD$1000)=0,"",
LOOKUP(2,1/($AA$2:$AA$1000=AK316),$AD$2:$AD$1000)),"")</f>
        <v/>
      </c>
      <c r="AO316" s="33" t="str" cm="1">
        <f t="array" ref="AO316">IFERROR(INDEX($AA$2:$AA$282,MATCH(0,COUNTIF('Paste Here'!$AK$1:AK315,$AA$2:$AA$282),0)),"")</f>
        <v/>
      </c>
      <c r="AP316" s="33" t="str">
        <f>IF(COUNTIF('Paste Here'!$AK$2:AK316,'Paste Here'!AK316)=1,VALUE('Paste Here'!AK316),"")</f>
        <v/>
      </c>
    </row>
    <row r="317" spans="1:42" x14ac:dyDescent="0.3">
      <c r="A317" s="2"/>
      <c r="B317" s="2"/>
      <c r="C317" s="2"/>
      <c r="D317" s="3"/>
      <c r="E317" s="2"/>
      <c r="F317" s="2"/>
      <c r="G317" s="2"/>
      <c r="H317" s="2"/>
      <c r="AA317" s="33" t="str">
        <f t="shared" si="13"/>
        <v/>
      </c>
      <c r="AC317" s="33">
        <f t="shared" si="12"/>
        <v>1048540</v>
      </c>
      <c r="AD317" s="33" t="str">
        <f t="shared" si="14"/>
        <v/>
      </c>
      <c r="AE317" s="33" t="str" cm="1">
        <f t="array" ref="AE317">LOOKUP(2,1/($AB$2:$AB$1000=AB317),$AD$2:$AD$1000)</f>
        <v/>
      </c>
      <c r="AL317" s="39" t="str">
        <f>IF(AK317="","",
   IF(
      COUNTIF('Paste Here'!$AA$2:$AA$1000,AK317)=0,
      "",
      ROUNDDOWN(COUNTIF('Paste Here'!$AA$2:$AA$1000,AK317)/2,0)
   )
)</f>
        <v/>
      </c>
      <c r="AM317" s="39" t="str" cm="1">
        <f t="array" ref="AM317">IFERROR(IF(LOOKUP(2,1/($AA$2:$AA$1000=AK317),$AD$2:$AD$1000)=0,"",
LOOKUP(2,1/($AA$2:$AA$1000=AK317),$AD$2:$AD$1000)),"")</f>
        <v/>
      </c>
      <c r="AO317" s="33" t="str" cm="1">
        <f t="array" ref="AO317">IFERROR(INDEX($AA$2:$AA$282,MATCH(0,COUNTIF('Paste Here'!$AK$1:AK316,$AA$2:$AA$282),0)),"")</f>
        <v/>
      </c>
      <c r="AP317" s="33" t="str">
        <f>IF(COUNTIF('Paste Here'!$AK$2:AK317,'Paste Here'!AK317)=1,VALUE('Paste Here'!AK317),"")</f>
        <v/>
      </c>
    </row>
    <row r="318" spans="1:42" x14ac:dyDescent="0.3">
      <c r="A318" s="2"/>
      <c r="B318" s="2"/>
      <c r="C318" s="2"/>
      <c r="D318" s="3"/>
      <c r="E318" s="2"/>
      <c r="F318" s="2"/>
      <c r="G318" s="2"/>
      <c r="H318" s="2"/>
      <c r="AA318" s="33" t="str">
        <f t="shared" si="13"/>
        <v/>
      </c>
      <c r="AC318" s="33">
        <f t="shared" si="12"/>
        <v>1048540</v>
      </c>
      <c r="AD318" s="33" t="str">
        <f t="shared" si="14"/>
        <v/>
      </c>
      <c r="AE318" s="33" t="str" cm="1">
        <f t="array" ref="AE318">LOOKUP(2,1/($AB$2:$AB$1000=AB318),$AD$2:$AD$1000)</f>
        <v/>
      </c>
      <c r="AL318" s="39" t="str">
        <f>IF(AK318="","",
   IF(
      COUNTIF('Paste Here'!$AA$2:$AA$1000,AK318)=0,
      "",
      ROUNDDOWN(COUNTIF('Paste Here'!$AA$2:$AA$1000,AK318)/2,0)
   )
)</f>
        <v/>
      </c>
      <c r="AM318" s="39" t="str" cm="1">
        <f t="array" ref="AM318">IFERROR(IF(LOOKUP(2,1/($AA$2:$AA$1000=AK318),$AD$2:$AD$1000)=0,"",
LOOKUP(2,1/($AA$2:$AA$1000=AK318),$AD$2:$AD$1000)),"")</f>
        <v/>
      </c>
      <c r="AO318" s="33" t="str" cm="1">
        <f t="array" ref="AO318">IFERROR(INDEX($AA$2:$AA$282,MATCH(0,COUNTIF('Paste Here'!$AK$1:AK317,$AA$2:$AA$282),0)),"")</f>
        <v/>
      </c>
      <c r="AP318" s="33" t="str">
        <f>IF(COUNTIF('Paste Here'!$AK$2:AK318,'Paste Here'!AK318)=1,VALUE('Paste Here'!AK318),"")</f>
        <v/>
      </c>
    </row>
    <row r="319" spans="1:42" x14ac:dyDescent="0.3">
      <c r="A319" s="2"/>
      <c r="B319" s="2"/>
      <c r="C319" s="2"/>
      <c r="D319" s="3"/>
      <c r="E319" s="2"/>
      <c r="F319" s="2"/>
      <c r="G319" s="2"/>
      <c r="H319" s="2"/>
      <c r="AA319" s="33" t="str">
        <f t="shared" si="13"/>
        <v/>
      </c>
      <c r="AC319" s="33">
        <f t="shared" si="12"/>
        <v>1048540</v>
      </c>
      <c r="AD319" s="33" t="str">
        <f t="shared" si="14"/>
        <v/>
      </c>
      <c r="AE319" s="33" t="str" cm="1">
        <f t="array" ref="AE319">LOOKUP(2,1/($AB$2:$AB$1000=AB319),$AD$2:$AD$1000)</f>
        <v/>
      </c>
      <c r="AL319" s="39" t="str">
        <f>IF(AK319="","",
   IF(
      COUNTIF('Paste Here'!$AA$2:$AA$1000,AK319)=0,
      "",
      ROUNDDOWN(COUNTIF('Paste Here'!$AA$2:$AA$1000,AK319)/2,0)
   )
)</f>
        <v/>
      </c>
      <c r="AM319" s="39" t="str" cm="1">
        <f t="array" ref="AM319">IFERROR(IF(LOOKUP(2,1/($AA$2:$AA$1000=AK319),$AD$2:$AD$1000)=0,"",
LOOKUP(2,1/($AA$2:$AA$1000=AK319),$AD$2:$AD$1000)),"")</f>
        <v/>
      </c>
      <c r="AO319" s="33" t="str" cm="1">
        <f t="array" ref="AO319">IFERROR(INDEX($AA$2:$AA$282,MATCH(0,COUNTIF('Paste Here'!$AK$1:AK318,$AA$2:$AA$282),0)),"")</f>
        <v/>
      </c>
      <c r="AP319" s="33" t="str">
        <f>IF(COUNTIF('Paste Here'!$AK$2:AK319,'Paste Here'!AK319)=1,VALUE('Paste Here'!AK319),"")</f>
        <v/>
      </c>
    </row>
    <row r="320" spans="1:42" x14ac:dyDescent="0.3">
      <c r="A320" s="2"/>
      <c r="B320" s="2"/>
      <c r="C320" s="2"/>
      <c r="D320" s="3"/>
      <c r="E320" s="2"/>
      <c r="F320" s="2"/>
      <c r="G320" s="2"/>
      <c r="H320" s="2"/>
      <c r="AA320" s="33" t="str">
        <f t="shared" si="13"/>
        <v/>
      </c>
      <c r="AC320" s="33">
        <f t="shared" si="12"/>
        <v>1048540</v>
      </c>
      <c r="AD320" s="33" t="str">
        <f t="shared" si="14"/>
        <v/>
      </c>
      <c r="AE320" s="33" t="str" cm="1">
        <f t="array" ref="AE320">LOOKUP(2,1/($AB$2:$AB$1000=AB320),$AD$2:$AD$1000)</f>
        <v/>
      </c>
      <c r="AL320" s="39" t="str">
        <f>IF(AK320="","",
   IF(
      COUNTIF('Paste Here'!$AA$2:$AA$1000,AK320)=0,
      "",
      ROUNDDOWN(COUNTIF('Paste Here'!$AA$2:$AA$1000,AK320)/2,0)
   )
)</f>
        <v/>
      </c>
      <c r="AM320" s="39" t="str" cm="1">
        <f t="array" ref="AM320">IFERROR(IF(LOOKUP(2,1/($AA$2:$AA$1000=AK320),$AD$2:$AD$1000)=0,"",
LOOKUP(2,1/($AA$2:$AA$1000=AK320),$AD$2:$AD$1000)),"")</f>
        <v/>
      </c>
      <c r="AO320" s="33" t="str" cm="1">
        <f t="array" ref="AO320">IFERROR(INDEX($AA$2:$AA$282,MATCH(0,COUNTIF('Paste Here'!$AK$1:AK319,$AA$2:$AA$282),0)),"")</f>
        <v/>
      </c>
      <c r="AP320" s="33" t="str">
        <f>IF(COUNTIF('Paste Here'!$AK$2:AK320,'Paste Here'!AK320)=1,VALUE('Paste Here'!AK320),"")</f>
        <v/>
      </c>
    </row>
    <row r="321" spans="1:42" x14ac:dyDescent="0.3">
      <c r="A321" s="2"/>
      <c r="B321" s="2"/>
      <c r="C321" s="2"/>
      <c r="D321" s="3"/>
      <c r="E321" s="2"/>
      <c r="F321" s="2"/>
      <c r="G321" s="2"/>
      <c r="H321" s="2"/>
      <c r="AA321" s="33" t="str">
        <f t="shared" si="13"/>
        <v/>
      </c>
      <c r="AC321" s="33">
        <f t="shared" si="12"/>
        <v>1048540</v>
      </c>
      <c r="AD321" s="33" t="str">
        <f t="shared" si="14"/>
        <v/>
      </c>
      <c r="AE321" s="33" t="str" cm="1">
        <f t="array" ref="AE321">LOOKUP(2,1/($AB$2:$AB$1000=AB321),$AD$2:$AD$1000)</f>
        <v/>
      </c>
      <c r="AL321" s="39" t="str">
        <f>IF(AK321="","",
   IF(
      COUNTIF('Paste Here'!$AA$2:$AA$1000,AK321)=0,
      "",
      ROUNDDOWN(COUNTIF('Paste Here'!$AA$2:$AA$1000,AK321)/2,0)
   )
)</f>
        <v/>
      </c>
      <c r="AM321" s="39" t="str" cm="1">
        <f t="array" ref="AM321">IFERROR(IF(LOOKUP(2,1/($AA$2:$AA$1000=AK321),$AD$2:$AD$1000)=0,"",
LOOKUP(2,1/($AA$2:$AA$1000=AK321),$AD$2:$AD$1000)),"")</f>
        <v/>
      </c>
      <c r="AO321" s="33" t="str" cm="1">
        <f t="array" ref="AO321">IFERROR(INDEX($AA$2:$AA$282,MATCH(0,COUNTIF('Paste Here'!$AK$1:AK320,$AA$2:$AA$282),0)),"")</f>
        <v/>
      </c>
      <c r="AP321" s="33" t="str">
        <f>IF(COUNTIF('Paste Here'!$AK$2:AK321,'Paste Here'!AK321)=1,VALUE('Paste Here'!AK321),"")</f>
        <v/>
      </c>
    </row>
    <row r="322" spans="1:42" x14ac:dyDescent="0.3">
      <c r="A322"/>
      <c r="B322"/>
      <c r="C322"/>
      <c r="D322" s="4"/>
      <c r="E322"/>
      <c r="F322"/>
      <c r="G322"/>
      <c r="H322"/>
      <c r="AA322" s="33" t="str">
        <f t="shared" si="13"/>
        <v/>
      </c>
      <c r="AC322" s="33">
        <f t="shared" ref="AC322:AC385" si="15">COUNTIF($AA:$AA,AA322)</f>
        <v>1048540</v>
      </c>
      <c r="AD322" s="33" t="str">
        <f t="shared" si="14"/>
        <v/>
      </c>
      <c r="AE322" s="33" t="str" cm="1">
        <f t="array" ref="AE322">LOOKUP(2,1/($AB$2:$AB$1000=AB322),$AD$2:$AD$1000)</f>
        <v/>
      </c>
      <c r="AL322" s="39" t="str">
        <f>IF(AK322="","",
   IF(
      COUNTIF('Paste Here'!$AA$2:$AA$1000,AK322)=0,
      "",
      ROUNDDOWN(COUNTIF('Paste Here'!$AA$2:$AA$1000,AK322)/2,0)
   )
)</f>
        <v/>
      </c>
      <c r="AM322" s="39" t="str" cm="1">
        <f t="array" ref="AM322">IFERROR(IF(LOOKUP(2,1/($AA$2:$AA$1000=AK322),$AD$2:$AD$1000)=0,"",
LOOKUP(2,1/($AA$2:$AA$1000=AK322),$AD$2:$AD$1000)),"")</f>
        <v/>
      </c>
      <c r="AO322" s="33" t="str" cm="1">
        <f t="array" ref="AO322">IFERROR(INDEX($AA$2:$AA$282,MATCH(0,COUNTIF('Paste Here'!$AK$1:AK321,$AA$2:$AA$282),0)),"")</f>
        <v/>
      </c>
      <c r="AP322" s="33" t="str">
        <f>IF(COUNTIF('Paste Here'!$AK$2:AK322,'Paste Here'!AK322)=1,VALUE('Paste Here'!AK322),"")</f>
        <v/>
      </c>
    </row>
    <row r="323" spans="1:42" x14ac:dyDescent="0.3">
      <c r="A323" s="2"/>
      <c r="B323" s="2"/>
      <c r="C323" s="2"/>
      <c r="D323" s="3"/>
      <c r="E323" s="2"/>
      <c r="F323" s="2"/>
      <c r="G323" s="2"/>
      <c r="H323" s="2"/>
      <c r="AA323" s="33" t="str">
        <f t="shared" ref="AA323:AA386" si="16">IFERROR(MID(G323,FIND("LR-",G323)+3,FIND("-",G323,FIND("LR-",G323)+3)-FIND("LR-",G323)-3),"")</f>
        <v/>
      </c>
      <c r="AC323" s="33">
        <f t="shared" si="15"/>
        <v>1048540</v>
      </c>
      <c r="AD323" s="33" t="str">
        <f t="shared" ref="AD323:AD386" si="17">IF(F323=0,"",F323)</f>
        <v/>
      </c>
      <c r="AE323" s="33" t="str" cm="1">
        <f t="array" ref="AE323">LOOKUP(2,1/($AB$2:$AB$1000=AB323),$AD$2:$AD$1000)</f>
        <v/>
      </c>
      <c r="AL323" s="39" t="str">
        <f>IF(AK323="","",
   IF(
      COUNTIF('Paste Here'!$AA$2:$AA$1000,AK323)=0,
      "",
      ROUNDDOWN(COUNTIF('Paste Here'!$AA$2:$AA$1000,AK323)/2,0)
   )
)</f>
        <v/>
      </c>
      <c r="AM323" s="39" t="str" cm="1">
        <f t="array" ref="AM323">IFERROR(IF(LOOKUP(2,1/($AA$2:$AA$1000=AK323),$AD$2:$AD$1000)=0,"",
LOOKUP(2,1/($AA$2:$AA$1000=AK323),$AD$2:$AD$1000)),"")</f>
        <v/>
      </c>
      <c r="AO323" s="33" t="str" cm="1">
        <f t="array" ref="AO323">IFERROR(INDEX($AA$2:$AA$282,MATCH(0,COUNTIF('Paste Here'!$AK$1:AK322,$AA$2:$AA$282),0)),"")</f>
        <v/>
      </c>
      <c r="AP323" s="33" t="str">
        <f>IF(COUNTIF('Paste Here'!$AK$2:AK323,'Paste Here'!AK323)=1,VALUE('Paste Here'!AK323),"")</f>
        <v/>
      </c>
    </row>
    <row r="324" spans="1:42" x14ac:dyDescent="0.3">
      <c r="A324" s="2"/>
      <c r="B324" s="2"/>
      <c r="C324" s="2"/>
      <c r="D324" s="3"/>
      <c r="E324" s="2"/>
      <c r="F324" s="2"/>
      <c r="G324" s="2"/>
      <c r="H324" s="2"/>
      <c r="AA324" s="33" t="str">
        <f t="shared" si="16"/>
        <v/>
      </c>
      <c r="AC324" s="33">
        <f t="shared" si="15"/>
        <v>1048540</v>
      </c>
      <c r="AD324" s="33" t="str">
        <f t="shared" si="17"/>
        <v/>
      </c>
      <c r="AE324" s="33" t="str" cm="1">
        <f t="array" ref="AE324">LOOKUP(2,1/($AB$2:$AB$1000=AB324),$AD$2:$AD$1000)</f>
        <v/>
      </c>
      <c r="AL324" s="39" t="str">
        <f>IF(AK324="","",
   IF(
      COUNTIF('Paste Here'!$AA$2:$AA$1000,AK324)=0,
      "",
      ROUNDDOWN(COUNTIF('Paste Here'!$AA$2:$AA$1000,AK324)/2,0)
   )
)</f>
        <v/>
      </c>
      <c r="AM324" s="39" t="str" cm="1">
        <f t="array" ref="AM324">IFERROR(IF(LOOKUP(2,1/($AA$2:$AA$1000=AK324),$AD$2:$AD$1000)=0,"",
LOOKUP(2,1/($AA$2:$AA$1000=AK324),$AD$2:$AD$1000)),"")</f>
        <v/>
      </c>
      <c r="AO324" s="33" t="str" cm="1">
        <f t="array" ref="AO324">IFERROR(INDEX($AA$2:$AA$282,MATCH(0,COUNTIF('Paste Here'!$AK$1:AK323,$AA$2:$AA$282),0)),"")</f>
        <v/>
      </c>
      <c r="AP324" s="33" t="str">
        <f>IF(COUNTIF('Paste Here'!$AK$2:AK324,'Paste Here'!AK324)=1,VALUE('Paste Here'!AK324),"")</f>
        <v/>
      </c>
    </row>
    <row r="325" spans="1:42" x14ac:dyDescent="0.3">
      <c r="A325"/>
      <c r="B325"/>
      <c r="C325"/>
      <c r="D325" s="4"/>
      <c r="E325"/>
      <c r="F325"/>
      <c r="G325"/>
      <c r="H325"/>
      <c r="AA325" s="33" t="str">
        <f t="shared" si="16"/>
        <v/>
      </c>
      <c r="AC325" s="33">
        <f t="shared" si="15"/>
        <v>1048540</v>
      </c>
      <c r="AD325" s="33" t="str">
        <f t="shared" si="17"/>
        <v/>
      </c>
      <c r="AE325" s="33" t="str" cm="1">
        <f t="array" ref="AE325">LOOKUP(2,1/($AB$2:$AB$1000=AB325),$AD$2:$AD$1000)</f>
        <v/>
      </c>
      <c r="AL325" s="39" t="str">
        <f>IF(AK325="","",
   IF(
      COUNTIF('Paste Here'!$AA$2:$AA$1000,AK325)=0,
      "",
      ROUNDDOWN(COUNTIF('Paste Here'!$AA$2:$AA$1000,AK325)/2,0)
   )
)</f>
        <v/>
      </c>
      <c r="AM325" s="39" t="str" cm="1">
        <f t="array" ref="AM325">IFERROR(IF(LOOKUP(2,1/($AA$2:$AA$1000=AK325),$AD$2:$AD$1000)=0,"",
LOOKUP(2,1/($AA$2:$AA$1000=AK325),$AD$2:$AD$1000)),"")</f>
        <v/>
      </c>
      <c r="AO325" s="33" t="str" cm="1">
        <f t="array" ref="AO325">IFERROR(INDEX($AA$2:$AA$282,MATCH(0,COUNTIF('Paste Here'!$AK$1:AK324,$AA$2:$AA$282),0)),"")</f>
        <v/>
      </c>
      <c r="AP325" s="33" t="str">
        <f>IF(COUNTIF('Paste Here'!$AK$2:AK325,'Paste Here'!AK325)=1,VALUE('Paste Here'!AK325),"")</f>
        <v/>
      </c>
    </row>
    <row r="326" spans="1:42" x14ac:dyDescent="0.3">
      <c r="A326"/>
      <c r="B326"/>
      <c r="C326"/>
      <c r="D326" s="4"/>
      <c r="E326"/>
      <c r="F326"/>
      <c r="G326"/>
      <c r="H326"/>
      <c r="AA326" s="33" t="str">
        <f t="shared" si="16"/>
        <v/>
      </c>
      <c r="AC326" s="33">
        <f t="shared" si="15"/>
        <v>1048540</v>
      </c>
      <c r="AD326" s="33" t="str">
        <f t="shared" si="17"/>
        <v/>
      </c>
      <c r="AE326" s="33" t="str" cm="1">
        <f t="array" ref="AE326">LOOKUP(2,1/($AB$2:$AB$1000=AB326),$AD$2:$AD$1000)</f>
        <v/>
      </c>
      <c r="AL326" s="39" t="str">
        <f>IF(AK326="","",
   IF(
      COUNTIF('Paste Here'!$AA$2:$AA$1000,AK326)=0,
      "",
      ROUNDDOWN(COUNTIF('Paste Here'!$AA$2:$AA$1000,AK326)/2,0)
   )
)</f>
        <v/>
      </c>
      <c r="AM326" s="39" t="str" cm="1">
        <f t="array" ref="AM326">IFERROR(IF(LOOKUP(2,1/($AA$2:$AA$1000=AK326),$AD$2:$AD$1000)=0,"",
LOOKUP(2,1/($AA$2:$AA$1000=AK326),$AD$2:$AD$1000)),"")</f>
        <v/>
      </c>
      <c r="AO326" s="33" t="str" cm="1">
        <f t="array" ref="AO326">IFERROR(INDEX($AA$2:$AA$282,MATCH(0,COUNTIF('Paste Here'!$AK$1:AK325,$AA$2:$AA$282),0)),"")</f>
        <v/>
      </c>
      <c r="AP326" s="33" t="str">
        <f>IF(COUNTIF('Paste Here'!$AK$2:AK326,'Paste Here'!AK326)=1,VALUE('Paste Here'!AK326),"")</f>
        <v/>
      </c>
    </row>
    <row r="327" spans="1:42" x14ac:dyDescent="0.3">
      <c r="A327"/>
      <c r="B327"/>
      <c r="C327"/>
      <c r="D327" s="4"/>
      <c r="E327"/>
      <c r="F327"/>
      <c r="G327"/>
      <c r="H327"/>
      <c r="AA327" s="33" t="str">
        <f t="shared" si="16"/>
        <v/>
      </c>
      <c r="AC327" s="33">
        <f t="shared" si="15"/>
        <v>1048540</v>
      </c>
      <c r="AD327" s="33" t="str">
        <f t="shared" si="17"/>
        <v/>
      </c>
      <c r="AE327" s="33" t="str" cm="1">
        <f t="array" ref="AE327">LOOKUP(2,1/($AB$2:$AB$1000=AB327),$AD$2:$AD$1000)</f>
        <v/>
      </c>
      <c r="AL327" s="39" t="str">
        <f>IF(AK327="","",
   IF(
      COUNTIF('Paste Here'!$AA$2:$AA$1000,AK327)=0,
      "",
      ROUNDDOWN(COUNTIF('Paste Here'!$AA$2:$AA$1000,AK327)/2,0)
   )
)</f>
        <v/>
      </c>
      <c r="AM327" s="39" t="str" cm="1">
        <f t="array" ref="AM327">IFERROR(IF(LOOKUP(2,1/($AA$2:$AA$1000=AK327),$AD$2:$AD$1000)=0,"",
LOOKUP(2,1/($AA$2:$AA$1000=AK327),$AD$2:$AD$1000)),"")</f>
        <v/>
      </c>
      <c r="AO327" s="33" t="str" cm="1">
        <f t="array" ref="AO327">IFERROR(INDEX($AA$2:$AA$282,MATCH(0,COUNTIF('Paste Here'!$AK$1:AK326,$AA$2:$AA$282),0)),"")</f>
        <v/>
      </c>
      <c r="AP327" s="33" t="str">
        <f>IF(COUNTIF('Paste Here'!$AK$2:AK327,'Paste Here'!AK327)=1,VALUE('Paste Here'!AK327),"")</f>
        <v/>
      </c>
    </row>
    <row r="328" spans="1:42" x14ac:dyDescent="0.3">
      <c r="A328"/>
      <c r="B328"/>
      <c r="C328"/>
      <c r="D328" s="4"/>
      <c r="E328"/>
      <c r="F328"/>
      <c r="G328"/>
      <c r="H328"/>
      <c r="AA328" s="33" t="str">
        <f t="shared" si="16"/>
        <v/>
      </c>
      <c r="AC328" s="33">
        <f t="shared" si="15"/>
        <v>1048540</v>
      </c>
      <c r="AD328" s="33" t="str">
        <f t="shared" si="17"/>
        <v/>
      </c>
      <c r="AE328" s="33" t="str" cm="1">
        <f t="array" ref="AE328">LOOKUP(2,1/($AB$2:$AB$1000=AB328),$AD$2:$AD$1000)</f>
        <v/>
      </c>
      <c r="AL328" s="39" t="str">
        <f>IF(AK328="","",
   IF(
      COUNTIF('Paste Here'!$AA$2:$AA$1000,AK328)=0,
      "",
      ROUNDDOWN(COUNTIF('Paste Here'!$AA$2:$AA$1000,AK328)/2,0)
   )
)</f>
        <v/>
      </c>
      <c r="AM328" s="39" t="str" cm="1">
        <f t="array" ref="AM328">IFERROR(IF(LOOKUP(2,1/($AA$2:$AA$1000=AK328),$AD$2:$AD$1000)=0,"",
LOOKUP(2,1/($AA$2:$AA$1000=AK328),$AD$2:$AD$1000)),"")</f>
        <v/>
      </c>
      <c r="AO328" s="33" t="str" cm="1">
        <f t="array" ref="AO328">IFERROR(INDEX($AA$2:$AA$282,MATCH(0,COUNTIF('Paste Here'!$AK$1:AK327,$AA$2:$AA$282),0)),"")</f>
        <v/>
      </c>
      <c r="AP328" s="33" t="str">
        <f>IF(COUNTIF('Paste Here'!$AK$2:AK328,'Paste Here'!AK328)=1,VALUE('Paste Here'!AK328),"")</f>
        <v/>
      </c>
    </row>
    <row r="329" spans="1:42" x14ac:dyDescent="0.3">
      <c r="A329"/>
      <c r="B329"/>
      <c r="C329"/>
      <c r="D329" s="4"/>
      <c r="E329"/>
      <c r="F329"/>
      <c r="G329"/>
      <c r="H329"/>
      <c r="AA329" s="33" t="str">
        <f t="shared" si="16"/>
        <v/>
      </c>
      <c r="AC329" s="33">
        <f t="shared" si="15"/>
        <v>1048540</v>
      </c>
      <c r="AD329" s="33" t="str">
        <f t="shared" si="17"/>
        <v/>
      </c>
      <c r="AE329" s="33" t="str" cm="1">
        <f t="array" ref="AE329">LOOKUP(2,1/($AB$2:$AB$1000=AB329),$AD$2:$AD$1000)</f>
        <v/>
      </c>
      <c r="AL329" s="39" t="str">
        <f>IF(AK329="","",
   IF(
      COUNTIF('Paste Here'!$AA$2:$AA$1000,AK329)=0,
      "",
      ROUNDDOWN(COUNTIF('Paste Here'!$AA$2:$AA$1000,AK329)/2,0)
   )
)</f>
        <v/>
      </c>
      <c r="AM329" s="39" t="str" cm="1">
        <f t="array" ref="AM329">IFERROR(IF(LOOKUP(2,1/($AA$2:$AA$1000=AK329),$AD$2:$AD$1000)=0,"",
LOOKUP(2,1/($AA$2:$AA$1000=AK329),$AD$2:$AD$1000)),"")</f>
        <v/>
      </c>
      <c r="AO329" s="33" t="str" cm="1">
        <f t="array" ref="AO329">IFERROR(INDEX($AA$2:$AA$282,MATCH(0,COUNTIF('Paste Here'!$AK$1:AK328,$AA$2:$AA$282),0)),"")</f>
        <v/>
      </c>
      <c r="AP329" s="33" t="str">
        <f>IF(COUNTIF('Paste Here'!$AK$2:AK329,'Paste Here'!AK329)=1,VALUE('Paste Here'!AK329),"")</f>
        <v/>
      </c>
    </row>
    <row r="330" spans="1:42" x14ac:dyDescent="0.3">
      <c r="A330"/>
      <c r="B330"/>
      <c r="C330"/>
      <c r="D330" s="4"/>
      <c r="E330"/>
      <c r="F330"/>
      <c r="G330"/>
      <c r="H330"/>
      <c r="AA330" s="33" t="str">
        <f t="shared" si="16"/>
        <v/>
      </c>
      <c r="AC330" s="33">
        <f t="shared" si="15"/>
        <v>1048540</v>
      </c>
      <c r="AD330" s="33" t="str">
        <f t="shared" si="17"/>
        <v/>
      </c>
      <c r="AE330" s="33" t="str" cm="1">
        <f t="array" ref="AE330">LOOKUP(2,1/($AB$2:$AB$1000=AB330),$AD$2:$AD$1000)</f>
        <v/>
      </c>
      <c r="AL330" s="39" t="str">
        <f>IF(AK330="","",
   IF(
      COUNTIF('Paste Here'!$AA$2:$AA$1000,AK330)=0,
      "",
      ROUNDDOWN(COUNTIF('Paste Here'!$AA$2:$AA$1000,AK330)/2,0)
   )
)</f>
        <v/>
      </c>
      <c r="AM330" s="39" t="str" cm="1">
        <f t="array" ref="AM330">IFERROR(IF(LOOKUP(2,1/($AA$2:$AA$1000=AK330),$AD$2:$AD$1000)=0,"",
LOOKUP(2,1/($AA$2:$AA$1000=AK330),$AD$2:$AD$1000)),"")</f>
        <v/>
      </c>
      <c r="AO330" s="33" t="str" cm="1">
        <f t="array" ref="AO330">IFERROR(INDEX($AA$2:$AA$282,MATCH(0,COUNTIF('Paste Here'!$AK$1:AK329,$AA$2:$AA$282),0)),"")</f>
        <v/>
      </c>
      <c r="AP330" s="33" t="str">
        <f>IF(COUNTIF('Paste Here'!$AK$2:AK330,'Paste Here'!AK330)=1,VALUE('Paste Here'!AK330),"")</f>
        <v/>
      </c>
    </row>
    <row r="331" spans="1:42" x14ac:dyDescent="0.3">
      <c r="A331"/>
      <c r="B331"/>
      <c r="C331"/>
      <c r="D331" s="4"/>
      <c r="E331"/>
      <c r="F331"/>
      <c r="G331"/>
      <c r="H331"/>
      <c r="AA331" s="33" t="str">
        <f t="shared" si="16"/>
        <v/>
      </c>
      <c r="AC331" s="33">
        <f t="shared" si="15"/>
        <v>1048540</v>
      </c>
      <c r="AD331" s="33" t="str">
        <f t="shared" si="17"/>
        <v/>
      </c>
      <c r="AE331" s="33" t="str" cm="1">
        <f t="array" ref="AE331">LOOKUP(2,1/($AB$2:$AB$1000=AB331),$AD$2:$AD$1000)</f>
        <v/>
      </c>
      <c r="AL331" s="39" t="str">
        <f>IF(AK331="","",
   IF(
      COUNTIF('Paste Here'!$AA$2:$AA$1000,AK331)=0,
      "",
      ROUNDDOWN(COUNTIF('Paste Here'!$AA$2:$AA$1000,AK331)/2,0)
   )
)</f>
        <v/>
      </c>
      <c r="AM331" s="39" t="str" cm="1">
        <f t="array" ref="AM331">IFERROR(IF(LOOKUP(2,1/($AA$2:$AA$1000=AK331),$AD$2:$AD$1000)=0,"",
LOOKUP(2,1/($AA$2:$AA$1000=AK331),$AD$2:$AD$1000)),"")</f>
        <v/>
      </c>
      <c r="AO331" s="33" t="str" cm="1">
        <f t="array" ref="AO331">IFERROR(INDEX($AA$2:$AA$282,MATCH(0,COUNTIF('Paste Here'!$AK$1:AK330,$AA$2:$AA$282),0)),"")</f>
        <v/>
      </c>
      <c r="AP331" s="33" t="str">
        <f>IF(COUNTIF('Paste Here'!$AK$2:AK331,'Paste Here'!AK331)=1,VALUE('Paste Here'!AK331),"")</f>
        <v/>
      </c>
    </row>
    <row r="332" spans="1:42" x14ac:dyDescent="0.3">
      <c r="A332"/>
      <c r="B332"/>
      <c r="C332"/>
      <c r="D332" s="4"/>
      <c r="E332"/>
      <c r="F332"/>
      <c r="G332"/>
      <c r="H332"/>
      <c r="AA332" s="33" t="str">
        <f t="shared" si="16"/>
        <v/>
      </c>
      <c r="AC332" s="33">
        <f t="shared" si="15"/>
        <v>1048540</v>
      </c>
      <c r="AD332" s="33" t="str">
        <f t="shared" si="17"/>
        <v/>
      </c>
      <c r="AE332" s="33" t="str" cm="1">
        <f t="array" ref="AE332">LOOKUP(2,1/($AB$2:$AB$1000=AB332),$AD$2:$AD$1000)</f>
        <v/>
      </c>
      <c r="AL332" s="39" t="str">
        <f>IF(AK332="","",
   IF(
      COUNTIF('Paste Here'!$AA$2:$AA$1000,AK332)=0,
      "",
      ROUNDDOWN(COUNTIF('Paste Here'!$AA$2:$AA$1000,AK332)/2,0)
   )
)</f>
        <v/>
      </c>
      <c r="AM332" s="39" t="str" cm="1">
        <f t="array" ref="AM332">IFERROR(IF(LOOKUP(2,1/($AA$2:$AA$1000=AK332),$AD$2:$AD$1000)=0,"",
LOOKUP(2,1/($AA$2:$AA$1000=AK332),$AD$2:$AD$1000)),"")</f>
        <v/>
      </c>
      <c r="AO332" s="33" t="str" cm="1">
        <f t="array" ref="AO332">IFERROR(INDEX($AA$2:$AA$282,MATCH(0,COUNTIF('Paste Here'!$AK$1:AK331,$AA$2:$AA$282),0)),"")</f>
        <v/>
      </c>
      <c r="AP332" s="33" t="str">
        <f>IF(COUNTIF('Paste Here'!$AK$2:AK332,'Paste Here'!AK332)=1,VALUE('Paste Here'!AK332),"")</f>
        <v/>
      </c>
    </row>
    <row r="333" spans="1:42" x14ac:dyDescent="0.3">
      <c r="A333"/>
      <c r="B333"/>
      <c r="C333"/>
      <c r="D333" s="4"/>
      <c r="E333"/>
      <c r="F333"/>
      <c r="G333"/>
      <c r="H333"/>
      <c r="AA333" s="33" t="str">
        <f t="shared" si="16"/>
        <v/>
      </c>
      <c r="AC333" s="33">
        <f t="shared" si="15"/>
        <v>1048540</v>
      </c>
      <c r="AD333" s="33" t="str">
        <f t="shared" si="17"/>
        <v/>
      </c>
      <c r="AE333" s="33" t="str" cm="1">
        <f t="array" ref="AE333">LOOKUP(2,1/($AB$2:$AB$1000=AB333),$AD$2:$AD$1000)</f>
        <v/>
      </c>
      <c r="AL333" s="39" t="str">
        <f>IF(AK333="","",
   IF(
      COUNTIF('Paste Here'!$AA$2:$AA$1000,AK333)=0,
      "",
      ROUNDDOWN(COUNTIF('Paste Here'!$AA$2:$AA$1000,AK333)/2,0)
   )
)</f>
        <v/>
      </c>
      <c r="AM333" s="39" t="str" cm="1">
        <f t="array" ref="AM333">IFERROR(IF(LOOKUP(2,1/($AA$2:$AA$1000=AK333),$AD$2:$AD$1000)=0,"",
LOOKUP(2,1/($AA$2:$AA$1000=AK333),$AD$2:$AD$1000)),"")</f>
        <v/>
      </c>
      <c r="AO333" s="33" t="str" cm="1">
        <f t="array" ref="AO333">IFERROR(INDEX($AA$2:$AA$282,MATCH(0,COUNTIF('Paste Here'!$AK$1:AK332,$AA$2:$AA$282),0)),"")</f>
        <v/>
      </c>
      <c r="AP333" s="33" t="str">
        <f>IF(COUNTIF('Paste Here'!$AK$2:AK333,'Paste Here'!AK333)=1,VALUE('Paste Here'!AK333),"")</f>
        <v/>
      </c>
    </row>
    <row r="334" spans="1:42" x14ac:dyDescent="0.3">
      <c r="A334"/>
      <c r="B334"/>
      <c r="C334"/>
      <c r="D334" s="4"/>
      <c r="E334"/>
      <c r="F334"/>
      <c r="G334"/>
      <c r="H334"/>
      <c r="AA334" s="33" t="str">
        <f t="shared" si="16"/>
        <v/>
      </c>
      <c r="AC334" s="33">
        <f t="shared" si="15"/>
        <v>1048540</v>
      </c>
      <c r="AD334" s="33" t="str">
        <f t="shared" si="17"/>
        <v/>
      </c>
      <c r="AE334" s="33" t="str" cm="1">
        <f t="array" ref="AE334">LOOKUP(2,1/($AB$2:$AB$1000=AB334),$AD$2:$AD$1000)</f>
        <v/>
      </c>
      <c r="AL334" s="39" t="str">
        <f>IF(AK334="","",
   IF(
      COUNTIF('Paste Here'!$AA$2:$AA$1000,AK334)=0,
      "",
      ROUNDDOWN(COUNTIF('Paste Here'!$AA$2:$AA$1000,AK334)/2,0)
   )
)</f>
        <v/>
      </c>
      <c r="AM334" s="39" t="str" cm="1">
        <f t="array" ref="AM334">IFERROR(IF(LOOKUP(2,1/($AA$2:$AA$1000=AK334),$AD$2:$AD$1000)=0,"",
LOOKUP(2,1/($AA$2:$AA$1000=AK334),$AD$2:$AD$1000)),"")</f>
        <v/>
      </c>
      <c r="AO334" s="33" t="str" cm="1">
        <f t="array" ref="AO334">IFERROR(INDEX($AA$2:$AA$282,MATCH(0,COUNTIF('Paste Here'!$AK$1:AK333,$AA$2:$AA$282),0)),"")</f>
        <v/>
      </c>
      <c r="AP334" s="33" t="str">
        <f>IF(COUNTIF('Paste Here'!$AK$2:AK334,'Paste Here'!AK334)=1,VALUE('Paste Here'!AK334),"")</f>
        <v/>
      </c>
    </row>
    <row r="335" spans="1:42" x14ac:dyDescent="0.3">
      <c r="A335"/>
      <c r="B335"/>
      <c r="C335"/>
      <c r="D335" s="4"/>
      <c r="E335"/>
      <c r="F335"/>
      <c r="G335"/>
      <c r="H335"/>
      <c r="AA335" s="33" t="str">
        <f t="shared" si="16"/>
        <v/>
      </c>
      <c r="AC335" s="33">
        <f t="shared" si="15"/>
        <v>1048540</v>
      </c>
      <c r="AD335" s="33" t="str">
        <f t="shared" si="17"/>
        <v/>
      </c>
      <c r="AE335" s="33" t="str" cm="1">
        <f t="array" ref="AE335">LOOKUP(2,1/($AB$2:$AB$1000=AB335),$AD$2:$AD$1000)</f>
        <v/>
      </c>
      <c r="AL335" s="39" t="str">
        <f>IF(AK335="","",
   IF(
      COUNTIF('Paste Here'!$AA$2:$AA$1000,AK335)=0,
      "",
      ROUNDDOWN(COUNTIF('Paste Here'!$AA$2:$AA$1000,AK335)/2,0)
   )
)</f>
        <v/>
      </c>
      <c r="AM335" s="39" t="str" cm="1">
        <f t="array" ref="AM335">IFERROR(IF(LOOKUP(2,1/($AA$2:$AA$1000=AK335),$AD$2:$AD$1000)=0,"",
LOOKUP(2,1/($AA$2:$AA$1000=AK335),$AD$2:$AD$1000)),"")</f>
        <v/>
      </c>
      <c r="AO335" s="33" t="str" cm="1">
        <f t="array" ref="AO335">IFERROR(INDEX($AA$2:$AA$282,MATCH(0,COUNTIF('Paste Here'!$AK$1:AK334,$AA$2:$AA$282),0)),"")</f>
        <v/>
      </c>
      <c r="AP335" s="33" t="str">
        <f>IF(COUNTIF('Paste Here'!$AK$2:AK335,'Paste Here'!AK335)=1,VALUE('Paste Here'!AK335),"")</f>
        <v/>
      </c>
    </row>
    <row r="336" spans="1:42" x14ac:dyDescent="0.3">
      <c r="A336"/>
      <c r="B336"/>
      <c r="C336"/>
      <c r="D336" s="4"/>
      <c r="E336"/>
      <c r="F336"/>
      <c r="G336"/>
      <c r="H336"/>
      <c r="AA336" s="33" t="str">
        <f t="shared" si="16"/>
        <v/>
      </c>
      <c r="AC336" s="33">
        <f t="shared" si="15"/>
        <v>1048540</v>
      </c>
      <c r="AD336" s="33" t="str">
        <f t="shared" si="17"/>
        <v/>
      </c>
      <c r="AE336" s="33" t="str" cm="1">
        <f t="array" ref="AE336">LOOKUP(2,1/($AB$2:$AB$1000=AB336),$AD$2:$AD$1000)</f>
        <v/>
      </c>
      <c r="AL336" s="39" t="str">
        <f>IF(AK336="","",
   IF(
      COUNTIF('Paste Here'!$AA$2:$AA$1000,AK336)=0,
      "",
      ROUNDDOWN(COUNTIF('Paste Here'!$AA$2:$AA$1000,AK336)/2,0)
   )
)</f>
        <v/>
      </c>
      <c r="AM336" s="39" t="str" cm="1">
        <f t="array" ref="AM336">IFERROR(IF(LOOKUP(2,1/($AA$2:$AA$1000=AK336),$AD$2:$AD$1000)=0,"",
LOOKUP(2,1/($AA$2:$AA$1000=AK336),$AD$2:$AD$1000)),"")</f>
        <v/>
      </c>
      <c r="AO336" s="33" t="str" cm="1">
        <f t="array" ref="AO336">IFERROR(INDEX($AA$2:$AA$282,MATCH(0,COUNTIF('Paste Here'!$AK$1:AK335,$AA$2:$AA$282),0)),"")</f>
        <v/>
      </c>
      <c r="AP336" s="33" t="str">
        <f>IF(COUNTIF('Paste Here'!$AK$2:AK336,'Paste Here'!AK336)=1,VALUE('Paste Here'!AK336),"")</f>
        <v/>
      </c>
    </row>
    <row r="337" spans="1:42" x14ac:dyDescent="0.3">
      <c r="A337"/>
      <c r="B337"/>
      <c r="C337"/>
      <c r="D337" s="4"/>
      <c r="E337"/>
      <c r="F337"/>
      <c r="G337"/>
      <c r="H337"/>
      <c r="AA337" s="33" t="str">
        <f t="shared" si="16"/>
        <v/>
      </c>
      <c r="AC337" s="33">
        <f t="shared" si="15"/>
        <v>1048540</v>
      </c>
      <c r="AD337" s="33" t="str">
        <f t="shared" si="17"/>
        <v/>
      </c>
      <c r="AE337" s="33" t="str" cm="1">
        <f t="array" ref="AE337">LOOKUP(2,1/($AB$2:$AB$1000=AB337),$AD$2:$AD$1000)</f>
        <v/>
      </c>
      <c r="AL337" s="39" t="str">
        <f>IF(AK337="","",
   IF(
      COUNTIF('Paste Here'!$AA$2:$AA$1000,AK337)=0,
      "",
      ROUNDDOWN(COUNTIF('Paste Here'!$AA$2:$AA$1000,AK337)/2,0)
   )
)</f>
        <v/>
      </c>
      <c r="AM337" s="39" t="str" cm="1">
        <f t="array" ref="AM337">IFERROR(IF(LOOKUP(2,1/($AA$2:$AA$1000=AK337),$AD$2:$AD$1000)=0,"",
LOOKUP(2,1/($AA$2:$AA$1000=AK337),$AD$2:$AD$1000)),"")</f>
        <v/>
      </c>
      <c r="AO337" s="33" t="str" cm="1">
        <f t="array" ref="AO337">IFERROR(INDEX($AA$2:$AA$282,MATCH(0,COUNTIF('Paste Here'!$AK$1:AK336,$AA$2:$AA$282),0)),"")</f>
        <v/>
      </c>
      <c r="AP337" s="33" t="str">
        <f>IF(COUNTIF('Paste Here'!$AK$2:AK337,'Paste Here'!AK337)=1,VALUE('Paste Here'!AK337),"")</f>
        <v/>
      </c>
    </row>
    <row r="338" spans="1:42" x14ac:dyDescent="0.3">
      <c r="A338"/>
      <c r="B338"/>
      <c r="C338"/>
      <c r="D338" s="4"/>
      <c r="E338"/>
      <c r="F338"/>
      <c r="G338"/>
      <c r="H338"/>
      <c r="AA338" s="33" t="str">
        <f t="shared" si="16"/>
        <v/>
      </c>
      <c r="AC338" s="33">
        <f t="shared" si="15"/>
        <v>1048540</v>
      </c>
      <c r="AD338" s="33" t="str">
        <f t="shared" si="17"/>
        <v/>
      </c>
      <c r="AE338" s="33" t="str" cm="1">
        <f t="array" ref="AE338">LOOKUP(2,1/($AB$2:$AB$1000=AB338),$AD$2:$AD$1000)</f>
        <v/>
      </c>
      <c r="AL338" s="39" t="str">
        <f>IF(AK338="","",
   IF(
      COUNTIF('Paste Here'!$AA$2:$AA$1000,AK338)=0,
      "",
      ROUNDDOWN(COUNTIF('Paste Here'!$AA$2:$AA$1000,AK338)/2,0)
   )
)</f>
        <v/>
      </c>
      <c r="AM338" s="39" t="str" cm="1">
        <f t="array" ref="AM338">IFERROR(IF(LOOKUP(2,1/($AA$2:$AA$1000=AK338),$AD$2:$AD$1000)=0,"",
LOOKUP(2,1/($AA$2:$AA$1000=AK338),$AD$2:$AD$1000)),"")</f>
        <v/>
      </c>
      <c r="AO338" s="33" t="str" cm="1">
        <f t="array" ref="AO338">IFERROR(INDEX($AA$2:$AA$282,MATCH(0,COUNTIF('Paste Here'!$AK$1:AK337,$AA$2:$AA$282),0)),"")</f>
        <v/>
      </c>
      <c r="AP338" s="33" t="str">
        <f>IF(COUNTIF('Paste Here'!$AK$2:AK338,'Paste Here'!AK338)=1,VALUE('Paste Here'!AK338),"")</f>
        <v/>
      </c>
    </row>
    <row r="339" spans="1:42" x14ac:dyDescent="0.3">
      <c r="A339"/>
      <c r="B339"/>
      <c r="C339"/>
      <c r="D339" s="4"/>
      <c r="E339"/>
      <c r="F339"/>
      <c r="G339"/>
      <c r="H339"/>
      <c r="AA339" s="33" t="str">
        <f t="shared" si="16"/>
        <v/>
      </c>
      <c r="AC339" s="33">
        <f t="shared" si="15"/>
        <v>1048540</v>
      </c>
      <c r="AD339" s="33" t="str">
        <f t="shared" si="17"/>
        <v/>
      </c>
      <c r="AE339" s="33" t="str" cm="1">
        <f t="array" ref="AE339">LOOKUP(2,1/($AB$2:$AB$1000=AB339),$AD$2:$AD$1000)</f>
        <v/>
      </c>
      <c r="AL339" s="39" t="str">
        <f>IF(AK339="","",
   IF(
      COUNTIF('Paste Here'!$AA$2:$AA$1000,AK339)=0,
      "",
      ROUNDDOWN(COUNTIF('Paste Here'!$AA$2:$AA$1000,AK339)/2,0)
   )
)</f>
        <v/>
      </c>
      <c r="AM339" s="39" t="str" cm="1">
        <f t="array" ref="AM339">IFERROR(IF(LOOKUP(2,1/($AA$2:$AA$1000=AK339),$AD$2:$AD$1000)=0,"",
LOOKUP(2,1/($AA$2:$AA$1000=AK339),$AD$2:$AD$1000)),"")</f>
        <v/>
      </c>
      <c r="AO339" s="33" t="str" cm="1">
        <f t="array" ref="AO339">IFERROR(INDEX($AA$2:$AA$282,MATCH(0,COUNTIF('Paste Here'!$AK$1:AK338,$AA$2:$AA$282),0)),"")</f>
        <v/>
      </c>
      <c r="AP339" s="33" t="str">
        <f>IF(COUNTIF('Paste Here'!$AK$2:AK339,'Paste Here'!AK339)=1,VALUE('Paste Here'!AK339),"")</f>
        <v/>
      </c>
    </row>
    <row r="340" spans="1:42" x14ac:dyDescent="0.3">
      <c r="A340"/>
      <c r="B340"/>
      <c r="C340"/>
      <c r="D340" s="4"/>
      <c r="E340"/>
      <c r="F340"/>
      <c r="G340"/>
      <c r="H340"/>
      <c r="AA340" s="33" t="str">
        <f t="shared" si="16"/>
        <v/>
      </c>
      <c r="AC340" s="33">
        <f t="shared" si="15"/>
        <v>1048540</v>
      </c>
      <c r="AD340" s="33" t="str">
        <f t="shared" si="17"/>
        <v/>
      </c>
      <c r="AE340" s="33" t="str" cm="1">
        <f t="array" ref="AE340">LOOKUP(2,1/($AB$2:$AB$1000=AB340),$AD$2:$AD$1000)</f>
        <v/>
      </c>
      <c r="AL340" s="39" t="str">
        <f>IF(AK340="","",
   IF(
      COUNTIF('Paste Here'!$AA$2:$AA$1000,AK340)=0,
      "",
      ROUNDDOWN(COUNTIF('Paste Here'!$AA$2:$AA$1000,AK340)/2,0)
   )
)</f>
        <v/>
      </c>
      <c r="AM340" s="39" t="str" cm="1">
        <f t="array" ref="AM340">IFERROR(IF(LOOKUP(2,1/($AA$2:$AA$1000=AK340),$AD$2:$AD$1000)=0,"",
LOOKUP(2,1/($AA$2:$AA$1000=AK340),$AD$2:$AD$1000)),"")</f>
        <v/>
      </c>
      <c r="AO340" s="33" t="str" cm="1">
        <f t="array" ref="AO340">IFERROR(INDEX($AA$2:$AA$282,MATCH(0,COUNTIF('Paste Here'!$AK$1:AK339,$AA$2:$AA$282),0)),"")</f>
        <v/>
      </c>
      <c r="AP340" s="33" t="str">
        <f>IF(COUNTIF('Paste Here'!$AK$2:AK340,'Paste Here'!AK340)=1,VALUE('Paste Here'!AK340),"")</f>
        <v/>
      </c>
    </row>
    <row r="341" spans="1:42" x14ac:dyDescent="0.3">
      <c r="A341"/>
      <c r="B341"/>
      <c r="C341"/>
      <c r="D341" s="4"/>
      <c r="E341"/>
      <c r="F341"/>
      <c r="G341"/>
      <c r="H341"/>
      <c r="AA341" s="33" t="str">
        <f t="shared" si="16"/>
        <v/>
      </c>
      <c r="AC341" s="33">
        <f t="shared" si="15"/>
        <v>1048540</v>
      </c>
      <c r="AD341" s="33" t="str">
        <f t="shared" si="17"/>
        <v/>
      </c>
      <c r="AE341" s="33" t="str" cm="1">
        <f t="array" ref="AE341">LOOKUP(2,1/($AB$2:$AB$1000=AB341),$AD$2:$AD$1000)</f>
        <v/>
      </c>
      <c r="AL341" s="39" t="str">
        <f>IF(AK341="","",
   IF(
      COUNTIF('Paste Here'!$AA$2:$AA$1000,AK341)=0,
      "",
      ROUNDDOWN(COUNTIF('Paste Here'!$AA$2:$AA$1000,AK341)/2,0)
   )
)</f>
        <v/>
      </c>
      <c r="AM341" s="39" t="str" cm="1">
        <f t="array" ref="AM341">IFERROR(IF(LOOKUP(2,1/($AA$2:$AA$1000=AK341),$AD$2:$AD$1000)=0,"",
LOOKUP(2,1/($AA$2:$AA$1000=AK341),$AD$2:$AD$1000)),"")</f>
        <v/>
      </c>
      <c r="AO341" s="33" t="str" cm="1">
        <f t="array" ref="AO341">IFERROR(INDEX($AA$2:$AA$282,MATCH(0,COUNTIF('Paste Here'!$AK$1:AK340,$AA$2:$AA$282),0)),"")</f>
        <v/>
      </c>
      <c r="AP341" s="33" t="str">
        <f>IF(COUNTIF('Paste Here'!$AK$2:AK341,'Paste Here'!AK341)=1,VALUE('Paste Here'!AK341),"")</f>
        <v/>
      </c>
    </row>
    <row r="342" spans="1:42" x14ac:dyDescent="0.3">
      <c r="A342"/>
      <c r="B342"/>
      <c r="C342"/>
      <c r="D342" s="4"/>
      <c r="E342"/>
      <c r="F342"/>
      <c r="G342"/>
      <c r="H342"/>
      <c r="AA342" s="33" t="str">
        <f t="shared" si="16"/>
        <v/>
      </c>
      <c r="AC342" s="33">
        <f t="shared" si="15"/>
        <v>1048540</v>
      </c>
      <c r="AD342" s="33" t="str">
        <f t="shared" si="17"/>
        <v/>
      </c>
      <c r="AE342" s="33" t="str" cm="1">
        <f t="array" ref="AE342">LOOKUP(2,1/($AB$2:$AB$1000=AB342),$AD$2:$AD$1000)</f>
        <v/>
      </c>
      <c r="AL342" s="39" t="str">
        <f>IF(AK342="","",
   IF(
      COUNTIF('Paste Here'!$AA$2:$AA$1000,AK342)=0,
      "",
      ROUNDDOWN(COUNTIF('Paste Here'!$AA$2:$AA$1000,AK342)/2,0)
   )
)</f>
        <v/>
      </c>
      <c r="AM342" s="39" t="str" cm="1">
        <f t="array" ref="AM342">IFERROR(IF(LOOKUP(2,1/($AA$2:$AA$1000=AK342),$AD$2:$AD$1000)=0,"",
LOOKUP(2,1/($AA$2:$AA$1000=AK342),$AD$2:$AD$1000)),"")</f>
        <v/>
      </c>
      <c r="AO342" s="33" t="str" cm="1">
        <f t="array" ref="AO342">IFERROR(INDEX($AA$2:$AA$282,MATCH(0,COUNTIF('Paste Here'!$AK$1:AK341,$AA$2:$AA$282),0)),"")</f>
        <v/>
      </c>
      <c r="AP342" s="33" t="str">
        <f>IF(COUNTIF('Paste Here'!$AK$2:AK342,'Paste Here'!AK342)=1,VALUE('Paste Here'!AK342),"")</f>
        <v/>
      </c>
    </row>
    <row r="343" spans="1:42" x14ac:dyDescent="0.3">
      <c r="A343"/>
      <c r="B343"/>
      <c r="C343"/>
      <c r="D343" s="4"/>
      <c r="E343"/>
      <c r="F343"/>
      <c r="G343"/>
      <c r="H343"/>
      <c r="AA343" s="33" t="str">
        <f t="shared" si="16"/>
        <v/>
      </c>
      <c r="AC343" s="33">
        <f t="shared" si="15"/>
        <v>1048540</v>
      </c>
      <c r="AD343" s="33" t="str">
        <f t="shared" si="17"/>
        <v/>
      </c>
      <c r="AE343" s="33" t="str" cm="1">
        <f t="array" ref="AE343">LOOKUP(2,1/($AB$2:$AB$1000=AB343),$AD$2:$AD$1000)</f>
        <v/>
      </c>
      <c r="AL343" s="39" t="str">
        <f>IF(AK343="","",
   IF(
      COUNTIF('Paste Here'!$AA$2:$AA$1000,AK343)=0,
      "",
      ROUNDDOWN(COUNTIF('Paste Here'!$AA$2:$AA$1000,AK343)/2,0)
   )
)</f>
        <v/>
      </c>
      <c r="AM343" s="39" t="str" cm="1">
        <f t="array" ref="AM343">IFERROR(IF(LOOKUP(2,1/($AA$2:$AA$1000=AK343),$AD$2:$AD$1000)=0,"",
LOOKUP(2,1/($AA$2:$AA$1000=AK343),$AD$2:$AD$1000)),"")</f>
        <v/>
      </c>
      <c r="AO343" s="33" t="str" cm="1">
        <f t="array" ref="AO343">IFERROR(INDEX($AA$2:$AA$282,MATCH(0,COUNTIF('Paste Here'!$AK$1:AK342,$AA$2:$AA$282),0)),"")</f>
        <v/>
      </c>
      <c r="AP343" s="33" t="str">
        <f>IF(COUNTIF('Paste Here'!$AK$2:AK343,'Paste Here'!AK343)=1,VALUE('Paste Here'!AK343),"")</f>
        <v/>
      </c>
    </row>
    <row r="344" spans="1:42" x14ac:dyDescent="0.3">
      <c r="A344"/>
      <c r="B344"/>
      <c r="C344"/>
      <c r="D344" s="4"/>
      <c r="E344"/>
      <c r="F344"/>
      <c r="G344"/>
      <c r="H344"/>
      <c r="AA344" s="33" t="str">
        <f t="shared" si="16"/>
        <v/>
      </c>
      <c r="AC344" s="33">
        <f t="shared" si="15"/>
        <v>1048540</v>
      </c>
      <c r="AD344" s="33" t="str">
        <f t="shared" si="17"/>
        <v/>
      </c>
      <c r="AE344" s="33" t="str" cm="1">
        <f t="array" ref="AE344">LOOKUP(2,1/($AB$2:$AB$1000=AB344),$AD$2:$AD$1000)</f>
        <v/>
      </c>
      <c r="AL344" s="39" t="str">
        <f>IF(AK344="","",
   IF(
      COUNTIF('Paste Here'!$AA$2:$AA$1000,AK344)=0,
      "",
      ROUNDDOWN(COUNTIF('Paste Here'!$AA$2:$AA$1000,AK344)/2,0)
   )
)</f>
        <v/>
      </c>
      <c r="AM344" s="39" t="str" cm="1">
        <f t="array" ref="AM344">IFERROR(IF(LOOKUP(2,1/($AA$2:$AA$1000=AK344),$AD$2:$AD$1000)=0,"",
LOOKUP(2,1/($AA$2:$AA$1000=AK344),$AD$2:$AD$1000)),"")</f>
        <v/>
      </c>
      <c r="AO344" s="33" t="str" cm="1">
        <f t="array" ref="AO344">IFERROR(INDEX($AA$2:$AA$282,MATCH(0,COUNTIF('Paste Here'!$AK$1:AK343,$AA$2:$AA$282),0)),"")</f>
        <v/>
      </c>
      <c r="AP344" s="33" t="str">
        <f>IF(COUNTIF('Paste Here'!$AK$2:AK344,'Paste Here'!AK344)=1,VALUE('Paste Here'!AK344),"")</f>
        <v/>
      </c>
    </row>
    <row r="345" spans="1:42" x14ac:dyDescent="0.3">
      <c r="A345"/>
      <c r="B345"/>
      <c r="C345"/>
      <c r="D345" s="4"/>
      <c r="E345"/>
      <c r="F345"/>
      <c r="G345"/>
      <c r="H345"/>
      <c r="AA345" s="33" t="str">
        <f t="shared" si="16"/>
        <v/>
      </c>
      <c r="AC345" s="33">
        <f t="shared" si="15"/>
        <v>1048540</v>
      </c>
      <c r="AD345" s="33" t="str">
        <f t="shared" si="17"/>
        <v/>
      </c>
      <c r="AE345" s="33" t="str" cm="1">
        <f t="array" ref="AE345">LOOKUP(2,1/($AB$2:$AB$1000=AB345),$AD$2:$AD$1000)</f>
        <v/>
      </c>
      <c r="AL345" s="39" t="str">
        <f>IF(AK345="","",
   IF(
      COUNTIF('Paste Here'!$AA$2:$AA$1000,AK345)=0,
      "",
      ROUNDDOWN(COUNTIF('Paste Here'!$AA$2:$AA$1000,AK345)/2,0)
   )
)</f>
        <v/>
      </c>
      <c r="AM345" s="39" t="str" cm="1">
        <f t="array" ref="AM345">IFERROR(IF(LOOKUP(2,1/($AA$2:$AA$1000=AK345),$AD$2:$AD$1000)=0,"",
LOOKUP(2,1/($AA$2:$AA$1000=AK345),$AD$2:$AD$1000)),"")</f>
        <v/>
      </c>
      <c r="AO345" s="33" t="str" cm="1">
        <f t="array" ref="AO345">IFERROR(INDEX($AA$2:$AA$282,MATCH(0,COUNTIF('Paste Here'!$AK$1:AK344,$AA$2:$AA$282),0)),"")</f>
        <v/>
      </c>
      <c r="AP345" s="33" t="str">
        <f>IF(COUNTIF('Paste Here'!$AK$2:AK345,'Paste Here'!AK345)=1,VALUE('Paste Here'!AK345),"")</f>
        <v/>
      </c>
    </row>
    <row r="346" spans="1:42" x14ac:dyDescent="0.3">
      <c r="A346"/>
      <c r="B346"/>
      <c r="C346"/>
      <c r="D346" s="4"/>
      <c r="E346"/>
      <c r="F346"/>
      <c r="G346"/>
      <c r="H346"/>
      <c r="AA346" s="33" t="str">
        <f t="shared" si="16"/>
        <v/>
      </c>
      <c r="AC346" s="33">
        <f t="shared" si="15"/>
        <v>1048540</v>
      </c>
      <c r="AD346" s="33" t="str">
        <f t="shared" si="17"/>
        <v/>
      </c>
      <c r="AE346" s="33" t="str" cm="1">
        <f t="array" ref="AE346">LOOKUP(2,1/($AB$2:$AB$1000=AB346),$AD$2:$AD$1000)</f>
        <v/>
      </c>
      <c r="AL346" s="39" t="str">
        <f>IF(AK346="","",
   IF(
      COUNTIF('Paste Here'!$AA$2:$AA$1000,AK346)=0,
      "",
      ROUNDDOWN(COUNTIF('Paste Here'!$AA$2:$AA$1000,AK346)/2,0)
   )
)</f>
        <v/>
      </c>
      <c r="AM346" s="39" t="str" cm="1">
        <f t="array" ref="AM346">IFERROR(IF(LOOKUP(2,1/($AA$2:$AA$1000=AK346),$AD$2:$AD$1000)=0,"",
LOOKUP(2,1/($AA$2:$AA$1000=AK346),$AD$2:$AD$1000)),"")</f>
        <v/>
      </c>
      <c r="AO346" s="33" t="str" cm="1">
        <f t="array" ref="AO346">IFERROR(INDEX($AA$2:$AA$282,MATCH(0,COUNTIF('Paste Here'!$AK$1:AK345,$AA$2:$AA$282),0)),"")</f>
        <v/>
      </c>
      <c r="AP346" s="33" t="str">
        <f>IF(COUNTIF('Paste Here'!$AK$2:AK346,'Paste Here'!AK346)=1,VALUE('Paste Here'!AK346),"")</f>
        <v/>
      </c>
    </row>
    <row r="347" spans="1:42" x14ac:dyDescent="0.3">
      <c r="A347"/>
      <c r="B347"/>
      <c r="C347"/>
      <c r="D347" s="4"/>
      <c r="E347"/>
      <c r="F347"/>
      <c r="G347"/>
      <c r="H347"/>
      <c r="AA347" s="33" t="str">
        <f t="shared" si="16"/>
        <v/>
      </c>
      <c r="AC347" s="33">
        <f t="shared" si="15"/>
        <v>1048540</v>
      </c>
      <c r="AD347" s="33" t="str">
        <f t="shared" si="17"/>
        <v/>
      </c>
      <c r="AE347" s="33" t="str" cm="1">
        <f t="array" ref="AE347">LOOKUP(2,1/($AB$2:$AB$1000=AB347),$AD$2:$AD$1000)</f>
        <v/>
      </c>
      <c r="AL347" s="39" t="str">
        <f>IF(AK347="","",
   IF(
      COUNTIF('Paste Here'!$AA$2:$AA$1000,AK347)=0,
      "",
      ROUNDDOWN(COUNTIF('Paste Here'!$AA$2:$AA$1000,AK347)/2,0)
   )
)</f>
        <v/>
      </c>
      <c r="AM347" s="39" t="str" cm="1">
        <f t="array" ref="AM347">IFERROR(IF(LOOKUP(2,1/($AA$2:$AA$1000=AK347),$AD$2:$AD$1000)=0,"",
LOOKUP(2,1/($AA$2:$AA$1000=AK347),$AD$2:$AD$1000)),"")</f>
        <v/>
      </c>
      <c r="AO347" s="33" t="str" cm="1">
        <f t="array" ref="AO347">IFERROR(INDEX($AA$2:$AA$282,MATCH(0,COUNTIF('Paste Here'!$AK$1:AK346,$AA$2:$AA$282),0)),"")</f>
        <v/>
      </c>
      <c r="AP347" s="33" t="str">
        <f>IF(COUNTIF('Paste Here'!$AK$2:AK347,'Paste Here'!AK347)=1,VALUE('Paste Here'!AK347),"")</f>
        <v/>
      </c>
    </row>
    <row r="348" spans="1:42" x14ac:dyDescent="0.3">
      <c r="A348"/>
      <c r="B348"/>
      <c r="C348"/>
      <c r="D348" s="4"/>
      <c r="E348"/>
      <c r="F348"/>
      <c r="G348"/>
      <c r="H348"/>
      <c r="AA348" s="33" t="str">
        <f t="shared" si="16"/>
        <v/>
      </c>
      <c r="AC348" s="33">
        <f t="shared" si="15"/>
        <v>1048540</v>
      </c>
      <c r="AD348" s="33" t="str">
        <f t="shared" si="17"/>
        <v/>
      </c>
      <c r="AE348" s="33" t="str" cm="1">
        <f t="array" ref="AE348">LOOKUP(2,1/($AB$2:$AB$1000=AB348),$AD$2:$AD$1000)</f>
        <v/>
      </c>
      <c r="AL348" s="39" t="str">
        <f>IF(AK348="","",
   IF(
      COUNTIF('Paste Here'!$AA$2:$AA$1000,AK348)=0,
      "",
      ROUNDDOWN(COUNTIF('Paste Here'!$AA$2:$AA$1000,AK348)/2,0)
   )
)</f>
        <v/>
      </c>
      <c r="AM348" s="39" t="str" cm="1">
        <f t="array" ref="AM348">IFERROR(IF(LOOKUP(2,1/($AA$2:$AA$1000=AK348),$AD$2:$AD$1000)=0,"",
LOOKUP(2,1/($AA$2:$AA$1000=AK348),$AD$2:$AD$1000)),"")</f>
        <v/>
      </c>
      <c r="AO348" s="33" t="str" cm="1">
        <f t="array" ref="AO348">IFERROR(INDEX($AA$2:$AA$282,MATCH(0,COUNTIF('Paste Here'!$AK$1:AK347,$AA$2:$AA$282),0)),"")</f>
        <v/>
      </c>
      <c r="AP348" s="33" t="str">
        <f>IF(COUNTIF('Paste Here'!$AK$2:AK348,'Paste Here'!AK348)=1,VALUE('Paste Here'!AK348),"")</f>
        <v/>
      </c>
    </row>
    <row r="349" spans="1:42" x14ac:dyDescent="0.3">
      <c r="A349"/>
      <c r="B349"/>
      <c r="C349"/>
      <c r="D349" s="4"/>
      <c r="E349"/>
      <c r="F349"/>
      <c r="G349"/>
      <c r="H349"/>
      <c r="AA349" s="33" t="str">
        <f t="shared" si="16"/>
        <v/>
      </c>
      <c r="AC349" s="33">
        <f t="shared" si="15"/>
        <v>1048540</v>
      </c>
      <c r="AD349" s="33" t="str">
        <f t="shared" si="17"/>
        <v/>
      </c>
      <c r="AE349" s="33" t="str" cm="1">
        <f t="array" ref="AE349">LOOKUP(2,1/($AB$2:$AB$1000=AB349),$AD$2:$AD$1000)</f>
        <v/>
      </c>
      <c r="AL349" s="39" t="str">
        <f>IF(AK349="","",
   IF(
      COUNTIF('Paste Here'!$AA$2:$AA$1000,AK349)=0,
      "",
      ROUNDDOWN(COUNTIF('Paste Here'!$AA$2:$AA$1000,AK349)/2,0)
   )
)</f>
        <v/>
      </c>
      <c r="AM349" s="39" t="str" cm="1">
        <f t="array" ref="AM349">IFERROR(IF(LOOKUP(2,1/($AA$2:$AA$1000=AK349),$AD$2:$AD$1000)=0,"",
LOOKUP(2,1/($AA$2:$AA$1000=AK349),$AD$2:$AD$1000)),"")</f>
        <v/>
      </c>
      <c r="AO349" s="33" t="str" cm="1">
        <f t="array" ref="AO349">IFERROR(INDEX($AA$2:$AA$282,MATCH(0,COUNTIF('Paste Here'!$AK$1:AK348,$AA$2:$AA$282),0)),"")</f>
        <v/>
      </c>
      <c r="AP349" s="33" t="str">
        <f>IF(COUNTIF('Paste Here'!$AK$2:AK349,'Paste Here'!AK349)=1,VALUE('Paste Here'!AK349),"")</f>
        <v/>
      </c>
    </row>
    <row r="350" spans="1:42" x14ac:dyDescent="0.3">
      <c r="A350"/>
      <c r="B350"/>
      <c r="C350"/>
      <c r="D350" s="4"/>
      <c r="E350"/>
      <c r="F350"/>
      <c r="G350"/>
      <c r="H350"/>
      <c r="AA350" s="33" t="str">
        <f t="shared" si="16"/>
        <v/>
      </c>
      <c r="AC350" s="33">
        <f t="shared" si="15"/>
        <v>1048540</v>
      </c>
      <c r="AD350" s="33" t="str">
        <f t="shared" si="17"/>
        <v/>
      </c>
      <c r="AE350" s="33" t="str" cm="1">
        <f t="array" ref="AE350">LOOKUP(2,1/($AB$2:$AB$1000=AB350),$AD$2:$AD$1000)</f>
        <v/>
      </c>
      <c r="AL350" s="39" t="str">
        <f>IF(AK350="","",
   IF(
      COUNTIF('Paste Here'!$AA$2:$AA$1000,AK350)=0,
      "",
      ROUNDDOWN(COUNTIF('Paste Here'!$AA$2:$AA$1000,AK350)/2,0)
   )
)</f>
        <v/>
      </c>
      <c r="AM350" s="39" t="str" cm="1">
        <f t="array" ref="AM350">IFERROR(IF(LOOKUP(2,1/($AA$2:$AA$1000=AK350),$AD$2:$AD$1000)=0,"",
LOOKUP(2,1/($AA$2:$AA$1000=AK350),$AD$2:$AD$1000)),"")</f>
        <v/>
      </c>
      <c r="AO350" s="33" t="str" cm="1">
        <f t="array" ref="AO350">IFERROR(INDEX($AA$2:$AA$282,MATCH(0,COUNTIF('Paste Here'!$AK$1:AK349,$AA$2:$AA$282),0)),"")</f>
        <v/>
      </c>
      <c r="AP350" s="33" t="str">
        <f>IF(COUNTIF('Paste Here'!$AK$2:AK350,'Paste Here'!AK350)=1,VALUE('Paste Here'!AK350),"")</f>
        <v/>
      </c>
    </row>
    <row r="351" spans="1:42" x14ac:dyDescent="0.3">
      <c r="A351"/>
      <c r="B351"/>
      <c r="C351"/>
      <c r="D351" s="4"/>
      <c r="E351"/>
      <c r="F351"/>
      <c r="G351"/>
      <c r="H351"/>
      <c r="AA351" s="33" t="str">
        <f t="shared" si="16"/>
        <v/>
      </c>
      <c r="AC351" s="33">
        <f t="shared" si="15"/>
        <v>1048540</v>
      </c>
      <c r="AD351" s="33" t="str">
        <f t="shared" si="17"/>
        <v/>
      </c>
      <c r="AE351" s="33" t="str" cm="1">
        <f t="array" ref="AE351">LOOKUP(2,1/($AB$2:$AB$1000=AB351),$AD$2:$AD$1000)</f>
        <v/>
      </c>
      <c r="AL351" s="39" t="str">
        <f>IF(AK351="","",
   IF(
      COUNTIF('Paste Here'!$AA$2:$AA$1000,AK351)=0,
      "",
      ROUNDDOWN(COUNTIF('Paste Here'!$AA$2:$AA$1000,AK351)/2,0)
   )
)</f>
        <v/>
      </c>
      <c r="AM351" s="39" t="str" cm="1">
        <f t="array" ref="AM351">IFERROR(IF(LOOKUP(2,1/($AA$2:$AA$1000=AK351),$AD$2:$AD$1000)=0,"",
LOOKUP(2,1/($AA$2:$AA$1000=AK351),$AD$2:$AD$1000)),"")</f>
        <v/>
      </c>
      <c r="AO351" s="33" t="str" cm="1">
        <f t="array" ref="AO351">IFERROR(INDEX($AA$2:$AA$282,MATCH(0,COUNTIF('Paste Here'!$AK$1:AK350,$AA$2:$AA$282),0)),"")</f>
        <v/>
      </c>
      <c r="AP351" s="33" t="str">
        <f>IF(COUNTIF('Paste Here'!$AK$2:AK351,'Paste Here'!AK351)=1,VALUE('Paste Here'!AK351),"")</f>
        <v/>
      </c>
    </row>
    <row r="352" spans="1:42" x14ac:dyDescent="0.3">
      <c r="A352"/>
      <c r="B352"/>
      <c r="C352"/>
      <c r="D352" s="4"/>
      <c r="E352"/>
      <c r="F352"/>
      <c r="G352"/>
      <c r="H352"/>
      <c r="AA352" s="33" t="str">
        <f t="shared" si="16"/>
        <v/>
      </c>
      <c r="AC352" s="33">
        <f t="shared" si="15"/>
        <v>1048540</v>
      </c>
      <c r="AD352" s="33" t="str">
        <f t="shared" si="17"/>
        <v/>
      </c>
      <c r="AE352" s="33" t="str" cm="1">
        <f t="array" ref="AE352">LOOKUP(2,1/($AB$2:$AB$1000=AB352),$AD$2:$AD$1000)</f>
        <v/>
      </c>
      <c r="AL352" s="39" t="str">
        <f>IF(AK352="","",
   IF(
      COUNTIF('Paste Here'!$AA$2:$AA$1000,AK352)=0,
      "",
      ROUNDDOWN(COUNTIF('Paste Here'!$AA$2:$AA$1000,AK352)/2,0)
   )
)</f>
        <v/>
      </c>
      <c r="AM352" s="39" t="str" cm="1">
        <f t="array" ref="AM352">IFERROR(IF(LOOKUP(2,1/($AA$2:$AA$1000=AK352),$AD$2:$AD$1000)=0,"",
LOOKUP(2,1/($AA$2:$AA$1000=AK352),$AD$2:$AD$1000)),"")</f>
        <v/>
      </c>
      <c r="AO352" s="33" t="str" cm="1">
        <f t="array" ref="AO352">IFERROR(INDEX($AA$2:$AA$282,MATCH(0,COUNTIF('Paste Here'!$AK$1:AK351,$AA$2:$AA$282),0)),"")</f>
        <v/>
      </c>
      <c r="AP352" s="33" t="str">
        <f>IF(COUNTIF('Paste Here'!$AK$2:AK352,'Paste Here'!AK352)=1,VALUE('Paste Here'!AK352),"")</f>
        <v/>
      </c>
    </row>
    <row r="353" spans="1:42" x14ac:dyDescent="0.3">
      <c r="A353"/>
      <c r="B353"/>
      <c r="C353"/>
      <c r="D353" s="4"/>
      <c r="E353"/>
      <c r="F353"/>
      <c r="G353"/>
      <c r="H353"/>
      <c r="AA353" s="33" t="str">
        <f t="shared" si="16"/>
        <v/>
      </c>
      <c r="AC353" s="33">
        <f t="shared" si="15"/>
        <v>1048540</v>
      </c>
      <c r="AD353" s="33" t="str">
        <f t="shared" si="17"/>
        <v/>
      </c>
      <c r="AE353" s="33" t="str" cm="1">
        <f t="array" ref="AE353">LOOKUP(2,1/($AB$2:$AB$1000=AB353),$AD$2:$AD$1000)</f>
        <v/>
      </c>
      <c r="AL353" s="39" t="str">
        <f>IF(AK353="","",
   IF(
      COUNTIF('Paste Here'!$AA$2:$AA$1000,AK353)=0,
      "",
      ROUNDDOWN(COUNTIF('Paste Here'!$AA$2:$AA$1000,AK353)/2,0)
   )
)</f>
        <v/>
      </c>
      <c r="AM353" s="39" t="str" cm="1">
        <f t="array" ref="AM353">IFERROR(IF(LOOKUP(2,1/($AA$2:$AA$1000=AK353),$AD$2:$AD$1000)=0,"",
LOOKUP(2,1/($AA$2:$AA$1000=AK353),$AD$2:$AD$1000)),"")</f>
        <v/>
      </c>
      <c r="AO353" s="33" t="str" cm="1">
        <f t="array" ref="AO353">IFERROR(INDEX($AA$2:$AA$282,MATCH(0,COUNTIF('Paste Here'!$AK$1:AK352,$AA$2:$AA$282),0)),"")</f>
        <v/>
      </c>
      <c r="AP353" s="33" t="str">
        <f>IF(COUNTIF('Paste Here'!$AK$2:AK353,'Paste Here'!AK353)=1,VALUE('Paste Here'!AK353),"")</f>
        <v/>
      </c>
    </row>
    <row r="354" spans="1:42" x14ac:dyDescent="0.3">
      <c r="A354"/>
      <c r="B354"/>
      <c r="C354"/>
      <c r="D354" s="4"/>
      <c r="E354"/>
      <c r="F354"/>
      <c r="G354"/>
      <c r="H354"/>
      <c r="AA354" s="33" t="str">
        <f t="shared" si="16"/>
        <v/>
      </c>
      <c r="AC354" s="33">
        <f t="shared" si="15"/>
        <v>1048540</v>
      </c>
      <c r="AD354" s="33" t="str">
        <f t="shared" si="17"/>
        <v/>
      </c>
      <c r="AE354" s="33" t="str" cm="1">
        <f t="array" ref="AE354">LOOKUP(2,1/($AB$2:$AB$1000=AB354),$AD$2:$AD$1000)</f>
        <v/>
      </c>
      <c r="AL354" s="39" t="str">
        <f>IF(AK354="","",
   IF(
      COUNTIF('Paste Here'!$AA$2:$AA$1000,AK354)=0,
      "",
      ROUNDDOWN(COUNTIF('Paste Here'!$AA$2:$AA$1000,AK354)/2,0)
   )
)</f>
        <v/>
      </c>
      <c r="AM354" s="39" t="str" cm="1">
        <f t="array" ref="AM354">IFERROR(IF(LOOKUP(2,1/($AA$2:$AA$1000=AK354),$AD$2:$AD$1000)=0,"",
LOOKUP(2,1/($AA$2:$AA$1000=AK354),$AD$2:$AD$1000)),"")</f>
        <v/>
      </c>
      <c r="AO354" s="33" t="str" cm="1">
        <f t="array" ref="AO354">IFERROR(INDEX($AA$2:$AA$282,MATCH(0,COUNTIF('Paste Here'!$AK$1:AK353,$AA$2:$AA$282),0)),"")</f>
        <v/>
      </c>
      <c r="AP354" s="33" t="str">
        <f>IF(COUNTIF('Paste Here'!$AK$2:AK354,'Paste Here'!AK354)=1,VALUE('Paste Here'!AK354),"")</f>
        <v/>
      </c>
    </row>
    <row r="355" spans="1:42" x14ac:dyDescent="0.3">
      <c r="A355"/>
      <c r="B355"/>
      <c r="C355"/>
      <c r="D355" s="4"/>
      <c r="E355"/>
      <c r="F355"/>
      <c r="G355"/>
      <c r="H355"/>
      <c r="AA355" s="33" t="str">
        <f t="shared" si="16"/>
        <v/>
      </c>
      <c r="AC355" s="33">
        <f t="shared" si="15"/>
        <v>1048540</v>
      </c>
      <c r="AD355" s="33" t="str">
        <f t="shared" si="17"/>
        <v/>
      </c>
      <c r="AE355" s="33" t="str" cm="1">
        <f t="array" ref="AE355">LOOKUP(2,1/($AB$2:$AB$1000=AB355),$AD$2:$AD$1000)</f>
        <v/>
      </c>
      <c r="AL355" s="39" t="str">
        <f>IF(AK355="","",
   IF(
      COUNTIF('Paste Here'!$AA$2:$AA$1000,AK355)=0,
      "",
      ROUNDDOWN(COUNTIF('Paste Here'!$AA$2:$AA$1000,AK355)/2,0)
   )
)</f>
        <v/>
      </c>
      <c r="AM355" s="39" t="str" cm="1">
        <f t="array" ref="AM355">IFERROR(IF(LOOKUP(2,1/($AA$2:$AA$1000=AK355),$AD$2:$AD$1000)=0,"",
LOOKUP(2,1/($AA$2:$AA$1000=AK355),$AD$2:$AD$1000)),"")</f>
        <v/>
      </c>
      <c r="AO355" s="33" t="str" cm="1">
        <f t="array" ref="AO355">IFERROR(INDEX($AA$2:$AA$282,MATCH(0,COUNTIF('Paste Here'!$AK$1:AK354,$AA$2:$AA$282),0)),"")</f>
        <v/>
      </c>
      <c r="AP355" s="33" t="str">
        <f>IF(COUNTIF('Paste Here'!$AK$2:AK355,'Paste Here'!AK355)=1,VALUE('Paste Here'!AK355),"")</f>
        <v/>
      </c>
    </row>
    <row r="356" spans="1:42" x14ac:dyDescent="0.3">
      <c r="A356"/>
      <c r="B356"/>
      <c r="C356"/>
      <c r="D356" s="4"/>
      <c r="E356"/>
      <c r="F356"/>
      <c r="G356"/>
      <c r="H356"/>
      <c r="AA356" s="33" t="str">
        <f t="shared" si="16"/>
        <v/>
      </c>
      <c r="AC356" s="33">
        <f t="shared" si="15"/>
        <v>1048540</v>
      </c>
      <c r="AD356" s="33" t="str">
        <f t="shared" si="17"/>
        <v/>
      </c>
      <c r="AE356" s="33" t="str" cm="1">
        <f t="array" ref="AE356">LOOKUP(2,1/($AB$2:$AB$1000=AB356),$AD$2:$AD$1000)</f>
        <v/>
      </c>
      <c r="AL356" s="39" t="str">
        <f>IF(AK356="","",
   IF(
      COUNTIF('Paste Here'!$AA$2:$AA$1000,AK356)=0,
      "",
      ROUNDDOWN(COUNTIF('Paste Here'!$AA$2:$AA$1000,AK356)/2,0)
   )
)</f>
        <v/>
      </c>
      <c r="AM356" s="39" t="str" cm="1">
        <f t="array" ref="AM356">IFERROR(IF(LOOKUP(2,1/($AA$2:$AA$1000=AK356),$AD$2:$AD$1000)=0,"",
LOOKUP(2,1/($AA$2:$AA$1000=AK356),$AD$2:$AD$1000)),"")</f>
        <v/>
      </c>
      <c r="AO356" s="33" t="str" cm="1">
        <f t="array" ref="AO356">IFERROR(INDEX($AA$2:$AA$282,MATCH(0,COUNTIF('Paste Here'!$AK$1:AK355,$AA$2:$AA$282),0)),"")</f>
        <v/>
      </c>
      <c r="AP356" s="33" t="str">
        <f>IF(COUNTIF('Paste Here'!$AK$2:AK356,'Paste Here'!AK356)=1,VALUE('Paste Here'!AK356),"")</f>
        <v/>
      </c>
    </row>
    <row r="357" spans="1:42" x14ac:dyDescent="0.3">
      <c r="A357"/>
      <c r="B357"/>
      <c r="C357"/>
      <c r="D357" s="4"/>
      <c r="E357"/>
      <c r="F357"/>
      <c r="G357"/>
      <c r="H357"/>
      <c r="AA357" s="33" t="str">
        <f t="shared" si="16"/>
        <v/>
      </c>
      <c r="AC357" s="33">
        <f t="shared" si="15"/>
        <v>1048540</v>
      </c>
      <c r="AD357" s="33" t="str">
        <f t="shared" si="17"/>
        <v/>
      </c>
      <c r="AE357" s="33" t="str" cm="1">
        <f t="array" ref="AE357">LOOKUP(2,1/($AB$2:$AB$1000=AB357),$AD$2:$AD$1000)</f>
        <v/>
      </c>
      <c r="AL357" s="39" t="str">
        <f>IF(AK357="","",
   IF(
      COUNTIF('Paste Here'!$AA$2:$AA$1000,AK357)=0,
      "",
      ROUNDDOWN(COUNTIF('Paste Here'!$AA$2:$AA$1000,AK357)/2,0)
   )
)</f>
        <v/>
      </c>
      <c r="AM357" s="39" t="str" cm="1">
        <f t="array" ref="AM357">IFERROR(IF(LOOKUP(2,1/($AA$2:$AA$1000=AK357),$AD$2:$AD$1000)=0,"",
LOOKUP(2,1/($AA$2:$AA$1000=AK357),$AD$2:$AD$1000)),"")</f>
        <v/>
      </c>
      <c r="AO357" s="33" t="str" cm="1">
        <f t="array" ref="AO357">IFERROR(INDEX($AA$2:$AA$282,MATCH(0,COUNTIF('Paste Here'!$AK$1:AK356,$AA$2:$AA$282),0)),"")</f>
        <v/>
      </c>
      <c r="AP357" s="33" t="str">
        <f>IF(COUNTIF('Paste Here'!$AK$2:AK357,'Paste Here'!AK357)=1,VALUE('Paste Here'!AK357),"")</f>
        <v/>
      </c>
    </row>
    <row r="358" spans="1:42" x14ac:dyDescent="0.3">
      <c r="A358"/>
      <c r="B358"/>
      <c r="C358"/>
      <c r="D358" s="4"/>
      <c r="E358"/>
      <c r="F358"/>
      <c r="G358"/>
      <c r="H358"/>
      <c r="AA358" s="33" t="str">
        <f t="shared" si="16"/>
        <v/>
      </c>
      <c r="AC358" s="33">
        <f t="shared" si="15"/>
        <v>1048540</v>
      </c>
      <c r="AD358" s="33" t="str">
        <f t="shared" si="17"/>
        <v/>
      </c>
      <c r="AE358" s="33" t="str" cm="1">
        <f t="array" ref="AE358">LOOKUP(2,1/($AB$2:$AB$1000=AB358),$AD$2:$AD$1000)</f>
        <v/>
      </c>
      <c r="AL358" s="39" t="str">
        <f>IF(AK358="","",
   IF(
      COUNTIF('Paste Here'!$AA$2:$AA$1000,AK358)=0,
      "",
      ROUNDDOWN(COUNTIF('Paste Here'!$AA$2:$AA$1000,AK358)/2,0)
   )
)</f>
        <v/>
      </c>
      <c r="AM358" s="39" t="str" cm="1">
        <f t="array" ref="AM358">IFERROR(IF(LOOKUP(2,1/($AA$2:$AA$1000=AK358),$AD$2:$AD$1000)=0,"",
LOOKUP(2,1/($AA$2:$AA$1000=AK358),$AD$2:$AD$1000)),"")</f>
        <v/>
      </c>
      <c r="AO358" s="33" t="str" cm="1">
        <f t="array" ref="AO358">IFERROR(INDEX($AA$2:$AA$282,MATCH(0,COUNTIF('Paste Here'!$AK$1:AK357,$AA$2:$AA$282),0)),"")</f>
        <v/>
      </c>
      <c r="AP358" s="33" t="str">
        <f>IF(COUNTIF('Paste Here'!$AK$2:AK358,'Paste Here'!AK358)=1,VALUE('Paste Here'!AK358),"")</f>
        <v/>
      </c>
    </row>
    <row r="359" spans="1:42" x14ac:dyDescent="0.3">
      <c r="A359"/>
      <c r="B359"/>
      <c r="C359"/>
      <c r="D359" s="4"/>
      <c r="E359"/>
      <c r="F359"/>
      <c r="G359"/>
      <c r="H359"/>
      <c r="AA359" s="33" t="str">
        <f t="shared" si="16"/>
        <v/>
      </c>
      <c r="AC359" s="33">
        <f t="shared" si="15"/>
        <v>1048540</v>
      </c>
      <c r="AD359" s="33" t="str">
        <f t="shared" si="17"/>
        <v/>
      </c>
      <c r="AE359" s="33" t="str" cm="1">
        <f t="array" ref="AE359">LOOKUP(2,1/($AB$2:$AB$1000=AB359),$AD$2:$AD$1000)</f>
        <v/>
      </c>
      <c r="AL359" s="39" t="str">
        <f>IF(AK359="","",
   IF(
      COUNTIF('Paste Here'!$AA$2:$AA$1000,AK359)=0,
      "",
      ROUNDDOWN(COUNTIF('Paste Here'!$AA$2:$AA$1000,AK359)/2,0)
   )
)</f>
        <v/>
      </c>
      <c r="AM359" s="39" t="str" cm="1">
        <f t="array" ref="AM359">IFERROR(IF(LOOKUP(2,1/($AA$2:$AA$1000=AK359),$AD$2:$AD$1000)=0,"",
LOOKUP(2,1/($AA$2:$AA$1000=AK359),$AD$2:$AD$1000)),"")</f>
        <v/>
      </c>
      <c r="AO359" s="33" t="str" cm="1">
        <f t="array" ref="AO359">IFERROR(INDEX($AA$2:$AA$282,MATCH(0,COUNTIF('Paste Here'!$AK$1:AK358,$AA$2:$AA$282),0)),"")</f>
        <v/>
      </c>
      <c r="AP359" s="33" t="str">
        <f>IF(COUNTIF('Paste Here'!$AK$2:AK359,'Paste Here'!AK359)=1,VALUE('Paste Here'!AK359),"")</f>
        <v/>
      </c>
    </row>
    <row r="360" spans="1:42" x14ac:dyDescent="0.3">
      <c r="A360" s="2"/>
      <c r="B360" s="2"/>
      <c r="C360" s="2"/>
      <c r="D360" s="3"/>
      <c r="E360" s="2"/>
      <c r="F360" s="2"/>
      <c r="G360" s="2"/>
      <c r="H360" s="2"/>
      <c r="AA360" s="33" t="str">
        <f t="shared" si="16"/>
        <v/>
      </c>
      <c r="AC360" s="33">
        <f t="shared" si="15"/>
        <v>1048540</v>
      </c>
      <c r="AD360" s="33" t="str">
        <f t="shared" si="17"/>
        <v/>
      </c>
      <c r="AE360" s="33" t="str" cm="1">
        <f t="array" ref="AE360">LOOKUP(2,1/($AB$2:$AB$1000=AB360),$AD$2:$AD$1000)</f>
        <v/>
      </c>
      <c r="AL360" s="39" t="str">
        <f>IF(AK360="","",
   IF(
      COUNTIF('Paste Here'!$AA$2:$AA$1000,AK360)=0,
      "",
      ROUNDDOWN(COUNTIF('Paste Here'!$AA$2:$AA$1000,AK360)/2,0)
   )
)</f>
        <v/>
      </c>
      <c r="AM360" s="39" t="str" cm="1">
        <f t="array" ref="AM360">IFERROR(IF(LOOKUP(2,1/($AA$2:$AA$1000=AK360),$AD$2:$AD$1000)=0,"",
LOOKUP(2,1/($AA$2:$AA$1000=AK360),$AD$2:$AD$1000)),"")</f>
        <v/>
      </c>
      <c r="AO360" s="33" t="str" cm="1">
        <f t="array" ref="AO360">IFERROR(INDEX($AA$2:$AA$282,MATCH(0,COUNTIF('Paste Here'!$AK$1:AK359,$AA$2:$AA$282),0)),"")</f>
        <v/>
      </c>
      <c r="AP360" s="33" t="str">
        <f>IF(COUNTIF('Paste Here'!$AK$2:AK360,'Paste Here'!AK360)=1,VALUE('Paste Here'!AK360),"")</f>
        <v/>
      </c>
    </row>
    <row r="361" spans="1:42" x14ac:dyDescent="0.3">
      <c r="A361" s="2"/>
      <c r="B361" s="2"/>
      <c r="C361" s="2"/>
      <c r="D361" s="3"/>
      <c r="E361" s="2"/>
      <c r="F361" s="2"/>
      <c r="G361" s="2"/>
      <c r="H361" s="2"/>
      <c r="AA361" s="33" t="str">
        <f t="shared" si="16"/>
        <v/>
      </c>
      <c r="AC361" s="33">
        <f t="shared" si="15"/>
        <v>1048540</v>
      </c>
      <c r="AD361" s="33" t="str">
        <f t="shared" si="17"/>
        <v/>
      </c>
      <c r="AE361" s="33" t="str" cm="1">
        <f t="array" ref="AE361">LOOKUP(2,1/($AB$2:$AB$1000=AB361),$AD$2:$AD$1000)</f>
        <v/>
      </c>
      <c r="AL361" s="39" t="str">
        <f>IF(AK361="","",
   IF(
      COUNTIF('Paste Here'!$AA$2:$AA$1000,AK361)=0,
      "",
      ROUNDDOWN(COUNTIF('Paste Here'!$AA$2:$AA$1000,AK361)/2,0)
   )
)</f>
        <v/>
      </c>
      <c r="AM361" s="39" t="str" cm="1">
        <f t="array" ref="AM361">IFERROR(IF(LOOKUP(2,1/($AA$2:$AA$1000=AK361),$AD$2:$AD$1000)=0,"",
LOOKUP(2,1/($AA$2:$AA$1000=AK361),$AD$2:$AD$1000)),"")</f>
        <v/>
      </c>
      <c r="AO361" s="33" t="str" cm="1">
        <f t="array" ref="AO361">IFERROR(INDEX($AA$2:$AA$282,MATCH(0,COUNTIF('Paste Here'!$AK$1:AK360,$AA$2:$AA$282),0)),"")</f>
        <v/>
      </c>
      <c r="AP361" s="33" t="str">
        <f>IF(COUNTIF('Paste Here'!$AK$2:AK361,'Paste Here'!AK361)=1,VALUE('Paste Here'!AK361),"")</f>
        <v/>
      </c>
    </row>
    <row r="362" spans="1:42" x14ac:dyDescent="0.3">
      <c r="A362" s="2"/>
      <c r="B362" s="2"/>
      <c r="C362" s="2"/>
      <c r="D362" s="3"/>
      <c r="E362" s="2"/>
      <c r="F362" s="2"/>
      <c r="G362" s="2"/>
      <c r="H362" s="2"/>
      <c r="AA362" s="33" t="str">
        <f t="shared" si="16"/>
        <v/>
      </c>
      <c r="AC362" s="33">
        <f t="shared" si="15"/>
        <v>1048540</v>
      </c>
      <c r="AD362" s="33" t="str">
        <f t="shared" si="17"/>
        <v/>
      </c>
      <c r="AE362" s="33" t="str" cm="1">
        <f t="array" ref="AE362">LOOKUP(2,1/($AB$2:$AB$1000=AB362),$AD$2:$AD$1000)</f>
        <v/>
      </c>
      <c r="AL362" s="39" t="str">
        <f>IF(AK362="","",
   IF(
      COUNTIF('Paste Here'!$AA$2:$AA$1000,AK362)=0,
      "",
      ROUNDDOWN(COUNTIF('Paste Here'!$AA$2:$AA$1000,AK362)/2,0)
   )
)</f>
        <v/>
      </c>
      <c r="AM362" s="39" t="str" cm="1">
        <f t="array" ref="AM362">IFERROR(IF(LOOKUP(2,1/($AA$2:$AA$1000=AK362),$AD$2:$AD$1000)=0,"",
LOOKUP(2,1/($AA$2:$AA$1000=AK362),$AD$2:$AD$1000)),"")</f>
        <v/>
      </c>
      <c r="AO362" s="33" t="str" cm="1">
        <f t="array" ref="AO362">IFERROR(INDEX($AA$2:$AA$282,MATCH(0,COUNTIF('Paste Here'!$AK$1:AK361,$AA$2:$AA$282),0)),"")</f>
        <v/>
      </c>
      <c r="AP362" s="33" t="str">
        <f>IF(COUNTIF('Paste Here'!$AK$2:AK362,'Paste Here'!AK362)=1,VALUE('Paste Here'!AK362),"")</f>
        <v/>
      </c>
    </row>
    <row r="363" spans="1:42" x14ac:dyDescent="0.3">
      <c r="A363" s="2"/>
      <c r="B363" s="2"/>
      <c r="C363" s="2"/>
      <c r="D363" s="3"/>
      <c r="E363" s="2"/>
      <c r="F363" s="2"/>
      <c r="G363" s="2"/>
      <c r="H363" s="2"/>
      <c r="AA363" s="33" t="str">
        <f t="shared" si="16"/>
        <v/>
      </c>
      <c r="AC363" s="33">
        <f t="shared" si="15"/>
        <v>1048540</v>
      </c>
      <c r="AD363" s="33" t="str">
        <f t="shared" si="17"/>
        <v/>
      </c>
      <c r="AE363" s="33" t="str" cm="1">
        <f t="array" ref="AE363">LOOKUP(2,1/($AB$2:$AB$1000=AB363),$AD$2:$AD$1000)</f>
        <v/>
      </c>
      <c r="AL363" s="39" t="str">
        <f>IF(AK363="","",
   IF(
      COUNTIF('Paste Here'!$AA$2:$AA$1000,AK363)=0,
      "",
      ROUNDDOWN(COUNTIF('Paste Here'!$AA$2:$AA$1000,AK363)/2,0)
   )
)</f>
        <v/>
      </c>
      <c r="AM363" s="39" t="str" cm="1">
        <f t="array" ref="AM363">IFERROR(IF(LOOKUP(2,1/($AA$2:$AA$1000=AK363),$AD$2:$AD$1000)=0,"",
LOOKUP(2,1/($AA$2:$AA$1000=AK363),$AD$2:$AD$1000)),"")</f>
        <v/>
      </c>
      <c r="AO363" s="33" t="str" cm="1">
        <f t="array" ref="AO363">IFERROR(INDEX($AA$2:$AA$282,MATCH(0,COUNTIF('Paste Here'!$AK$1:AK362,$AA$2:$AA$282),0)),"")</f>
        <v/>
      </c>
      <c r="AP363" s="33" t="str">
        <f>IF(COUNTIF('Paste Here'!$AK$2:AK363,'Paste Here'!AK363)=1,VALUE('Paste Here'!AK363),"")</f>
        <v/>
      </c>
    </row>
    <row r="364" spans="1:42" x14ac:dyDescent="0.3">
      <c r="A364" s="2"/>
      <c r="B364" s="2"/>
      <c r="C364" s="2"/>
      <c r="D364" s="3"/>
      <c r="E364" s="2"/>
      <c r="F364" s="2"/>
      <c r="G364" s="2"/>
      <c r="H364" s="2"/>
      <c r="AA364" s="33" t="str">
        <f t="shared" si="16"/>
        <v/>
      </c>
      <c r="AC364" s="33">
        <f t="shared" si="15"/>
        <v>1048540</v>
      </c>
      <c r="AD364" s="33" t="str">
        <f t="shared" si="17"/>
        <v/>
      </c>
      <c r="AE364" s="33" t="str" cm="1">
        <f t="array" ref="AE364">LOOKUP(2,1/($AB$2:$AB$1000=AB364),$AD$2:$AD$1000)</f>
        <v/>
      </c>
      <c r="AL364" s="39" t="str">
        <f>IF(AK364="","",
   IF(
      COUNTIF('Paste Here'!$AA$2:$AA$1000,AK364)=0,
      "",
      ROUNDDOWN(COUNTIF('Paste Here'!$AA$2:$AA$1000,AK364)/2,0)
   )
)</f>
        <v/>
      </c>
      <c r="AM364" s="39" t="str" cm="1">
        <f t="array" ref="AM364">IFERROR(IF(LOOKUP(2,1/($AA$2:$AA$1000=AK364),$AD$2:$AD$1000)=0,"",
LOOKUP(2,1/($AA$2:$AA$1000=AK364),$AD$2:$AD$1000)),"")</f>
        <v/>
      </c>
      <c r="AO364" s="33" t="str" cm="1">
        <f t="array" ref="AO364">IFERROR(INDEX($AA$2:$AA$282,MATCH(0,COUNTIF('Paste Here'!$AK$1:AK363,$AA$2:$AA$282),0)),"")</f>
        <v/>
      </c>
      <c r="AP364" s="33" t="str">
        <f>IF(COUNTIF('Paste Here'!$AK$2:AK364,'Paste Here'!AK364)=1,VALUE('Paste Here'!AK364),"")</f>
        <v/>
      </c>
    </row>
    <row r="365" spans="1:42" x14ac:dyDescent="0.3">
      <c r="A365" s="2"/>
      <c r="B365" s="2"/>
      <c r="C365" s="2"/>
      <c r="D365" s="3"/>
      <c r="E365" s="2"/>
      <c r="F365" s="2"/>
      <c r="G365" s="2"/>
      <c r="H365" s="2"/>
      <c r="AA365" s="33" t="str">
        <f t="shared" si="16"/>
        <v/>
      </c>
      <c r="AC365" s="33">
        <f t="shared" si="15"/>
        <v>1048540</v>
      </c>
      <c r="AD365" s="33" t="str">
        <f t="shared" si="17"/>
        <v/>
      </c>
      <c r="AE365" s="33" t="str" cm="1">
        <f t="array" ref="AE365">LOOKUP(2,1/($AB$2:$AB$1000=AB365),$AD$2:$AD$1000)</f>
        <v/>
      </c>
      <c r="AL365" s="39" t="str">
        <f>IF(AK365="","",
   IF(
      COUNTIF('Paste Here'!$AA$2:$AA$1000,AK365)=0,
      "",
      ROUNDDOWN(COUNTIF('Paste Here'!$AA$2:$AA$1000,AK365)/2,0)
   )
)</f>
        <v/>
      </c>
      <c r="AM365" s="39" t="str" cm="1">
        <f t="array" ref="AM365">IFERROR(IF(LOOKUP(2,1/($AA$2:$AA$1000=AK365),$AD$2:$AD$1000)=0,"",
LOOKUP(2,1/($AA$2:$AA$1000=AK365),$AD$2:$AD$1000)),"")</f>
        <v/>
      </c>
      <c r="AO365" s="33" t="str" cm="1">
        <f t="array" ref="AO365">IFERROR(INDEX($AA$2:$AA$282,MATCH(0,COUNTIF('Paste Here'!$AK$1:AK364,$AA$2:$AA$282),0)),"")</f>
        <v/>
      </c>
      <c r="AP365" s="33" t="str">
        <f>IF(COUNTIF('Paste Here'!$AK$2:AK365,'Paste Here'!AK365)=1,VALUE('Paste Here'!AK365),"")</f>
        <v/>
      </c>
    </row>
    <row r="366" spans="1:42" x14ac:dyDescent="0.3">
      <c r="A366" s="2"/>
      <c r="B366" s="2"/>
      <c r="C366" s="2"/>
      <c r="D366" s="3"/>
      <c r="E366" s="2"/>
      <c r="F366" s="2"/>
      <c r="G366" s="2"/>
      <c r="H366" s="2"/>
      <c r="AA366" s="33" t="str">
        <f t="shared" si="16"/>
        <v/>
      </c>
      <c r="AC366" s="33">
        <f t="shared" si="15"/>
        <v>1048540</v>
      </c>
      <c r="AD366" s="33" t="str">
        <f t="shared" si="17"/>
        <v/>
      </c>
      <c r="AE366" s="33" t="str" cm="1">
        <f t="array" ref="AE366">LOOKUP(2,1/($AB$2:$AB$1000=AB366),$AD$2:$AD$1000)</f>
        <v/>
      </c>
      <c r="AL366" s="39" t="str">
        <f>IF(AK366="","",
   IF(
      COUNTIF('Paste Here'!$AA$2:$AA$1000,AK366)=0,
      "",
      ROUNDDOWN(COUNTIF('Paste Here'!$AA$2:$AA$1000,AK366)/2,0)
   )
)</f>
        <v/>
      </c>
      <c r="AM366" s="39" t="str" cm="1">
        <f t="array" ref="AM366">IFERROR(IF(LOOKUP(2,1/($AA$2:$AA$1000=AK366),$AD$2:$AD$1000)=0,"",
LOOKUP(2,1/($AA$2:$AA$1000=AK366),$AD$2:$AD$1000)),"")</f>
        <v/>
      </c>
      <c r="AO366" s="33" t="str" cm="1">
        <f t="array" ref="AO366">IFERROR(INDEX($AA$2:$AA$282,MATCH(0,COUNTIF('Paste Here'!$AK$1:AK365,$AA$2:$AA$282),0)),"")</f>
        <v/>
      </c>
      <c r="AP366" s="33" t="str">
        <f>IF(COUNTIF('Paste Here'!$AK$2:AK366,'Paste Here'!AK366)=1,VALUE('Paste Here'!AK366),"")</f>
        <v/>
      </c>
    </row>
    <row r="367" spans="1:42" x14ac:dyDescent="0.3">
      <c r="A367" s="2"/>
      <c r="B367" s="2"/>
      <c r="C367" s="2"/>
      <c r="D367" s="3"/>
      <c r="E367" s="2"/>
      <c r="F367" s="2"/>
      <c r="G367" s="2"/>
      <c r="H367" s="2"/>
      <c r="AA367" s="33" t="str">
        <f t="shared" si="16"/>
        <v/>
      </c>
      <c r="AC367" s="33">
        <f t="shared" si="15"/>
        <v>1048540</v>
      </c>
      <c r="AD367" s="33" t="str">
        <f t="shared" si="17"/>
        <v/>
      </c>
      <c r="AE367" s="33" t="str" cm="1">
        <f t="array" ref="AE367">LOOKUP(2,1/($AB$2:$AB$1000=AB367),$AD$2:$AD$1000)</f>
        <v/>
      </c>
      <c r="AL367" s="39" t="str">
        <f>IF(AK367="","",
   IF(
      COUNTIF('Paste Here'!$AA$2:$AA$1000,AK367)=0,
      "",
      ROUNDDOWN(COUNTIF('Paste Here'!$AA$2:$AA$1000,AK367)/2,0)
   )
)</f>
        <v/>
      </c>
      <c r="AM367" s="39" t="str" cm="1">
        <f t="array" ref="AM367">IFERROR(IF(LOOKUP(2,1/($AA$2:$AA$1000=AK367),$AD$2:$AD$1000)=0,"",
LOOKUP(2,1/($AA$2:$AA$1000=AK367),$AD$2:$AD$1000)),"")</f>
        <v/>
      </c>
      <c r="AO367" s="33" t="str" cm="1">
        <f t="array" ref="AO367">IFERROR(INDEX($AA$2:$AA$282,MATCH(0,COUNTIF('Paste Here'!$AK$1:AK366,$AA$2:$AA$282),0)),"")</f>
        <v/>
      </c>
      <c r="AP367" s="33" t="str">
        <f>IF(COUNTIF('Paste Here'!$AK$2:AK367,'Paste Here'!AK367)=1,VALUE('Paste Here'!AK367),"")</f>
        <v/>
      </c>
    </row>
    <row r="368" spans="1:42" x14ac:dyDescent="0.3">
      <c r="A368" s="2"/>
      <c r="B368" s="2"/>
      <c r="C368" s="2"/>
      <c r="D368" s="3"/>
      <c r="E368" s="2"/>
      <c r="F368" s="2"/>
      <c r="G368" s="2"/>
      <c r="H368" s="2"/>
      <c r="AA368" s="33" t="str">
        <f t="shared" si="16"/>
        <v/>
      </c>
      <c r="AC368" s="33">
        <f t="shared" si="15"/>
        <v>1048540</v>
      </c>
      <c r="AD368" s="33" t="str">
        <f t="shared" si="17"/>
        <v/>
      </c>
      <c r="AE368" s="33" t="str" cm="1">
        <f t="array" ref="AE368">LOOKUP(2,1/($AB$2:$AB$1000=AB368),$AD$2:$AD$1000)</f>
        <v/>
      </c>
      <c r="AL368" s="39" t="str">
        <f>IF(AK368="","",
   IF(
      COUNTIF('Paste Here'!$AA$2:$AA$1000,AK368)=0,
      "",
      ROUNDDOWN(COUNTIF('Paste Here'!$AA$2:$AA$1000,AK368)/2,0)
   )
)</f>
        <v/>
      </c>
      <c r="AM368" s="39" t="str" cm="1">
        <f t="array" ref="AM368">IFERROR(IF(LOOKUP(2,1/($AA$2:$AA$1000=AK368),$AD$2:$AD$1000)=0,"",
LOOKUP(2,1/($AA$2:$AA$1000=AK368),$AD$2:$AD$1000)),"")</f>
        <v/>
      </c>
      <c r="AO368" s="33" t="str" cm="1">
        <f t="array" ref="AO368">IFERROR(INDEX($AA$2:$AA$282,MATCH(0,COUNTIF('Paste Here'!$AK$1:AK367,$AA$2:$AA$282),0)),"")</f>
        <v/>
      </c>
      <c r="AP368" s="33" t="str">
        <f>IF(COUNTIF('Paste Here'!$AK$2:AK368,'Paste Here'!AK368)=1,VALUE('Paste Here'!AK368),"")</f>
        <v/>
      </c>
    </row>
    <row r="369" spans="1:42" x14ac:dyDescent="0.3">
      <c r="A369" s="2"/>
      <c r="B369" s="2"/>
      <c r="C369" s="2"/>
      <c r="D369" s="3"/>
      <c r="E369" s="2"/>
      <c r="F369" s="2"/>
      <c r="G369" s="2"/>
      <c r="H369" s="2"/>
      <c r="AA369" s="33" t="str">
        <f t="shared" si="16"/>
        <v/>
      </c>
      <c r="AC369" s="33">
        <f t="shared" si="15"/>
        <v>1048540</v>
      </c>
      <c r="AD369" s="33" t="str">
        <f t="shared" si="17"/>
        <v/>
      </c>
      <c r="AE369" s="33" t="str" cm="1">
        <f t="array" ref="AE369">LOOKUP(2,1/($AB$2:$AB$1000=AB369),$AD$2:$AD$1000)</f>
        <v/>
      </c>
      <c r="AL369" s="39" t="str">
        <f>IF(AK369="","",
   IF(
      COUNTIF('Paste Here'!$AA$2:$AA$1000,AK369)=0,
      "",
      ROUNDDOWN(COUNTIF('Paste Here'!$AA$2:$AA$1000,AK369)/2,0)
   )
)</f>
        <v/>
      </c>
      <c r="AM369" s="39" t="str" cm="1">
        <f t="array" ref="AM369">IFERROR(IF(LOOKUP(2,1/($AA$2:$AA$1000=AK369),$AD$2:$AD$1000)=0,"",
LOOKUP(2,1/($AA$2:$AA$1000=AK369),$AD$2:$AD$1000)),"")</f>
        <v/>
      </c>
      <c r="AO369" s="33" t="str" cm="1">
        <f t="array" ref="AO369">IFERROR(INDEX($AA$2:$AA$282,MATCH(0,COUNTIF('Paste Here'!$AK$1:AK368,$AA$2:$AA$282),0)),"")</f>
        <v/>
      </c>
      <c r="AP369" s="33" t="str">
        <f>IF(COUNTIF('Paste Here'!$AK$2:AK369,'Paste Here'!AK369)=1,VALUE('Paste Here'!AK369),"")</f>
        <v/>
      </c>
    </row>
    <row r="370" spans="1:42" x14ac:dyDescent="0.3">
      <c r="A370" s="2"/>
      <c r="B370" s="2"/>
      <c r="C370" s="2"/>
      <c r="D370" s="3"/>
      <c r="E370" s="2"/>
      <c r="F370" s="2"/>
      <c r="G370" s="2"/>
      <c r="H370" s="2"/>
      <c r="AA370" s="33" t="str">
        <f t="shared" si="16"/>
        <v/>
      </c>
      <c r="AC370" s="33">
        <f t="shared" si="15"/>
        <v>1048540</v>
      </c>
      <c r="AD370" s="33" t="str">
        <f t="shared" si="17"/>
        <v/>
      </c>
      <c r="AE370" s="33" t="str" cm="1">
        <f t="array" ref="AE370">LOOKUP(2,1/($AB$2:$AB$1000=AB370),$AD$2:$AD$1000)</f>
        <v/>
      </c>
      <c r="AL370" s="39" t="str">
        <f>IF(AK370="","",
   IF(
      COUNTIF('Paste Here'!$AA$2:$AA$1000,AK370)=0,
      "",
      ROUNDDOWN(COUNTIF('Paste Here'!$AA$2:$AA$1000,AK370)/2,0)
   )
)</f>
        <v/>
      </c>
      <c r="AM370" s="39" t="str" cm="1">
        <f t="array" ref="AM370">IFERROR(IF(LOOKUP(2,1/($AA$2:$AA$1000=AK370),$AD$2:$AD$1000)=0,"",
LOOKUP(2,1/($AA$2:$AA$1000=AK370),$AD$2:$AD$1000)),"")</f>
        <v/>
      </c>
      <c r="AO370" s="33" t="str" cm="1">
        <f t="array" ref="AO370">IFERROR(INDEX($AA$2:$AA$282,MATCH(0,COUNTIF('Paste Here'!$AK$1:AK369,$AA$2:$AA$282),0)),"")</f>
        <v/>
      </c>
      <c r="AP370" s="33" t="str">
        <f>IF(COUNTIF('Paste Here'!$AK$2:AK370,'Paste Here'!AK370)=1,VALUE('Paste Here'!AK370),"")</f>
        <v/>
      </c>
    </row>
    <row r="371" spans="1:42" x14ac:dyDescent="0.3">
      <c r="A371" s="2"/>
      <c r="B371" s="2"/>
      <c r="C371" s="2"/>
      <c r="D371" s="3"/>
      <c r="E371" s="2"/>
      <c r="F371" s="2"/>
      <c r="G371" s="2"/>
      <c r="H371" s="2"/>
      <c r="AA371" s="33" t="str">
        <f t="shared" si="16"/>
        <v/>
      </c>
      <c r="AC371" s="33">
        <f t="shared" si="15"/>
        <v>1048540</v>
      </c>
      <c r="AD371" s="33" t="str">
        <f t="shared" si="17"/>
        <v/>
      </c>
      <c r="AE371" s="33" t="str" cm="1">
        <f t="array" ref="AE371">LOOKUP(2,1/($AB$2:$AB$1000=AB371),$AD$2:$AD$1000)</f>
        <v/>
      </c>
      <c r="AL371" s="39" t="str">
        <f>IF(AK371="","",
   IF(
      COUNTIF('Paste Here'!$AA$2:$AA$1000,AK371)=0,
      "",
      ROUNDDOWN(COUNTIF('Paste Here'!$AA$2:$AA$1000,AK371)/2,0)
   )
)</f>
        <v/>
      </c>
      <c r="AM371" s="39" t="str" cm="1">
        <f t="array" ref="AM371">IFERROR(IF(LOOKUP(2,1/($AA$2:$AA$1000=AK371),$AD$2:$AD$1000)=0,"",
LOOKUP(2,1/($AA$2:$AA$1000=AK371),$AD$2:$AD$1000)),"")</f>
        <v/>
      </c>
      <c r="AO371" s="33" t="str" cm="1">
        <f t="array" ref="AO371">IFERROR(INDEX($AA$2:$AA$282,MATCH(0,COUNTIF('Paste Here'!$AK$1:AK370,$AA$2:$AA$282),0)),"")</f>
        <v/>
      </c>
      <c r="AP371" s="33" t="str">
        <f>IF(COUNTIF('Paste Here'!$AK$2:AK371,'Paste Here'!AK371)=1,VALUE('Paste Here'!AK371),"")</f>
        <v/>
      </c>
    </row>
    <row r="372" spans="1:42" x14ac:dyDescent="0.3">
      <c r="A372" s="2"/>
      <c r="B372" s="2"/>
      <c r="C372" s="2"/>
      <c r="D372" s="3"/>
      <c r="E372" s="2"/>
      <c r="F372" s="2"/>
      <c r="G372" s="2"/>
      <c r="H372" s="2"/>
      <c r="AA372" s="33" t="str">
        <f t="shared" si="16"/>
        <v/>
      </c>
      <c r="AC372" s="33">
        <f t="shared" si="15"/>
        <v>1048540</v>
      </c>
      <c r="AD372" s="33" t="str">
        <f t="shared" si="17"/>
        <v/>
      </c>
      <c r="AE372" s="33" t="str" cm="1">
        <f t="array" ref="AE372">LOOKUP(2,1/($AB$2:$AB$1000=AB372),$AD$2:$AD$1000)</f>
        <v/>
      </c>
      <c r="AL372" s="39" t="str">
        <f>IF(AK372="","",
   IF(
      COUNTIF('Paste Here'!$AA$2:$AA$1000,AK372)=0,
      "",
      ROUNDDOWN(COUNTIF('Paste Here'!$AA$2:$AA$1000,AK372)/2,0)
   )
)</f>
        <v/>
      </c>
      <c r="AM372" s="39" t="str" cm="1">
        <f t="array" ref="AM372">IFERROR(IF(LOOKUP(2,1/($AA$2:$AA$1000=AK372),$AD$2:$AD$1000)=0,"",
LOOKUP(2,1/($AA$2:$AA$1000=AK372),$AD$2:$AD$1000)),"")</f>
        <v/>
      </c>
      <c r="AO372" s="33" t="str" cm="1">
        <f t="array" ref="AO372">IFERROR(INDEX($AA$2:$AA$282,MATCH(0,COUNTIF('Paste Here'!$AK$1:AK371,$AA$2:$AA$282),0)),"")</f>
        <v/>
      </c>
      <c r="AP372" s="33" t="str">
        <f>IF(COUNTIF('Paste Here'!$AK$2:AK372,'Paste Here'!AK372)=1,VALUE('Paste Here'!AK372),"")</f>
        <v/>
      </c>
    </row>
    <row r="373" spans="1:42" x14ac:dyDescent="0.3">
      <c r="A373" s="2"/>
      <c r="B373" s="2"/>
      <c r="C373" s="2"/>
      <c r="D373" s="3"/>
      <c r="E373" s="2"/>
      <c r="F373" s="2"/>
      <c r="G373" s="2"/>
      <c r="H373" s="2"/>
      <c r="AA373" s="33" t="str">
        <f t="shared" si="16"/>
        <v/>
      </c>
      <c r="AC373" s="33">
        <f t="shared" si="15"/>
        <v>1048540</v>
      </c>
      <c r="AD373" s="33" t="str">
        <f t="shared" si="17"/>
        <v/>
      </c>
      <c r="AE373" s="33" t="str" cm="1">
        <f t="array" ref="AE373">LOOKUP(2,1/($AB$2:$AB$1000=AB373),$AD$2:$AD$1000)</f>
        <v/>
      </c>
      <c r="AL373" s="39" t="str">
        <f>IF(AK373="","",
   IF(
      COUNTIF('Paste Here'!$AA$2:$AA$1000,AK373)=0,
      "",
      ROUNDDOWN(COUNTIF('Paste Here'!$AA$2:$AA$1000,AK373)/2,0)
   )
)</f>
        <v/>
      </c>
      <c r="AM373" s="39" t="str" cm="1">
        <f t="array" ref="AM373">IFERROR(IF(LOOKUP(2,1/($AA$2:$AA$1000=AK373),$AD$2:$AD$1000)=0,"",
LOOKUP(2,1/($AA$2:$AA$1000=AK373),$AD$2:$AD$1000)),"")</f>
        <v/>
      </c>
      <c r="AO373" s="33" t="str" cm="1">
        <f t="array" ref="AO373">IFERROR(INDEX($AA$2:$AA$282,MATCH(0,COUNTIF('Paste Here'!$AK$1:AK372,$AA$2:$AA$282),0)),"")</f>
        <v/>
      </c>
      <c r="AP373" s="33" t="str">
        <f>IF(COUNTIF('Paste Here'!$AK$2:AK373,'Paste Here'!AK373)=1,VALUE('Paste Here'!AK373),"")</f>
        <v/>
      </c>
    </row>
    <row r="374" spans="1:42" x14ac:dyDescent="0.3">
      <c r="A374" s="2"/>
      <c r="B374" s="2"/>
      <c r="C374" s="2"/>
      <c r="D374" s="3"/>
      <c r="E374" s="2"/>
      <c r="F374" s="2"/>
      <c r="G374" s="2"/>
      <c r="H374" s="2"/>
      <c r="AA374" s="33" t="str">
        <f t="shared" si="16"/>
        <v/>
      </c>
      <c r="AC374" s="33">
        <f t="shared" si="15"/>
        <v>1048540</v>
      </c>
      <c r="AD374" s="33" t="str">
        <f t="shared" si="17"/>
        <v/>
      </c>
      <c r="AE374" s="33" t="str" cm="1">
        <f t="array" ref="AE374">LOOKUP(2,1/($AB$2:$AB$1000=AB374),$AD$2:$AD$1000)</f>
        <v/>
      </c>
      <c r="AL374" s="39" t="str">
        <f>IF(AK374="","",
   IF(
      COUNTIF('Paste Here'!$AA$2:$AA$1000,AK374)=0,
      "",
      ROUNDDOWN(COUNTIF('Paste Here'!$AA$2:$AA$1000,AK374)/2,0)
   )
)</f>
        <v/>
      </c>
      <c r="AM374" s="39" t="str" cm="1">
        <f t="array" ref="AM374">IFERROR(IF(LOOKUP(2,1/($AA$2:$AA$1000=AK374),$AD$2:$AD$1000)=0,"",
LOOKUP(2,1/($AA$2:$AA$1000=AK374),$AD$2:$AD$1000)),"")</f>
        <v/>
      </c>
      <c r="AO374" s="33" t="str" cm="1">
        <f t="array" ref="AO374">IFERROR(INDEX($AA$2:$AA$282,MATCH(0,COUNTIF('Paste Here'!$AK$1:AK373,$AA$2:$AA$282),0)),"")</f>
        <v/>
      </c>
      <c r="AP374" s="33" t="str">
        <f>IF(COUNTIF('Paste Here'!$AK$2:AK374,'Paste Here'!AK374)=1,VALUE('Paste Here'!AK374),"")</f>
        <v/>
      </c>
    </row>
    <row r="375" spans="1:42" x14ac:dyDescent="0.3">
      <c r="A375" s="2"/>
      <c r="B375" s="2"/>
      <c r="C375" s="2"/>
      <c r="D375" s="3"/>
      <c r="E375" s="2"/>
      <c r="F375" s="2"/>
      <c r="G375" s="2"/>
      <c r="H375" s="2"/>
      <c r="AA375" s="33" t="str">
        <f t="shared" si="16"/>
        <v/>
      </c>
      <c r="AC375" s="33">
        <f t="shared" si="15"/>
        <v>1048540</v>
      </c>
      <c r="AD375" s="33" t="str">
        <f t="shared" si="17"/>
        <v/>
      </c>
      <c r="AE375" s="33" t="str" cm="1">
        <f t="array" ref="AE375">LOOKUP(2,1/($AB$2:$AB$1000=AB375),$AD$2:$AD$1000)</f>
        <v/>
      </c>
      <c r="AL375" s="39" t="str">
        <f>IF(AK375="","",
   IF(
      COUNTIF('Paste Here'!$AA$2:$AA$1000,AK375)=0,
      "",
      ROUNDDOWN(COUNTIF('Paste Here'!$AA$2:$AA$1000,AK375)/2,0)
   )
)</f>
        <v/>
      </c>
      <c r="AM375" s="39" t="str" cm="1">
        <f t="array" ref="AM375">IFERROR(IF(LOOKUP(2,1/($AA$2:$AA$1000=AK375),$AD$2:$AD$1000)=0,"",
LOOKUP(2,1/($AA$2:$AA$1000=AK375),$AD$2:$AD$1000)),"")</f>
        <v/>
      </c>
      <c r="AO375" s="33" t="str" cm="1">
        <f t="array" ref="AO375">IFERROR(INDEX($AA$2:$AA$282,MATCH(0,COUNTIF('Paste Here'!$AK$1:AK374,$AA$2:$AA$282),0)),"")</f>
        <v/>
      </c>
      <c r="AP375" s="33" t="str">
        <f>IF(COUNTIF('Paste Here'!$AK$2:AK375,'Paste Here'!AK375)=1,VALUE('Paste Here'!AK375),"")</f>
        <v/>
      </c>
    </row>
    <row r="376" spans="1:42" x14ac:dyDescent="0.3">
      <c r="A376" s="2"/>
      <c r="B376" s="2"/>
      <c r="C376" s="2"/>
      <c r="D376" s="3"/>
      <c r="E376" s="2"/>
      <c r="F376" s="2"/>
      <c r="G376" s="2"/>
      <c r="H376" s="2"/>
      <c r="AA376" s="33" t="str">
        <f t="shared" si="16"/>
        <v/>
      </c>
      <c r="AC376" s="33">
        <f t="shared" si="15"/>
        <v>1048540</v>
      </c>
      <c r="AD376" s="33" t="str">
        <f t="shared" si="17"/>
        <v/>
      </c>
      <c r="AE376" s="33" t="str" cm="1">
        <f t="array" ref="AE376">LOOKUP(2,1/($AB$2:$AB$1000=AB376),$AD$2:$AD$1000)</f>
        <v/>
      </c>
      <c r="AL376" s="39" t="str">
        <f>IF(AK376="","",
   IF(
      COUNTIF('Paste Here'!$AA$2:$AA$1000,AK376)=0,
      "",
      ROUNDDOWN(COUNTIF('Paste Here'!$AA$2:$AA$1000,AK376)/2,0)
   )
)</f>
        <v/>
      </c>
      <c r="AM376" s="39" t="str" cm="1">
        <f t="array" ref="AM376">IFERROR(IF(LOOKUP(2,1/($AA$2:$AA$1000=AK376),$AD$2:$AD$1000)=0,"",
LOOKUP(2,1/($AA$2:$AA$1000=AK376),$AD$2:$AD$1000)),"")</f>
        <v/>
      </c>
      <c r="AO376" s="33" t="str" cm="1">
        <f t="array" ref="AO376">IFERROR(INDEX($AA$2:$AA$282,MATCH(0,COUNTIF('Paste Here'!$AK$1:AK375,$AA$2:$AA$282),0)),"")</f>
        <v/>
      </c>
      <c r="AP376" s="33" t="str">
        <f>IF(COUNTIF('Paste Here'!$AK$2:AK376,'Paste Here'!AK376)=1,VALUE('Paste Here'!AK376),"")</f>
        <v/>
      </c>
    </row>
    <row r="377" spans="1:42" x14ac:dyDescent="0.3">
      <c r="A377" s="2"/>
      <c r="B377" s="2"/>
      <c r="C377" s="2"/>
      <c r="D377" s="3"/>
      <c r="E377" s="2"/>
      <c r="F377" s="2"/>
      <c r="G377" s="2"/>
      <c r="H377" s="2"/>
      <c r="AA377" s="33" t="str">
        <f t="shared" si="16"/>
        <v/>
      </c>
      <c r="AC377" s="33">
        <f t="shared" si="15"/>
        <v>1048540</v>
      </c>
      <c r="AD377" s="33" t="str">
        <f t="shared" si="17"/>
        <v/>
      </c>
      <c r="AE377" s="33" t="str" cm="1">
        <f t="array" ref="AE377">LOOKUP(2,1/($AB$2:$AB$1000=AB377),$AD$2:$AD$1000)</f>
        <v/>
      </c>
      <c r="AL377" s="39" t="str">
        <f>IF(AK377="","",
   IF(
      COUNTIF('Paste Here'!$AA$2:$AA$1000,AK377)=0,
      "",
      ROUNDDOWN(COUNTIF('Paste Here'!$AA$2:$AA$1000,AK377)/2,0)
   )
)</f>
        <v/>
      </c>
      <c r="AM377" s="39" t="str" cm="1">
        <f t="array" ref="AM377">IFERROR(IF(LOOKUP(2,1/($AA$2:$AA$1000=AK377),$AD$2:$AD$1000)=0,"",
LOOKUP(2,1/($AA$2:$AA$1000=AK377),$AD$2:$AD$1000)),"")</f>
        <v/>
      </c>
      <c r="AO377" s="33" t="str" cm="1">
        <f t="array" ref="AO377">IFERROR(INDEX($AA$2:$AA$282,MATCH(0,COUNTIF('Paste Here'!$AK$1:AK376,$AA$2:$AA$282),0)),"")</f>
        <v/>
      </c>
      <c r="AP377" s="33" t="str">
        <f>IF(COUNTIF('Paste Here'!$AK$2:AK377,'Paste Here'!AK377)=1,VALUE('Paste Here'!AK377),"")</f>
        <v/>
      </c>
    </row>
    <row r="378" spans="1:42" x14ac:dyDescent="0.3">
      <c r="A378" s="2"/>
      <c r="B378" s="2"/>
      <c r="C378" s="2"/>
      <c r="D378" s="3"/>
      <c r="E378" s="2"/>
      <c r="F378" s="2"/>
      <c r="G378" s="2"/>
      <c r="H378" s="2"/>
      <c r="AA378" s="33" t="str">
        <f t="shared" si="16"/>
        <v/>
      </c>
      <c r="AC378" s="33">
        <f t="shared" si="15"/>
        <v>1048540</v>
      </c>
      <c r="AD378" s="33" t="str">
        <f t="shared" si="17"/>
        <v/>
      </c>
      <c r="AE378" s="33" t="str" cm="1">
        <f t="array" ref="AE378">LOOKUP(2,1/($AB$2:$AB$1000=AB378),$AD$2:$AD$1000)</f>
        <v/>
      </c>
      <c r="AL378" s="39" t="str">
        <f>IF(AK378="","",
   IF(
      COUNTIF('Paste Here'!$AA$2:$AA$1000,AK378)=0,
      "",
      ROUNDDOWN(COUNTIF('Paste Here'!$AA$2:$AA$1000,AK378)/2,0)
   )
)</f>
        <v/>
      </c>
      <c r="AM378" s="39" t="str" cm="1">
        <f t="array" ref="AM378">IFERROR(IF(LOOKUP(2,1/($AA$2:$AA$1000=AK378),$AD$2:$AD$1000)=0,"",
LOOKUP(2,1/($AA$2:$AA$1000=AK378),$AD$2:$AD$1000)),"")</f>
        <v/>
      </c>
      <c r="AO378" s="33" t="str" cm="1">
        <f t="array" ref="AO378">IFERROR(INDEX($AA$2:$AA$282,MATCH(0,COUNTIF('Paste Here'!$AK$1:AK377,$AA$2:$AA$282),0)),"")</f>
        <v/>
      </c>
      <c r="AP378" s="33" t="str">
        <f>IF(COUNTIF('Paste Here'!$AK$2:AK378,'Paste Here'!AK378)=1,VALUE('Paste Here'!AK378),"")</f>
        <v/>
      </c>
    </row>
    <row r="379" spans="1:42" x14ac:dyDescent="0.3">
      <c r="A379" s="2"/>
      <c r="B379" s="2"/>
      <c r="C379" s="2"/>
      <c r="D379" s="3"/>
      <c r="E379" s="2"/>
      <c r="F379" s="2"/>
      <c r="G379" s="2"/>
      <c r="H379" s="2"/>
      <c r="AA379" s="33" t="str">
        <f t="shared" si="16"/>
        <v/>
      </c>
      <c r="AC379" s="33">
        <f t="shared" si="15"/>
        <v>1048540</v>
      </c>
      <c r="AD379" s="33" t="str">
        <f t="shared" si="17"/>
        <v/>
      </c>
      <c r="AE379" s="33" t="str" cm="1">
        <f t="array" ref="AE379">LOOKUP(2,1/($AB$2:$AB$1000=AB379),$AD$2:$AD$1000)</f>
        <v/>
      </c>
      <c r="AL379" s="39" t="str">
        <f>IF(AK379="","",
   IF(
      COUNTIF('Paste Here'!$AA$2:$AA$1000,AK379)=0,
      "",
      ROUNDDOWN(COUNTIF('Paste Here'!$AA$2:$AA$1000,AK379)/2,0)
   )
)</f>
        <v/>
      </c>
      <c r="AM379" s="39" t="str" cm="1">
        <f t="array" ref="AM379">IFERROR(IF(LOOKUP(2,1/($AA$2:$AA$1000=AK379),$AD$2:$AD$1000)=0,"",
LOOKUP(2,1/($AA$2:$AA$1000=AK379),$AD$2:$AD$1000)),"")</f>
        <v/>
      </c>
      <c r="AO379" s="33" t="str" cm="1">
        <f t="array" ref="AO379">IFERROR(INDEX($AA$2:$AA$282,MATCH(0,COUNTIF('Paste Here'!$AK$1:AK378,$AA$2:$AA$282),0)),"")</f>
        <v/>
      </c>
      <c r="AP379" s="33" t="str">
        <f>IF(COUNTIF('Paste Here'!$AK$2:AK379,'Paste Here'!AK379)=1,VALUE('Paste Here'!AK379),"")</f>
        <v/>
      </c>
    </row>
    <row r="380" spans="1:42" x14ac:dyDescent="0.3">
      <c r="A380" s="2"/>
      <c r="B380" s="2"/>
      <c r="C380" s="2"/>
      <c r="D380" s="3"/>
      <c r="E380" s="2"/>
      <c r="F380" s="2"/>
      <c r="G380" s="2"/>
      <c r="H380" s="2"/>
      <c r="AA380" s="33" t="str">
        <f t="shared" si="16"/>
        <v/>
      </c>
      <c r="AC380" s="33">
        <f t="shared" si="15"/>
        <v>1048540</v>
      </c>
      <c r="AD380" s="33" t="str">
        <f t="shared" si="17"/>
        <v/>
      </c>
      <c r="AE380" s="33" t="str" cm="1">
        <f t="array" ref="AE380">LOOKUP(2,1/($AB$2:$AB$1000=AB380),$AD$2:$AD$1000)</f>
        <v/>
      </c>
      <c r="AL380" s="39" t="str">
        <f>IF(AK380="","",
   IF(
      COUNTIF('Paste Here'!$AA$2:$AA$1000,AK380)=0,
      "",
      ROUNDDOWN(COUNTIF('Paste Here'!$AA$2:$AA$1000,AK380)/2,0)
   )
)</f>
        <v/>
      </c>
      <c r="AM380" s="39" t="str" cm="1">
        <f t="array" ref="AM380">IFERROR(IF(LOOKUP(2,1/($AA$2:$AA$1000=AK380),$AD$2:$AD$1000)=0,"",
LOOKUP(2,1/($AA$2:$AA$1000=AK380),$AD$2:$AD$1000)),"")</f>
        <v/>
      </c>
      <c r="AO380" s="33" t="str" cm="1">
        <f t="array" ref="AO380">IFERROR(INDEX($AA$2:$AA$282,MATCH(0,COUNTIF('Paste Here'!$AK$1:AK379,$AA$2:$AA$282),0)),"")</f>
        <v/>
      </c>
      <c r="AP380" s="33" t="str">
        <f>IF(COUNTIF('Paste Here'!$AK$2:AK380,'Paste Here'!AK380)=1,VALUE('Paste Here'!AK380),"")</f>
        <v/>
      </c>
    </row>
    <row r="381" spans="1:42" x14ac:dyDescent="0.3">
      <c r="A381" s="2"/>
      <c r="B381" s="2"/>
      <c r="C381" s="2"/>
      <c r="D381" s="3"/>
      <c r="E381" s="2"/>
      <c r="F381" s="2"/>
      <c r="G381" s="2"/>
      <c r="H381" s="2"/>
      <c r="AA381" s="33" t="str">
        <f t="shared" si="16"/>
        <v/>
      </c>
      <c r="AC381" s="33">
        <f t="shared" si="15"/>
        <v>1048540</v>
      </c>
      <c r="AD381" s="33" t="str">
        <f t="shared" si="17"/>
        <v/>
      </c>
      <c r="AE381" s="33" t="str" cm="1">
        <f t="array" ref="AE381">LOOKUP(2,1/($AB$2:$AB$1000=AB381),$AD$2:$AD$1000)</f>
        <v/>
      </c>
      <c r="AL381" s="39" t="str">
        <f>IF(AK381="","",
   IF(
      COUNTIF('Paste Here'!$AA$2:$AA$1000,AK381)=0,
      "",
      ROUNDDOWN(COUNTIF('Paste Here'!$AA$2:$AA$1000,AK381)/2,0)
   )
)</f>
        <v/>
      </c>
      <c r="AM381" s="39" t="str" cm="1">
        <f t="array" ref="AM381">IFERROR(IF(LOOKUP(2,1/($AA$2:$AA$1000=AK381),$AD$2:$AD$1000)=0,"",
LOOKUP(2,1/($AA$2:$AA$1000=AK381),$AD$2:$AD$1000)),"")</f>
        <v/>
      </c>
      <c r="AO381" s="33" t="str" cm="1">
        <f t="array" ref="AO381">IFERROR(INDEX($AA$2:$AA$282,MATCH(0,COUNTIF('Paste Here'!$AK$1:AK380,$AA$2:$AA$282),0)),"")</f>
        <v/>
      </c>
      <c r="AP381" s="33" t="str">
        <f>IF(COUNTIF('Paste Here'!$AK$2:AK381,'Paste Here'!AK381)=1,VALUE('Paste Here'!AK381),"")</f>
        <v/>
      </c>
    </row>
    <row r="382" spans="1:42" x14ac:dyDescent="0.3">
      <c r="A382" s="2"/>
      <c r="B382" s="2"/>
      <c r="C382" s="2"/>
      <c r="D382" s="3"/>
      <c r="E382" s="2"/>
      <c r="F382" s="2"/>
      <c r="G382" s="2"/>
      <c r="H382" s="2"/>
      <c r="AA382" s="33" t="str">
        <f t="shared" si="16"/>
        <v/>
      </c>
      <c r="AC382" s="33">
        <f t="shared" si="15"/>
        <v>1048540</v>
      </c>
      <c r="AD382" s="33" t="str">
        <f t="shared" si="17"/>
        <v/>
      </c>
      <c r="AE382" s="33" t="str" cm="1">
        <f t="array" ref="AE382">LOOKUP(2,1/($AB$2:$AB$1000=AB382),$AD$2:$AD$1000)</f>
        <v/>
      </c>
      <c r="AL382" s="39" t="str">
        <f>IF(AK382="","",
   IF(
      COUNTIF('Paste Here'!$AA$2:$AA$1000,AK382)=0,
      "",
      ROUNDDOWN(COUNTIF('Paste Here'!$AA$2:$AA$1000,AK382)/2,0)
   )
)</f>
        <v/>
      </c>
      <c r="AM382" s="39" t="str" cm="1">
        <f t="array" ref="AM382">IFERROR(IF(LOOKUP(2,1/($AA$2:$AA$1000=AK382),$AD$2:$AD$1000)=0,"",
LOOKUP(2,1/($AA$2:$AA$1000=AK382),$AD$2:$AD$1000)),"")</f>
        <v/>
      </c>
      <c r="AO382" s="33" t="str" cm="1">
        <f t="array" ref="AO382">IFERROR(INDEX($AA$2:$AA$282,MATCH(0,COUNTIF('Paste Here'!$AK$1:AK381,$AA$2:$AA$282),0)),"")</f>
        <v/>
      </c>
      <c r="AP382" s="33" t="str">
        <f>IF(COUNTIF('Paste Here'!$AK$2:AK382,'Paste Here'!AK382)=1,VALUE('Paste Here'!AK382),"")</f>
        <v/>
      </c>
    </row>
    <row r="383" spans="1:42" x14ac:dyDescent="0.3">
      <c r="A383" s="2"/>
      <c r="B383" s="2"/>
      <c r="C383" s="2"/>
      <c r="D383" s="3"/>
      <c r="E383" s="2"/>
      <c r="F383" s="2"/>
      <c r="G383" s="2"/>
      <c r="H383" s="2"/>
      <c r="AA383" s="33" t="str">
        <f t="shared" si="16"/>
        <v/>
      </c>
      <c r="AC383" s="33">
        <f t="shared" si="15"/>
        <v>1048540</v>
      </c>
      <c r="AD383" s="33" t="str">
        <f t="shared" si="17"/>
        <v/>
      </c>
      <c r="AE383" s="33" t="str" cm="1">
        <f t="array" ref="AE383">LOOKUP(2,1/($AB$2:$AB$1000=AB383),$AD$2:$AD$1000)</f>
        <v/>
      </c>
      <c r="AL383" s="39" t="str">
        <f>IF(AK383="","",
   IF(
      COUNTIF('Paste Here'!$AA$2:$AA$1000,AK383)=0,
      "",
      ROUNDDOWN(COUNTIF('Paste Here'!$AA$2:$AA$1000,AK383)/2,0)
   )
)</f>
        <v/>
      </c>
      <c r="AM383" s="39" t="str" cm="1">
        <f t="array" ref="AM383">IFERROR(IF(LOOKUP(2,1/($AA$2:$AA$1000=AK383),$AD$2:$AD$1000)=0,"",
LOOKUP(2,1/($AA$2:$AA$1000=AK383),$AD$2:$AD$1000)),"")</f>
        <v/>
      </c>
      <c r="AO383" s="33" t="str" cm="1">
        <f t="array" ref="AO383">IFERROR(INDEX($AA$2:$AA$282,MATCH(0,COUNTIF('Paste Here'!$AK$1:AK382,$AA$2:$AA$282),0)),"")</f>
        <v/>
      </c>
      <c r="AP383" s="33" t="str">
        <f>IF(COUNTIF('Paste Here'!$AK$2:AK383,'Paste Here'!AK383)=1,VALUE('Paste Here'!AK383),"")</f>
        <v/>
      </c>
    </row>
    <row r="384" spans="1:42" x14ac:dyDescent="0.3">
      <c r="A384" s="2"/>
      <c r="B384" s="2"/>
      <c r="C384" s="2"/>
      <c r="D384" s="3"/>
      <c r="E384" s="2"/>
      <c r="F384" s="2"/>
      <c r="G384" s="2"/>
      <c r="H384" s="2"/>
      <c r="AA384" s="33" t="str">
        <f t="shared" si="16"/>
        <v/>
      </c>
      <c r="AC384" s="33">
        <f t="shared" si="15"/>
        <v>1048540</v>
      </c>
      <c r="AD384" s="33" t="str">
        <f t="shared" si="17"/>
        <v/>
      </c>
      <c r="AE384" s="33" t="str" cm="1">
        <f t="array" ref="AE384">LOOKUP(2,1/($AB$2:$AB$1000=AB384),$AD$2:$AD$1000)</f>
        <v/>
      </c>
      <c r="AL384" s="39" t="str">
        <f>IF(AK384="","",
   IF(
      COUNTIF('Paste Here'!$AA$2:$AA$1000,AK384)=0,
      "",
      ROUNDDOWN(COUNTIF('Paste Here'!$AA$2:$AA$1000,AK384)/2,0)
   )
)</f>
        <v/>
      </c>
      <c r="AM384" s="39" t="str" cm="1">
        <f t="array" ref="AM384">IFERROR(IF(LOOKUP(2,1/($AA$2:$AA$1000=AK384),$AD$2:$AD$1000)=0,"",
LOOKUP(2,1/($AA$2:$AA$1000=AK384),$AD$2:$AD$1000)),"")</f>
        <v/>
      </c>
      <c r="AO384" s="33" t="str" cm="1">
        <f t="array" ref="AO384">IFERROR(INDEX($AA$2:$AA$282,MATCH(0,COUNTIF('Paste Here'!$AK$1:AK383,$AA$2:$AA$282),0)),"")</f>
        <v/>
      </c>
      <c r="AP384" s="33" t="str">
        <f>IF(COUNTIF('Paste Here'!$AK$2:AK384,'Paste Here'!AK384)=1,VALUE('Paste Here'!AK384),"")</f>
        <v/>
      </c>
    </row>
    <row r="385" spans="1:42" x14ac:dyDescent="0.3">
      <c r="A385" s="2"/>
      <c r="B385" s="2"/>
      <c r="C385" s="2"/>
      <c r="D385" s="3"/>
      <c r="E385" s="2"/>
      <c r="F385" s="2"/>
      <c r="G385" s="2"/>
      <c r="H385" s="2"/>
      <c r="AA385" s="33" t="str">
        <f t="shared" si="16"/>
        <v/>
      </c>
      <c r="AC385" s="33">
        <f t="shared" si="15"/>
        <v>1048540</v>
      </c>
      <c r="AD385" s="33" t="str">
        <f t="shared" si="17"/>
        <v/>
      </c>
      <c r="AE385" s="33" t="str" cm="1">
        <f t="array" ref="AE385">LOOKUP(2,1/($AB$2:$AB$1000=AB385),$AD$2:$AD$1000)</f>
        <v/>
      </c>
      <c r="AM385" s="39" t="str" cm="1">
        <f t="array" ref="AM385">IFERROR(IF(LOOKUP(2,1/($AA$2:$AA$1000=AK385),$AD$2:$AD$1000)=0,"",
LOOKUP(2,1/($AA$2:$AA$1000=AK385),$AD$2:$AD$1000)),"")</f>
        <v/>
      </c>
      <c r="AO385" s="33" t="str" cm="1">
        <f t="array" ref="AO385">IFERROR(INDEX($AA$2:$AA$282,MATCH(0,COUNTIF('Paste Here'!$AK$1:AK384,$AA$2:$AA$282),0)),"")</f>
        <v/>
      </c>
      <c r="AP385" s="33" t="str">
        <f>IF(COUNTIF('Paste Here'!$AK$2:AK385,'Paste Here'!AK385)=1,VALUE('Paste Here'!AK385),"")</f>
        <v/>
      </c>
    </row>
    <row r="386" spans="1:42" x14ac:dyDescent="0.3">
      <c r="A386" s="2"/>
      <c r="B386" s="2"/>
      <c r="C386" s="2"/>
      <c r="D386" s="3"/>
      <c r="E386" s="2"/>
      <c r="F386" s="2"/>
      <c r="G386" s="2"/>
      <c r="H386" s="2"/>
      <c r="AA386" s="33" t="str">
        <f t="shared" si="16"/>
        <v/>
      </c>
      <c r="AC386" s="33">
        <f t="shared" ref="AC386:AC449" si="18">COUNTIF($AA:$AA,AA386)</f>
        <v>1048540</v>
      </c>
      <c r="AD386" s="33" t="str">
        <f t="shared" si="17"/>
        <v/>
      </c>
      <c r="AE386" s="33" t="str" cm="1">
        <f t="array" ref="AE386">LOOKUP(2,1/($AB$2:$AB$1000=AB386),$AD$2:$AD$1000)</f>
        <v/>
      </c>
      <c r="AM386" s="39" t="str" cm="1">
        <f t="array" ref="AM386">IFERROR(IF(LOOKUP(2,1/($AA$2:$AA$1000=AK386),$AD$2:$AD$1000)=0,"",
LOOKUP(2,1/($AA$2:$AA$1000=AK386),$AD$2:$AD$1000)),"")</f>
        <v/>
      </c>
      <c r="AO386" s="33" t="str" cm="1">
        <f t="array" ref="AO386">IFERROR(INDEX($AA$2:$AA$282,MATCH(0,COUNTIF('Paste Here'!$AK$1:AK385,$AA$2:$AA$282),0)),"")</f>
        <v/>
      </c>
      <c r="AP386" s="33" t="str">
        <f>IF(COUNTIF('Paste Here'!$AK$2:AK386,'Paste Here'!AK386)=1,VALUE('Paste Here'!AK386),"")</f>
        <v/>
      </c>
    </row>
    <row r="387" spans="1:42" x14ac:dyDescent="0.3">
      <c r="A387" s="2"/>
      <c r="B387" s="2"/>
      <c r="C387" s="2"/>
      <c r="D387" s="3"/>
      <c r="E387" s="2"/>
      <c r="F387" s="2"/>
      <c r="G387" s="2"/>
      <c r="H387" s="2"/>
      <c r="AA387" s="33" t="str">
        <f t="shared" ref="AA387:AA450" si="19">IFERROR(MID(G387,FIND("LR-",G387)+3,FIND("-",G387,FIND("LR-",G387)+3)-FIND("LR-",G387)-3),"")</f>
        <v/>
      </c>
      <c r="AC387" s="33">
        <f t="shared" si="18"/>
        <v>1048540</v>
      </c>
      <c r="AD387" s="33" t="str">
        <f t="shared" ref="AD387:AD450" si="20">IF(F387=0,"",F387)</f>
        <v/>
      </c>
      <c r="AE387" s="33" t="str" cm="1">
        <f t="array" ref="AE387">LOOKUP(2,1/($AB$2:$AB$1000=AB387),$AD$2:$AD$1000)</f>
        <v/>
      </c>
      <c r="AM387" s="39" t="str" cm="1">
        <f t="array" ref="AM387">IFERROR(IF(LOOKUP(2,1/($AA$2:$AA$1000=AK387),$AD$2:$AD$1000)=0,"",
LOOKUP(2,1/($AA$2:$AA$1000=AK387),$AD$2:$AD$1000)),"")</f>
        <v/>
      </c>
      <c r="AO387" s="33" t="str" cm="1">
        <f t="array" ref="AO387">IFERROR(INDEX($AA$2:$AA$282,MATCH(0,COUNTIF('Paste Here'!$AK$1:AK386,$AA$2:$AA$282),0)),"")</f>
        <v/>
      </c>
      <c r="AP387" s="33" t="str">
        <f>IF(COUNTIF('Paste Here'!$AK$2:AK387,'Paste Here'!AK387)=1,VALUE('Paste Here'!AK387),"")</f>
        <v/>
      </c>
    </row>
    <row r="388" spans="1:42" x14ac:dyDescent="0.3">
      <c r="A388" s="2"/>
      <c r="B388" s="2"/>
      <c r="C388" s="2"/>
      <c r="D388" s="3"/>
      <c r="E388" s="2"/>
      <c r="F388" s="2"/>
      <c r="G388" s="2"/>
      <c r="H388" s="2"/>
      <c r="AA388" s="33" t="str">
        <f t="shared" si="19"/>
        <v/>
      </c>
      <c r="AC388" s="33">
        <f t="shared" si="18"/>
        <v>1048540</v>
      </c>
      <c r="AD388" s="33" t="str">
        <f t="shared" si="20"/>
        <v/>
      </c>
      <c r="AE388" s="33" t="str" cm="1">
        <f t="array" ref="AE388">LOOKUP(2,1/($AB$2:$AB$1000=AB388),$AD$2:$AD$1000)</f>
        <v/>
      </c>
      <c r="AM388" s="39" t="str" cm="1">
        <f t="array" ref="AM388">IFERROR(IF(LOOKUP(2,1/($AA$2:$AA$1000=AK388),$AD$2:$AD$1000)=0,"",
LOOKUP(2,1/($AA$2:$AA$1000=AK388),$AD$2:$AD$1000)),"")</f>
        <v/>
      </c>
      <c r="AO388" s="33" t="str" cm="1">
        <f t="array" ref="AO388">IFERROR(INDEX($AA$2:$AA$282,MATCH(0,COUNTIF('Paste Here'!$AK$1:AK387,$AA$2:$AA$282),0)),"")</f>
        <v/>
      </c>
      <c r="AP388" s="33" t="str">
        <f>IF(COUNTIF('Paste Here'!$AK$2:AK388,'Paste Here'!AK388)=1,VALUE('Paste Here'!AK388),"")</f>
        <v/>
      </c>
    </row>
    <row r="389" spans="1:42" x14ac:dyDescent="0.3">
      <c r="A389" s="2"/>
      <c r="B389" s="2"/>
      <c r="C389" s="2"/>
      <c r="D389" s="3"/>
      <c r="E389" s="2"/>
      <c r="F389" s="2"/>
      <c r="G389" s="2"/>
      <c r="H389" s="2"/>
      <c r="AA389" s="33" t="str">
        <f t="shared" si="19"/>
        <v/>
      </c>
      <c r="AC389" s="33">
        <f t="shared" si="18"/>
        <v>1048540</v>
      </c>
      <c r="AD389" s="33" t="str">
        <f t="shared" si="20"/>
        <v/>
      </c>
      <c r="AE389" s="33" t="str" cm="1">
        <f t="array" ref="AE389">LOOKUP(2,1/($AB$2:$AB$1000=AB389),$AD$2:$AD$1000)</f>
        <v/>
      </c>
      <c r="AM389" s="39" t="str" cm="1">
        <f t="array" ref="AM389">IFERROR(IF(LOOKUP(2,1/($AA$2:$AA$1000=AK389),$AD$2:$AD$1000)=0,"",
LOOKUP(2,1/($AA$2:$AA$1000=AK389),$AD$2:$AD$1000)),"")</f>
        <v/>
      </c>
      <c r="AO389" s="33" t="str" cm="1">
        <f t="array" ref="AO389">IFERROR(INDEX($AA$2:$AA$282,MATCH(0,COUNTIF('Paste Here'!$AK$1:AK388,$AA$2:$AA$282),0)),"")</f>
        <v/>
      </c>
      <c r="AP389" s="33" t="str">
        <f>IF(COUNTIF('Paste Here'!$AK$2:AK389,'Paste Here'!AK389)=1,VALUE('Paste Here'!AK389),"")</f>
        <v/>
      </c>
    </row>
    <row r="390" spans="1:42" x14ac:dyDescent="0.3">
      <c r="A390" s="2"/>
      <c r="B390" s="2"/>
      <c r="C390" s="2"/>
      <c r="D390" s="3"/>
      <c r="E390" s="2"/>
      <c r="F390" s="2"/>
      <c r="G390" s="2"/>
      <c r="H390" s="2"/>
      <c r="AA390" s="33" t="str">
        <f t="shared" si="19"/>
        <v/>
      </c>
      <c r="AC390" s="33">
        <f t="shared" si="18"/>
        <v>1048540</v>
      </c>
      <c r="AD390" s="33" t="str">
        <f t="shared" si="20"/>
        <v/>
      </c>
      <c r="AE390" s="33" t="str" cm="1">
        <f t="array" ref="AE390">LOOKUP(2,1/($AB$2:$AB$1000=AB390),$AD$2:$AD$1000)</f>
        <v/>
      </c>
      <c r="AM390" s="39" t="str" cm="1">
        <f t="array" ref="AM390">IFERROR(IF(LOOKUP(2,1/($AA$2:$AA$1000=AK390),$AD$2:$AD$1000)=0,"",
LOOKUP(2,1/($AA$2:$AA$1000=AK390),$AD$2:$AD$1000)),"")</f>
        <v/>
      </c>
      <c r="AO390" s="33" t="str" cm="1">
        <f t="array" ref="AO390">IFERROR(INDEX($AA$2:$AA$282,MATCH(0,COUNTIF('Paste Here'!$AK$1:AK389,$AA$2:$AA$282),0)),"")</f>
        <v/>
      </c>
      <c r="AP390" s="33" t="str">
        <f>IF(COUNTIF('Paste Here'!$AK$2:AK390,'Paste Here'!AK390)=1,VALUE('Paste Here'!AK390),"")</f>
        <v/>
      </c>
    </row>
    <row r="391" spans="1:42" x14ac:dyDescent="0.3">
      <c r="A391" s="2"/>
      <c r="B391" s="2"/>
      <c r="C391" s="2"/>
      <c r="D391" s="3"/>
      <c r="E391" s="2"/>
      <c r="F391" s="2"/>
      <c r="G391" s="2"/>
      <c r="H391" s="2"/>
      <c r="AA391" s="33" t="str">
        <f t="shared" si="19"/>
        <v/>
      </c>
      <c r="AC391" s="33">
        <f t="shared" si="18"/>
        <v>1048540</v>
      </c>
      <c r="AD391" s="33" t="str">
        <f t="shared" si="20"/>
        <v/>
      </c>
      <c r="AE391" s="33" t="str" cm="1">
        <f t="array" ref="AE391">LOOKUP(2,1/($AB$2:$AB$1000=AB391),$AD$2:$AD$1000)</f>
        <v/>
      </c>
      <c r="AM391" s="39" t="str" cm="1">
        <f t="array" ref="AM391">IFERROR(IF(LOOKUP(2,1/($AA$2:$AA$1000=AK391),$AD$2:$AD$1000)=0,"",
LOOKUP(2,1/($AA$2:$AA$1000=AK391),$AD$2:$AD$1000)),"")</f>
        <v/>
      </c>
      <c r="AO391" s="33" t="str" cm="1">
        <f t="array" ref="AO391">IFERROR(INDEX($AA$2:$AA$282,MATCH(0,COUNTIF('Paste Here'!$AK$1:AK390,$AA$2:$AA$282),0)),"")</f>
        <v/>
      </c>
      <c r="AP391" s="33" t="str">
        <f>IF(COUNTIF('Paste Here'!$AK$2:AK391,'Paste Here'!AK391)=1,VALUE('Paste Here'!AK391),"")</f>
        <v/>
      </c>
    </row>
    <row r="392" spans="1:42" x14ac:dyDescent="0.3">
      <c r="A392" s="2"/>
      <c r="B392" s="2"/>
      <c r="C392" s="2"/>
      <c r="D392" s="3"/>
      <c r="E392" s="2"/>
      <c r="F392" s="2"/>
      <c r="G392" s="2"/>
      <c r="H392" s="2"/>
      <c r="AA392" s="33" t="str">
        <f t="shared" si="19"/>
        <v/>
      </c>
      <c r="AC392" s="33">
        <f t="shared" si="18"/>
        <v>1048540</v>
      </c>
      <c r="AD392" s="33" t="str">
        <f t="shared" si="20"/>
        <v/>
      </c>
      <c r="AE392" s="33" t="str" cm="1">
        <f t="array" ref="AE392">LOOKUP(2,1/($AB$2:$AB$1000=AB392),$AD$2:$AD$1000)</f>
        <v/>
      </c>
      <c r="AM392" s="39" t="str" cm="1">
        <f t="array" ref="AM392">IFERROR(IF(LOOKUP(2,1/($AA$2:$AA$1000=AK392),$AD$2:$AD$1000)=0,"",
LOOKUP(2,1/($AA$2:$AA$1000=AK392),$AD$2:$AD$1000)),"")</f>
        <v/>
      </c>
      <c r="AO392" s="33" t="str" cm="1">
        <f t="array" ref="AO392">IFERROR(INDEX($AA$2:$AA$282,MATCH(0,COUNTIF('Paste Here'!$AK$1:AK391,$AA$2:$AA$282),0)),"")</f>
        <v/>
      </c>
      <c r="AP392" s="33" t="str">
        <f>IF(COUNTIF('Paste Here'!$AK$2:AK392,'Paste Here'!AK392)=1,VALUE('Paste Here'!AK392),"")</f>
        <v/>
      </c>
    </row>
    <row r="393" spans="1:42" x14ac:dyDescent="0.3">
      <c r="A393" s="2"/>
      <c r="B393" s="2"/>
      <c r="C393" s="2"/>
      <c r="D393" s="3"/>
      <c r="E393" s="2"/>
      <c r="F393" s="2"/>
      <c r="G393" s="2"/>
      <c r="H393" s="2"/>
      <c r="AA393" s="33" t="str">
        <f t="shared" si="19"/>
        <v/>
      </c>
      <c r="AC393" s="33">
        <f t="shared" si="18"/>
        <v>1048540</v>
      </c>
      <c r="AD393" s="33" t="str">
        <f t="shared" si="20"/>
        <v/>
      </c>
      <c r="AE393" s="33" t="str" cm="1">
        <f t="array" ref="AE393">LOOKUP(2,1/($AB$2:$AB$1000=AB393),$AD$2:$AD$1000)</f>
        <v/>
      </c>
      <c r="AM393" s="39" t="str" cm="1">
        <f t="array" ref="AM393">IFERROR(IF(LOOKUP(2,1/($AA$2:$AA$1000=AK393),$AD$2:$AD$1000)=0,"",
LOOKUP(2,1/($AA$2:$AA$1000=AK393),$AD$2:$AD$1000)),"")</f>
        <v/>
      </c>
      <c r="AO393" s="33" t="str" cm="1">
        <f t="array" ref="AO393">IFERROR(INDEX($AA$2:$AA$282,MATCH(0,COUNTIF('Paste Here'!$AK$1:AK392,$AA$2:$AA$282),0)),"")</f>
        <v/>
      </c>
      <c r="AP393" s="33" t="str">
        <f>IF(COUNTIF('Paste Here'!$AK$2:AK393,'Paste Here'!AK393)=1,VALUE('Paste Here'!AK393),"")</f>
        <v/>
      </c>
    </row>
    <row r="394" spans="1:42" x14ac:dyDescent="0.3">
      <c r="A394" s="2"/>
      <c r="B394" s="2"/>
      <c r="C394" s="2"/>
      <c r="D394" s="3"/>
      <c r="E394" s="2"/>
      <c r="F394" s="2"/>
      <c r="G394" s="2"/>
      <c r="H394" s="2"/>
      <c r="AA394" s="33" t="str">
        <f t="shared" si="19"/>
        <v/>
      </c>
      <c r="AC394" s="33">
        <f t="shared" si="18"/>
        <v>1048540</v>
      </c>
      <c r="AD394" s="33" t="str">
        <f t="shared" si="20"/>
        <v/>
      </c>
      <c r="AE394" s="33" t="str" cm="1">
        <f t="array" ref="AE394">LOOKUP(2,1/($AB$2:$AB$1000=AB394),$AD$2:$AD$1000)</f>
        <v/>
      </c>
      <c r="AM394" s="39" t="str" cm="1">
        <f t="array" ref="AM394">IFERROR(IF(LOOKUP(2,1/($AA$2:$AA$1000=AK394),$AD$2:$AD$1000)=0,"",
LOOKUP(2,1/($AA$2:$AA$1000=AK394),$AD$2:$AD$1000)),"")</f>
        <v/>
      </c>
      <c r="AO394" s="33" t="str" cm="1">
        <f t="array" ref="AO394">IFERROR(INDEX($AA$2:$AA$282,MATCH(0,COUNTIF('Paste Here'!$AK$1:AK393,$AA$2:$AA$282),0)),"")</f>
        <v/>
      </c>
      <c r="AP394" s="33" t="str">
        <f>IF(COUNTIF('Paste Here'!$AK$2:AK394,'Paste Here'!AK394)=1,VALUE('Paste Here'!AK394),"")</f>
        <v/>
      </c>
    </row>
    <row r="395" spans="1:42" x14ac:dyDescent="0.3">
      <c r="A395" s="2"/>
      <c r="B395" s="2"/>
      <c r="C395" s="2"/>
      <c r="D395" s="3"/>
      <c r="E395" s="2"/>
      <c r="F395" s="2"/>
      <c r="G395" s="2"/>
      <c r="H395" s="2"/>
      <c r="AA395" s="33" t="str">
        <f t="shared" si="19"/>
        <v/>
      </c>
      <c r="AC395" s="33">
        <f t="shared" si="18"/>
        <v>1048540</v>
      </c>
      <c r="AD395" s="33" t="str">
        <f t="shared" si="20"/>
        <v/>
      </c>
      <c r="AE395" s="33" t="str" cm="1">
        <f t="array" ref="AE395">LOOKUP(2,1/($AB$2:$AB$1000=AB395),$AD$2:$AD$1000)</f>
        <v/>
      </c>
      <c r="AM395" s="39" t="str" cm="1">
        <f t="array" ref="AM395">IFERROR(IF(LOOKUP(2,1/($AA$2:$AA$1000=AK395),$AD$2:$AD$1000)=0,"",
LOOKUP(2,1/($AA$2:$AA$1000=AK395),$AD$2:$AD$1000)),"")</f>
        <v/>
      </c>
      <c r="AO395" s="33" t="str" cm="1">
        <f t="array" ref="AO395">IFERROR(INDEX($AA$2:$AA$282,MATCH(0,COUNTIF('Paste Here'!$AK$1:AK394,$AA$2:$AA$282),0)),"")</f>
        <v/>
      </c>
      <c r="AP395" s="33" t="str">
        <f>IF(COUNTIF('Paste Here'!$AK$2:AK395,'Paste Here'!AK395)=1,VALUE('Paste Here'!AK395),"")</f>
        <v/>
      </c>
    </row>
    <row r="396" spans="1:42" x14ac:dyDescent="0.3">
      <c r="A396"/>
      <c r="B396"/>
      <c r="C396"/>
      <c r="D396" s="4"/>
      <c r="E396"/>
      <c r="F396"/>
      <c r="G396"/>
      <c r="H396"/>
      <c r="AA396" s="33" t="str">
        <f t="shared" si="19"/>
        <v/>
      </c>
      <c r="AC396" s="33">
        <f t="shared" si="18"/>
        <v>1048540</v>
      </c>
      <c r="AD396" s="33" t="str">
        <f t="shared" si="20"/>
        <v/>
      </c>
      <c r="AE396" s="33" t="str" cm="1">
        <f t="array" ref="AE396">LOOKUP(2,1/($AB$2:$AB$1000=AB396),$AD$2:$AD$1000)</f>
        <v/>
      </c>
      <c r="AM396" s="39" t="str" cm="1">
        <f t="array" ref="AM396">IFERROR(IF(LOOKUP(2,1/($AA$2:$AA$1000=AK396),$AD$2:$AD$1000)=0,"",
LOOKUP(2,1/($AA$2:$AA$1000=AK396),$AD$2:$AD$1000)),"")</f>
        <v/>
      </c>
      <c r="AO396" s="33" t="str" cm="1">
        <f t="array" ref="AO396">IFERROR(INDEX($AA$2:$AA$282,MATCH(0,COUNTIF('Paste Here'!$AK$1:AK395,$AA$2:$AA$282),0)),"")</f>
        <v/>
      </c>
      <c r="AP396" s="33" t="str">
        <f>IF(COUNTIF('Paste Here'!$AK$2:AK396,'Paste Here'!AK396)=1,VALUE('Paste Here'!AK396),"")</f>
        <v/>
      </c>
    </row>
    <row r="397" spans="1:42" x14ac:dyDescent="0.3">
      <c r="A397"/>
      <c r="B397"/>
      <c r="C397"/>
      <c r="D397" s="4"/>
      <c r="E397"/>
      <c r="F397"/>
      <c r="G397"/>
      <c r="H397"/>
      <c r="AA397" s="33" t="str">
        <f t="shared" si="19"/>
        <v/>
      </c>
      <c r="AC397" s="33">
        <f t="shared" si="18"/>
        <v>1048540</v>
      </c>
      <c r="AD397" s="33" t="str">
        <f t="shared" si="20"/>
        <v/>
      </c>
      <c r="AE397" s="33" t="str" cm="1">
        <f t="array" ref="AE397">LOOKUP(2,1/($AB$2:$AB$1000=AB397),$AD$2:$AD$1000)</f>
        <v/>
      </c>
      <c r="AM397" s="39" t="str" cm="1">
        <f t="array" ref="AM397">IFERROR(IF(LOOKUP(2,1/($AA$2:$AA$1000=AK397),$AD$2:$AD$1000)=0,"",
LOOKUP(2,1/($AA$2:$AA$1000=AK397),$AD$2:$AD$1000)),"")</f>
        <v/>
      </c>
      <c r="AO397" s="33" t="str" cm="1">
        <f t="array" ref="AO397">IFERROR(INDEX($AA$2:$AA$282,MATCH(0,COUNTIF('Paste Here'!$AK$1:AK396,$AA$2:$AA$282),0)),"")</f>
        <v/>
      </c>
      <c r="AP397" s="33" t="str">
        <f>IF(COUNTIF('Paste Here'!$AK$2:AK397,'Paste Here'!AK397)=1,VALUE('Paste Here'!AK397),"")</f>
        <v/>
      </c>
    </row>
    <row r="398" spans="1:42" x14ac:dyDescent="0.3">
      <c r="A398"/>
      <c r="B398"/>
      <c r="C398"/>
      <c r="D398" s="4"/>
      <c r="E398"/>
      <c r="F398"/>
      <c r="G398"/>
      <c r="H398"/>
      <c r="AA398" s="33" t="str">
        <f t="shared" si="19"/>
        <v/>
      </c>
      <c r="AC398" s="33">
        <f t="shared" si="18"/>
        <v>1048540</v>
      </c>
      <c r="AD398" s="33" t="str">
        <f t="shared" si="20"/>
        <v/>
      </c>
      <c r="AE398" s="33" t="str" cm="1">
        <f t="array" ref="AE398">LOOKUP(2,1/($AB$2:$AB$1000=AB398),$AD$2:$AD$1000)</f>
        <v/>
      </c>
      <c r="AM398" s="39" t="str" cm="1">
        <f t="array" ref="AM398">IFERROR(IF(LOOKUP(2,1/($AA$2:$AA$1000=AK398),$AD$2:$AD$1000)=0,"",
LOOKUP(2,1/($AA$2:$AA$1000=AK398),$AD$2:$AD$1000)),"")</f>
        <v/>
      </c>
      <c r="AO398" s="33" t="str" cm="1">
        <f t="array" ref="AO398">IFERROR(INDEX($AA$2:$AA$282,MATCH(0,COUNTIF('Paste Here'!$AK$1:AK397,$AA$2:$AA$282),0)),"")</f>
        <v/>
      </c>
      <c r="AP398" s="33" t="str">
        <f>IF(COUNTIF('Paste Here'!$AK$2:AK398,'Paste Here'!AK398)=1,VALUE('Paste Here'!AK398),"")</f>
        <v/>
      </c>
    </row>
    <row r="399" spans="1:42" x14ac:dyDescent="0.3">
      <c r="A399"/>
      <c r="B399"/>
      <c r="C399"/>
      <c r="D399" s="4"/>
      <c r="E399"/>
      <c r="F399"/>
      <c r="G399"/>
      <c r="H399"/>
      <c r="AA399" s="33" t="str">
        <f t="shared" si="19"/>
        <v/>
      </c>
      <c r="AC399" s="33">
        <f t="shared" si="18"/>
        <v>1048540</v>
      </c>
      <c r="AD399" s="33" t="str">
        <f t="shared" si="20"/>
        <v/>
      </c>
      <c r="AE399" s="33" t="str" cm="1">
        <f t="array" ref="AE399">LOOKUP(2,1/($AB$2:$AB$1000=AB399),$AD$2:$AD$1000)</f>
        <v/>
      </c>
      <c r="AM399" s="39" t="str" cm="1">
        <f t="array" ref="AM399">IFERROR(IF(LOOKUP(2,1/($AA$2:$AA$1000=AK399),$AD$2:$AD$1000)=0,"",
LOOKUP(2,1/($AA$2:$AA$1000=AK399),$AD$2:$AD$1000)),"")</f>
        <v/>
      </c>
      <c r="AO399" s="33" t="str" cm="1">
        <f t="array" ref="AO399">IFERROR(INDEX($AA$2:$AA$282,MATCH(0,COUNTIF('Paste Here'!$AK$1:AK398,$AA$2:$AA$282),0)),"")</f>
        <v/>
      </c>
      <c r="AP399" s="33" t="str">
        <f>IF(COUNTIF('Paste Here'!$AK$2:AK399,'Paste Here'!AK399)=1,VALUE('Paste Here'!AK399),"")</f>
        <v/>
      </c>
    </row>
    <row r="400" spans="1:42" x14ac:dyDescent="0.3">
      <c r="A400"/>
      <c r="B400"/>
      <c r="C400"/>
      <c r="D400" s="4"/>
      <c r="E400"/>
      <c r="F400"/>
      <c r="G400"/>
      <c r="H400"/>
      <c r="AA400" s="33" t="str">
        <f t="shared" si="19"/>
        <v/>
      </c>
      <c r="AC400" s="33">
        <f t="shared" si="18"/>
        <v>1048540</v>
      </c>
      <c r="AD400" s="33" t="str">
        <f t="shared" si="20"/>
        <v/>
      </c>
      <c r="AE400" s="33" t="str" cm="1">
        <f t="array" ref="AE400">LOOKUP(2,1/($AB$2:$AB$1000=AB400),$AD$2:$AD$1000)</f>
        <v/>
      </c>
      <c r="AM400" s="39" t="str" cm="1">
        <f t="array" ref="AM400">IFERROR(IF(LOOKUP(2,1/($AA$2:$AA$1000=AK400),$AD$2:$AD$1000)=0,"",
LOOKUP(2,1/($AA$2:$AA$1000=AK400),$AD$2:$AD$1000)),"")</f>
        <v/>
      </c>
      <c r="AO400" s="33" t="str" cm="1">
        <f t="array" ref="AO400">IFERROR(INDEX($AA$2:$AA$282,MATCH(0,COUNTIF('Paste Here'!$AK$1:AK399,$AA$2:$AA$282),0)),"")</f>
        <v/>
      </c>
      <c r="AP400" s="33" t="str">
        <f>IF(COUNTIF('Paste Here'!$AK$2:AK400,'Paste Here'!AK400)=1,VALUE('Paste Here'!AK400),"")</f>
        <v/>
      </c>
    </row>
    <row r="401" spans="1:42" x14ac:dyDescent="0.3">
      <c r="A401"/>
      <c r="B401"/>
      <c r="C401"/>
      <c r="D401" s="4"/>
      <c r="E401"/>
      <c r="F401"/>
      <c r="G401"/>
      <c r="H401"/>
      <c r="AA401" s="33" t="str">
        <f t="shared" si="19"/>
        <v/>
      </c>
      <c r="AC401" s="33">
        <f t="shared" si="18"/>
        <v>1048540</v>
      </c>
      <c r="AD401" s="33" t="str">
        <f t="shared" si="20"/>
        <v/>
      </c>
      <c r="AE401" s="33" t="str" cm="1">
        <f t="array" ref="AE401">LOOKUP(2,1/($AB$2:$AB$1000=AB401),$AD$2:$AD$1000)</f>
        <v/>
      </c>
      <c r="AM401" s="39" t="str" cm="1">
        <f t="array" ref="AM401">IFERROR(IF(LOOKUP(2,1/($AA$2:$AA$1000=AK401),$AD$2:$AD$1000)=0,"",
LOOKUP(2,1/($AA$2:$AA$1000=AK401),$AD$2:$AD$1000)),"")</f>
        <v/>
      </c>
      <c r="AO401" s="33" t="str" cm="1">
        <f t="array" ref="AO401">IFERROR(INDEX($AA$2:$AA$282,MATCH(0,COUNTIF('Paste Here'!$AK$1:AK400,$AA$2:$AA$282),0)),"")</f>
        <v/>
      </c>
      <c r="AP401" s="33" t="str">
        <f>IF(COUNTIF('Paste Here'!$AK$2:AK401,'Paste Here'!AK401)=1,VALUE('Paste Here'!AK401),"")</f>
        <v/>
      </c>
    </row>
    <row r="402" spans="1:42" x14ac:dyDescent="0.3">
      <c r="A402"/>
      <c r="B402"/>
      <c r="C402"/>
      <c r="D402" s="4"/>
      <c r="E402"/>
      <c r="F402"/>
      <c r="G402"/>
      <c r="H402"/>
      <c r="AA402" s="33" t="str">
        <f t="shared" si="19"/>
        <v/>
      </c>
      <c r="AC402" s="33">
        <f t="shared" si="18"/>
        <v>1048540</v>
      </c>
      <c r="AD402" s="33" t="str">
        <f t="shared" si="20"/>
        <v/>
      </c>
      <c r="AE402" s="33" t="str" cm="1">
        <f t="array" ref="AE402">LOOKUP(2,1/($AB$2:$AB$1000=AB402),$AD$2:$AD$1000)</f>
        <v/>
      </c>
      <c r="AM402" s="39" t="str" cm="1">
        <f t="array" ref="AM402">IFERROR(IF(LOOKUP(2,1/($AA$2:$AA$1000=AK402),$AD$2:$AD$1000)=0,"",
LOOKUP(2,1/($AA$2:$AA$1000=AK402),$AD$2:$AD$1000)),"")</f>
        <v/>
      </c>
      <c r="AO402" s="33" t="str" cm="1">
        <f t="array" ref="AO402">IFERROR(INDEX($AA$2:$AA$282,MATCH(0,COUNTIF('Paste Here'!$AK$1:AK401,$AA$2:$AA$282),0)),"")</f>
        <v/>
      </c>
      <c r="AP402" s="33" t="str">
        <f>IF(COUNTIF('Paste Here'!$AK$2:AK402,'Paste Here'!AK402)=1,VALUE('Paste Here'!AK402),"")</f>
        <v/>
      </c>
    </row>
    <row r="403" spans="1:42" x14ac:dyDescent="0.3">
      <c r="A403"/>
      <c r="B403"/>
      <c r="C403"/>
      <c r="D403" s="4"/>
      <c r="E403"/>
      <c r="F403"/>
      <c r="G403"/>
      <c r="H403"/>
      <c r="AA403" s="33" t="str">
        <f t="shared" si="19"/>
        <v/>
      </c>
      <c r="AC403" s="33">
        <f t="shared" si="18"/>
        <v>1048540</v>
      </c>
      <c r="AD403" s="33" t="str">
        <f t="shared" si="20"/>
        <v/>
      </c>
      <c r="AE403" s="33" t="str" cm="1">
        <f t="array" ref="AE403">LOOKUP(2,1/($AB$2:$AB$1000=AB403),$AD$2:$AD$1000)</f>
        <v/>
      </c>
      <c r="AM403" s="39" t="str" cm="1">
        <f t="array" ref="AM403">IFERROR(IF(LOOKUP(2,1/($AA$2:$AA$1000=AK403),$AD$2:$AD$1000)=0,"",
LOOKUP(2,1/($AA$2:$AA$1000=AK403),$AD$2:$AD$1000)),"")</f>
        <v/>
      </c>
      <c r="AO403" s="33" t="str" cm="1">
        <f t="array" ref="AO403">IFERROR(INDEX($AA$2:$AA$282,MATCH(0,COUNTIF('Paste Here'!$AK$1:AK402,$AA$2:$AA$282),0)),"")</f>
        <v/>
      </c>
      <c r="AP403" s="33" t="str">
        <f>IF(COUNTIF('Paste Here'!$AK$2:AK403,'Paste Here'!AK403)=1,VALUE('Paste Here'!AK403),"")</f>
        <v/>
      </c>
    </row>
    <row r="404" spans="1:42" x14ac:dyDescent="0.3">
      <c r="A404"/>
      <c r="B404"/>
      <c r="C404"/>
      <c r="D404" s="4"/>
      <c r="E404"/>
      <c r="F404"/>
      <c r="G404"/>
      <c r="H404"/>
      <c r="AA404" s="33" t="str">
        <f t="shared" si="19"/>
        <v/>
      </c>
      <c r="AC404" s="33">
        <f t="shared" si="18"/>
        <v>1048540</v>
      </c>
      <c r="AD404" s="33" t="str">
        <f t="shared" si="20"/>
        <v/>
      </c>
      <c r="AE404" s="33" t="str" cm="1">
        <f t="array" ref="AE404">LOOKUP(2,1/($AB$2:$AB$1000=AB404),$AD$2:$AD$1000)</f>
        <v/>
      </c>
      <c r="AM404" s="39" t="str" cm="1">
        <f t="array" ref="AM404">IFERROR(IF(LOOKUP(2,1/($AA$2:$AA$1000=AK404),$AD$2:$AD$1000)=0,"",
LOOKUP(2,1/($AA$2:$AA$1000=AK404),$AD$2:$AD$1000)),"")</f>
        <v/>
      </c>
      <c r="AO404" s="33" t="str" cm="1">
        <f t="array" ref="AO404">IFERROR(INDEX($AA$2:$AA$282,MATCH(0,COUNTIF('Paste Here'!$AK$1:AK403,$AA$2:$AA$282),0)),"")</f>
        <v/>
      </c>
      <c r="AP404" s="33" t="str">
        <f>IF(COUNTIF('Paste Here'!$AK$2:AK404,'Paste Here'!AK404)=1,VALUE('Paste Here'!AK404),"")</f>
        <v/>
      </c>
    </row>
    <row r="405" spans="1:42" x14ac:dyDescent="0.3">
      <c r="A405"/>
      <c r="B405"/>
      <c r="C405"/>
      <c r="D405" s="4"/>
      <c r="E405"/>
      <c r="F405"/>
      <c r="G405"/>
      <c r="H405"/>
      <c r="AA405" s="33" t="str">
        <f t="shared" si="19"/>
        <v/>
      </c>
      <c r="AC405" s="33">
        <f t="shared" si="18"/>
        <v>1048540</v>
      </c>
      <c r="AD405" s="33" t="str">
        <f t="shared" si="20"/>
        <v/>
      </c>
      <c r="AE405" s="33" t="str" cm="1">
        <f t="array" ref="AE405">LOOKUP(2,1/($AB$2:$AB$1000=AB405),$AD$2:$AD$1000)</f>
        <v/>
      </c>
      <c r="AM405" s="39" t="str" cm="1">
        <f t="array" ref="AM405">IFERROR(IF(LOOKUP(2,1/($AA$2:$AA$1000=AK405),$AD$2:$AD$1000)=0,"",
LOOKUP(2,1/($AA$2:$AA$1000=AK405),$AD$2:$AD$1000)),"")</f>
        <v/>
      </c>
      <c r="AO405" s="33" t="str" cm="1">
        <f t="array" ref="AO405">IFERROR(INDEX($AA$2:$AA$282,MATCH(0,COUNTIF('Paste Here'!$AK$1:AK404,$AA$2:$AA$282),0)),"")</f>
        <v/>
      </c>
      <c r="AP405" s="33" t="str">
        <f>IF(COUNTIF('Paste Here'!$AK$2:AK405,'Paste Here'!AK405)=1,VALUE('Paste Here'!AK405),"")</f>
        <v/>
      </c>
    </row>
    <row r="406" spans="1:42" x14ac:dyDescent="0.3">
      <c r="A406"/>
      <c r="B406"/>
      <c r="C406"/>
      <c r="D406" s="4"/>
      <c r="E406"/>
      <c r="F406"/>
      <c r="G406"/>
      <c r="H406"/>
      <c r="AA406" s="33" t="str">
        <f t="shared" si="19"/>
        <v/>
      </c>
      <c r="AC406" s="33">
        <f t="shared" si="18"/>
        <v>1048540</v>
      </c>
      <c r="AD406" s="33" t="str">
        <f t="shared" si="20"/>
        <v/>
      </c>
      <c r="AE406" s="33" t="str" cm="1">
        <f t="array" ref="AE406">LOOKUP(2,1/($AB$2:$AB$1000=AB406),$AD$2:$AD$1000)</f>
        <v/>
      </c>
      <c r="AM406" s="39" t="str" cm="1">
        <f t="array" ref="AM406">IFERROR(IF(LOOKUP(2,1/($AA$2:$AA$1000=AK406),$AD$2:$AD$1000)=0,"",
LOOKUP(2,1/($AA$2:$AA$1000=AK406),$AD$2:$AD$1000)),"")</f>
        <v/>
      </c>
      <c r="AO406" s="33" t="str" cm="1">
        <f t="array" ref="AO406">IFERROR(INDEX($AA$2:$AA$282,MATCH(0,COUNTIF('Paste Here'!$AK$1:AK405,$AA$2:$AA$282),0)),"")</f>
        <v/>
      </c>
      <c r="AP406" s="33" t="str">
        <f>IF(COUNTIF('Paste Here'!$AK$2:AK406,'Paste Here'!AK406)=1,VALUE('Paste Here'!AK406),"")</f>
        <v/>
      </c>
    </row>
    <row r="407" spans="1:42" x14ac:dyDescent="0.3">
      <c r="A407"/>
      <c r="B407"/>
      <c r="C407"/>
      <c r="D407" s="4"/>
      <c r="E407"/>
      <c r="F407"/>
      <c r="G407"/>
      <c r="H407"/>
      <c r="AA407" s="33" t="str">
        <f t="shared" si="19"/>
        <v/>
      </c>
      <c r="AC407" s="33">
        <f t="shared" si="18"/>
        <v>1048540</v>
      </c>
      <c r="AD407" s="33" t="str">
        <f t="shared" si="20"/>
        <v/>
      </c>
      <c r="AE407" s="33" t="str" cm="1">
        <f t="array" ref="AE407">LOOKUP(2,1/($AB$2:$AB$1000=AB407),$AD$2:$AD$1000)</f>
        <v/>
      </c>
      <c r="AM407" s="39" t="str" cm="1">
        <f t="array" ref="AM407">IFERROR(IF(LOOKUP(2,1/($AA$2:$AA$1000=AK407),$AD$2:$AD$1000)=0,"",
LOOKUP(2,1/($AA$2:$AA$1000=AK407),$AD$2:$AD$1000)),"")</f>
        <v/>
      </c>
      <c r="AO407" s="33" t="str" cm="1">
        <f t="array" ref="AO407">IFERROR(INDEX($AA$2:$AA$282,MATCH(0,COUNTIF('Paste Here'!$AK$1:AK406,$AA$2:$AA$282),0)),"")</f>
        <v/>
      </c>
      <c r="AP407" s="33" t="str">
        <f>IF(COUNTIF('Paste Here'!$AK$2:AK407,'Paste Here'!AK407)=1,VALUE('Paste Here'!AK407),"")</f>
        <v/>
      </c>
    </row>
    <row r="408" spans="1:42" x14ac:dyDescent="0.3">
      <c r="A408"/>
      <c r="B408"/>
      <c r="C408"/>
      <c r="D408" s="4"/>
      <c r="E408"/>
      <c r="F408"/>
      <c r="G408"/>
      <c r="H408"/>
      <c r="AA408" s="33" t="str">
        <f t="shared" si="19"/>
        <v/>
      </c>
      <c r="AC408" s="33">
        <f t="shared" si="18"/>
        <v>1048540</v>
      </c>
      <c r="AD408" s="33" t="str">
        <f t="shared" si="20"/>
        <v/>
      </c>
      <c r="AE408" s="33" t="str" cm="1">
        <f t="array" ref="AE408">LOOKUP(2,1/($AB$2:$AB$1000=AB408),$AD$2:$AD$1000)</f>
        <v/>
      </c>
      <c r="AM408" s="39" t="str" cm="1">
        <f t="array" ref="AM408">IFERROR(IF(LOOKUP(2,1/($AA$2:$AA$1000=AK408),$AD$2:$AD$1000)=0,"",
LOOKUP(2,1/($AA$2:$AA$1000=AK408),$AD$2:$AD$1000)),"")</f>
        <v/>
      </c>
      <c r="AO408" s="33" t="str" cm="1">
        <f t="array" ref="AO408">IFERROR(INDEX($AA$2:$AA$282,MATCH(0,COUNTIF('Paste Here'!$AK$1:AK407,$AA$2:$AA$282),0)),"")</f>
        <v/>
      </c>
      <c r="AP408" s="33" t="str">
        <f>IF(COUNTIF('Paste Here'!$AK$2:AK408,'Paste Here'!AK408)=1,VALUE('Paste Here'!AK408),"")</f>
        <v/>
      </c>
    </row>
    <row r="409" spans="1:42" x14ac:dyDescent="0.3">
      <c r="A409"/>
      <c r="B409"/>
      <c r="C409"/>
      <c r="D409" s="4"/>
      <c r="E409"/>
      <c r="F409"/>
      <c r="G409"/>
      <c r="H409"/>
      <c r="AA409" s="33" t="str">
        <f t="shared" si="19"/>
        <v/>
      </c>
      <c r="AC409" s="33">
        <f t="shared" si="18"/>
        <v>1048540</v>
      </c>
      <c r="AD409" s="33" t="str">
        <f t="shared" si="20"/>
        <v/>
      </c>
      <c r="AE409" s="33" t="str" cm="1">
        <f t="array" ref="AE409">LOOKUP(2,1/($AB$2:$AB$1000=AB409),$AD$2:$AD$1000)</f>
        <v/>
      </c>
      <c r="AM409" s="39" t="str" cm="1">
        <f t="array" ref="AM409">IFERROR(IF(LOOKUP(2,1/($AA$2:$AA$1000=AK409),$AD$2:$AD$1000)=0,"",
LOOKUP(2,1/($AA$2:$AA$1000=AK409),$AD$2:$AD$1000)),"")</f>
        <v/>
      </c>
      <c r="AO409" s="33" t="str" cm="1">
        <f t="array" ref="AO409">IFERROR(INDEX($AA$2:$AA$282,MATCH(0,COUNTIF('Paste Here'!$AK$1:AK408,$AA$2:$AA$282),0)),"")</f>
        <v/>
      </c>
      <c r="AP409" s="33" t="str">
        <f>IF(COUNTIF('Paste Here'!$AK$2:AK409,'Paste Here'!AK409)=1,VALUE('Paste Here'!AK409),"")</f>
        <v/>
      </c>
    </row>
    <row r="410" spans="1:42" x14ac:dyDescent="0.3">
      <c r="A410"/>
      <c r="B410"/>
      <c r="C410"/>
      <c r="D410" s="4"/>
      <c r="E410"/>
      <c r="F410"/>
      <c r="G410"/>
      <c r="H410"/>
      <c r="AA410" s="33" t="str">
        <f t="shared" si="19"/>
        <v/>
      </c>
      <c r="AC410" s="33">
        <f t="shared" si="18"/>
        <v>1048540</v>
      </c>
      <c r="AD410" s="33" t="str">
        <f t="shared" si="20"/>
        <v/>
      </c>
      <c r="AE410" s="33" t="str" cm="1">
        <f t="array" ref="AE410">LOOKUP(2,1/($AB$2:$AB$1000=AB410),$AD$2:$AD$1000)</f>
        <v/>
      </c>
      <c r="AM410" s="39" t="str" cm="1">
        <f t="array" ref="AM410">IFERROR(IF(LOOKUP(2,1/($AA$2:$AA$1000=AK410),$AD$2:$AD$1000)=0,"",
LOOKUP(2,1/($AA$2:$AA$1000=AK410),$AD$2:$AD$1000)),"")</f>
        <v/>
      </c>
      <c r="AO410" s="33" t="str" cm="1">
        <f t="array" ref="AO410">IFERROR(INDEX($AA$2:$AA$282,MATCH(0,COUNTIF('Paste Here'!$AK$1:AK409,$AA$2:$AA$282),0)),"")</f>
        <v/>
      </c>
      <c r="AP410" s="33" t="str">
        <f>IF(COUNTIF('Paste Here'!$AK$2:AK410,'Paste Here'!AK410)=1,VALUE('Paste Here'!AK410),"")</f>
        <v/>
      </c>
    </row>
    <row r="411" spans="1:42" x14ac:dyDescent="0.3">
      <c r="A411"/>
      <c r="B411"/>
      <c r="C411"/>
      <c r="D411" s="4"/>
      <c r="E411"/>
      <c r="F411"/>
      <c r="G411"/>
      <c r="H411"/>
      <c r="AA411" s="33" t="str">
        <f t="shared" si="19"/>
        <v/>
      </c>
      <c r="AC411" s="33">
        <f t="shared" si="18"/>
        <v>1048540</v>
      </c>
      <c r="AD411" s="33" t="str">
        <f t="shared" si="20"/>
        <v/>
      </c>
      <c r="AE411" s="33" t="str" cm="1">
        <f t="array" ref="AE411">LOOKUP(2,1/($AB$2:$AB$1000=AB411),$AD$2:$AD$1000)</f>
        <v/>
      </c>
      <c r="AM411" s="39" t="str" cm="1">
        <f t="array" ref="AM411">IFERROR(IF(LOOKUP(2,1/($AA$2:$AA$1000=AK411),$AD$2:$AD$1000)=0,"",
LOOKUP(2,1/($AA$2:$AA$1000=AK411),$AD$2:$AD$1000)),"")</f>
        <v/>
      </c>
      <c r="AO411" s="33" t="str" cm="1">
        <f t="array" ref="AO411">IFERROR(INDEX($AA$2:$AA$282,MATCH(0,COUNTIF('Paste Here'!$AK$1:AK410,$AA$2:$AA$282),0)),"")</f>
        <v/>
      </c>
      <c r="AP411" s="33" t="str">
        <f>IF(COUNTIF('Paste Here'!$AK$2:AK411,'Paste Here'!AK411)=1,VALUE('Paste Here'!AK411),"")</f>
        <v/>
      </c>
    </row>
    <row r="412" spans="1:42" x14ac:dyDescent="0.3">
      <c r="A412"/>
      <c r="B412"/>
      <c r="C412"/>
      <c r="D412" s="4"/>
      <c r="E412"/>
      <c r="F412"/>
      <c r="G412"/>
      <c r="H412"/>
      <c r="AA412" s="33" t="str">
        <f t="shared" si="19"/>
        <v/>
      </c>
      <c r="AC412" s="33">
        <f t="shared" si="18"/>
        <v>1048540</v>
      </c>
      <c r="AD412" s="33" t="str">
        <f t="shared" si="20"/>
        <v/>
      </c>
      <c r="AE412" s="33" t="str" cm="1">
        <f t="array" ref="AE412">LOOKUP(2,1/($AB$2:$AB$1000=AB412),$AD$2:$AD$1000)</f>
        <v/>
      </c>
      <c r="AM412" s="39" t="str" cm="1">
        <f t="array" ref="AM412">IFERROR(IF(LOOKUP(2,1/($AA$2:$AA$1000=AK412),$AD$2:$AD$1000)=0,"",
LOOKUP(2,1/($AA$2:$AA$1000=AK412),$AD$2:$AD$1000)),"")</f>
        <v/>
      </c>
      <c r="AO412" s="33" t="str" cm="1">
        <f t="array" ref="AO412">IFERROR(INDEX($AA$2:$AA$282,MATCH(0,COUNTIF('Paste Here'!$AK$1:AK411,$AA$2:$AA$282),0)),"")</f>
        <v/>
      </c>
      <c r="AP412" s="33" t="str">
        <f>IF(COUNTIF('Paste Here'!$AK$2:AK412,'Paste Here'!AK412)=1,VALUE('Paste Here'!AK412),"")</f>
        <v/>
      </c>
    </row>
    <row r="413" spans="1:42" x14ac:dyDescent="0.3">
      <c r="A413"/>
      <c r="B413"/>
      <c r="C413"/>
      <c r="D413" s="4"/>
      <c r="E413"/>
      <c r="F413"/>
      <c r="G413"/>
      <c r="H413"/>
      <c r="AA413" s="33" t="str">
        <f t="shared" si="19"/>
        <v/>
      </c>
      <c r="AC413" s="33">
        <f t="shared" si="18"/>
        <v>1048540</v>
      </c>
      <c r="AD413" s="33" t="str">
        <f t="shared" si="20"/>
        <v/>
      </c>
      <c r="AE413" s="33" t="str" cm="1">
        <f t="array" ref="AE413">LOOKUP(2,1/($AB$2:$AB$1000=AB413),$AD$2:$AD$1000)</f>
        <v/>
      </c>
      <c r="AM413" s="39" t="str" cm="1">
        <f t="array" ref="AM413">IFERROR(IF(LOOKUP(2,1/($AA$2:$AA$1000=AK413),$AD$2:$AD$1000)=0,"",
LOOKUP(2,1/($AA$2:$AA$1000=AK413),$AD$2:$AD$1000)),"")</f>
        <v/>
      </c>
      <c r="AO413" s="33" t="str" cm="1">
        <f t="array" ref="AO413">IFERROR(INDEX($AA$2:$AA$282,MATCH(0,COUNTIF('Paste Here'!$AK$1:AK412,$AA$2:$AA$282),0)),"")</f>
        <v/>
      </c>
      <c r="AP413" s="33" t="str">
        <f>IF(COUNTIF('Paste Here'!$AK$2:AK413,'Paste Here'!AK413)=1,VALUE('Paste Here'!AK413),"")</f>
        <v/>
      </c>
    </row>
    <row r="414" spans="1:42" x14ac:dyDescent="0.3">
      <c r="A414"/>
      <c r="B414"/>
      <c r="C414"/>
      <c r="D414" s="4"/>
      <c r="E414"/>
      <c r="F414"/>
      <c r="G414"/>
      <c r="H414"/>
      <c r="AA414" s="33" t="str">
        <f t="shared" si="19"/>
        <v/>
      </c>
      <c r="AC414" s="33">
        <f t="shared" si="18"/>
        <v>1048540</v>
      </c>
      <c r="AD414" s="33" t="str">
        <f t="shared" si="20"/>
        <v/>
      </c>
      <c r="AE414" s="33" t="str" cm="1">
        <f t="array" ref="AE414">LOOKUP(2,1/($AB$2:$AB$1000=AB414),$AD$2:$AD$1000)</f>
        <v/>
      </c>
      <c r="AM414" s="39" t="str" cm="1">
        <f t="array" ref="AM414">IFERROR(IF(LOOKUP(2,1/($AA$2:$AA$1000=AK414),$AD$2:$AD$1000)=0,"",
LOOKUP(2,1/($AA$2:$AA$1000=AK414),$AD$2:$AD$1000)),"")</f>
        <v/>
      </c>
      <c r="AO414" s="33" t="str" cm="1">
        <f t="array" ref="AO414">IFERROR(INDEX($AA$2:$AA$282,MATCH(0,COUNTIF('Paste Here'!$AK$1:AK413,$AA$2:$AA$282),0)),"")</f>
        <v/>
      </c>
      <c r="AP414" s="33" t="str">
        <f>IF(COUNTIF('Paste Here'!$AK$2:AK414,'Paste Here'!AK414)=1,VALUE('Paste Here'!AK414),"")</f>
        <v/>
      </c>
    </row>
    <row r="415" spans="1:42" x14ac:dyDescent="0.3">
      <c r="A415"/>
      <c r="B415"/>
      <c r="C415"/>
      <c r="D415" s="4"/>
      <c r="E415"/>
      <c r="F415"/>
      <c r="G415"/>
      <c r="H415"/>
      <c r="AA415" s="33" t="str">
        <f t="shared" si="19"/>
        <v/>
      </c>
      <c r="AC415" s="33">
        <f t="shared" si="18"/>
        <v>1048540</v>
      </c>
      <c r="AD415" s="33" t="str">
        <f t="shared" si="20"/>
        <v/>
      </c>
      <c r="AE415" s="33" t="str" cm="1">
        <f t="array" ref="AE415">LOOKUP(2,1/($AB$2:$AB$1000=AB415),$AD$2:$AD$1000)</f>
        <v/>
      </c>
      <c r="AM415" s="39" t="str" cm="1">
        <f t="array" ref="AM415">IFERROR(IF(LOOKUP(2,1/($AA$2:$AA$1000=AK415),$AD$2:$AD$1000)=0,"",
LOOKUP(2,1/($AA$2:$AA$1000=AK415),$AD$2:$AD$1000)),"")</f>
        <v/>
      </c>
      <c r="AO415" s="33" t="str" cm="1">
        <f t="array" ref="AO415">IFERROR(INDEX($AA$2:$AA$282,MATCH(0,COUNTIF('Paste Here'!$AK$1:AK414,$AA$2:$AA$282),0)),"")</f>
        <v/>
      </c>
      <c r="AP415" s="33" t="str">
        <f>IF(COUNTIF('Paste Here'!$AK$2:AK415,'Paste Here'!AK415)=1,VALUE('Paste Here'!AK415),"")</f>
        <v/>
      </c>
    </row>
    <row r="416" spans="1:42" x14ac:dyDescent="0.3">
      <c r="A416"/>
      <c r="B416"/>
      <c r="C416"/>
      <c r="D416" s="4"/>
      <c r="E416"/>
      <c r="F416"/>
      <c r="G416"/>
      <c r="H416"/>
      <c r="AA416" s="33" t="str">
        <f t="shared" si="19"/>
        <v/>
      </c>
      <c r="AC416" s="33">
        <f t="shared" si="18"/>
        <v>1048540</v>
      </c>
      <c r="AD416" s="33" t="str">
        <f t="shared" si="20"/>
        <v/>
      </c>
      <c r="AE416" s="33" t="str" cm="1">
        <f t="array" ref="AE416">LOOKUP(2,1/($AB$2:$AB$1000=AB416),$AD$2:$AD$1000)</f>
        <v/>
      </c>
      <c r="AM416" s="39" t="str" cm="1">
        <f t="array" ref="AM416">IFERROR(IF(LOOKUP(2,1/($AA$2:$AA$1000=AK416),$AD$2:$AD$1000)=0,"",
LOOKUP(2,1/($AA$2:$AA$1000=AK416),$AD$2:$AD$1000)),"")</f>
        <v/>
      </c>
      <c r="AO416" s="33" t="str" cm="1">
        <f t="array" ref="AO416">IFERROR(INDEX($AA$2:$AA$282,MATCH(0,COUNTIF('Paste Here'!$AK$1:AK415,$AA$2:$AA$282),0)),"")</f>
        <v/>
      </c>
      <c r="AP416" s="33" t="str">
        <f>IF(COUNTIF('Paste Here'!$AK$2:AK416,'Paste Here'!AK416)=1,VALUE('Paste Here'!AK416),"")</f>
        <v/>
      </c>
    </row>
    <row r="417" spans="1:42" x14ac:dyDescent="0.3">
      <c r="A417"/>
      <c r="B417"/>
      <c r="C417"/>
      <c r="D417" s="4"/>
      <c r="E417"/>
      <c r="F417"/>
      <c r="G417"/>
      <c r="H417"/>
      <c r="AA417" s="33" t="str">
        <f t="shared" si="19"/>
        <v/>
      </c>
      <c r="AC417" s="33">
        <f t="shared" si="18"/>
        <v>1048540</v>
      </c>
      <c r="AD417" s="33" t="str">
        <f t="shared" si="20"/>
        <v/>
      </c>
      <c r="AE417" s="33" t="str" cm="1">
        <f t="array" ref="AE417">LOOKUP(2,1/($AB$2:$AB$1000=AB417),$AD$2:$AD$1000)</f>
        <v/>
      </c>
      <c r="AM417" s="39" t="str" cm="1">
        <f t="array" ref="AM417">IFERROR(IF(LOOKUP(2,1/($AA$2:$AA$1000=AK417),$AD$2:$AD$1000)=0,"",
LOOKUP(2,1/($AA$2:$AA$1000=AK417),$AD$2:$AD$1000)),"")</f>
        <v/>
      </c>
      <c r="AO417" s="33" t="str" cm="1">
        <f t="array" ref="AO417">IFERROR(INDEX($AA$2:$AA$282,MATCH(0,COUNTIF('Paste Here'!$AK$1:AK416,$AA$2:$AA$282),0)),"")</f>
        <v/>
      </c>
      <c r="AP417" s="33" t="str">
        <f>IF(COUNTIF('Paste Here'!$AK$2:AK417,'Paste Here'!AK417)=1,VALUE('Paste Here'!AK417),"")</f>
        <v/>
      </c>
    </row>
    <row r="418" spans="1:42" x14ac:dyDescent="0.3">
      <c r="A418"/>
      <c r="B418"/>
      <c r="C418"/>
      <c r="D418" s="4"/>
      <c r="E418"/>
      <c r="F418"/>
      <c r="G418"/>
      <c r="H418"/>
      <c r="AA418" s="33" t="str">
        <f t="shared" si="19"/>
        <v/>
      </c>
      <c r="AC418" s="33">
        <f t="shared" si="18"/>
        <v>1048540</v>
      </c>
      <c r="AD418" s="33" t="str">
        <f t="shared" si="20"/>
        <v/>
      </c>
      <c r="AE418" s="33" t="str" cm="1">
        <f t="array" ref="AE418">LOOKUP(2,1/($AB$2:$AB$1000=AB418),$AD$2:$AD$1000)</f>
        <v/>
      </c>
      <c r="AM418" s="39" t="str" cm="1">
        <f t="array" ref="AM418">IFERROR(IF(LOOKUP(2,1/($AA$2:$AA$1000=AK418),$AD$2:$AD$1000)=0,"",
LOOKUP(2,1/($AA$2:$AA$1000=AK418),$AD$2:$AD$1000)),"")</f>
        <v/>
      </c>
      <c r="AO418" s="33" t="str" cm="1">
        <f t="array" ref="AO418">IFERROR(INDEX($AA$2:$AA$282,MATCH(0,COUNTIF('Paste Here'!$AK$1:AK417,$AA$2:$AA$282),0)),"")</f>
        <v/>
      </c>
      <c r="AP418" s="33" t="str">
        <f>IF(COUNTIF('Paste Here'!$AK$2:AK418,'Paste Here'!AK418)=1,VALUE('Paste Here'!AK418),"")</f>
        <v/>
      </c>
    </row>
    <row r="419" spans="1:42" x14ac:dyDescent="0.3">
      <c r="A419"/>
      <c r="B419"/>
      <c r="C419"/>
      <c r="D419" s="4"/>
      <c r="E419"/>
      <c r="F419"/>
      <c r="G419"/>
      <c r="H419"/>
      <c r="AA419" s="33" t="str">
        <f t="shared" si="19"/>
        <v/>
      </c>
      <c r="AC419" s="33">
        <f t="shared" si="18"/>
        <v>1048540</v>
      </c>
      <c r="AD419" s="33" t="str">
        <f t="shared" si="20"/>
        <v/>
      </c>
      <c r="AE419" s="33" t="str" cm="1">
        <f t="array" ref="AE419">LOOKUP(2,1/($AB$2:$AB$1000=AB419),$AD$2:$AD$1000)</f>
        <v/>
      </c>
      <c r="AM419" s="39" t="str" cm="1">
        <f t="array" ref="AM419">IFERROR(IF(LOOKUP(2,1/($AA$2:$AA$1000=AK419),$AD$2:$AD$1000)=0,"",
LOOKUP(2,1/($AA$2:$AA$1000=AK419),$AD$2:$AD$1000)),"")</f>
        <v/>
      </c>
      <c r="AO419" s="33" t="str" cm="1">
        <f t="array" ref="AO419">IFERROR(INDEX($AA$2:$AA$282,MATCH(0,COUNTIF('Paste Here'!$AK$1:AK418,$AA$2:$AA$282),0)),"")</f>
        <v/>
      </c>
      <c r="AP419" s="33" t="str">
        <f>IF(COUNTIF('Paste Here'!$AK$2:AK419,'Paste Here'!AK419)=1,VALUE('Paste Here'!AK419),"")</f>
        <v/>
      </c>
    </row>
    <row r="420" spans="1:42" x14ac:dyDescent="0.3">
      <c r="A420"/>
      <c r="B420"/>
      <c r="C420"/>
      <c r="D420" s="4"/>
      <c r="E420"/>
      <c r="F420"/>
      <c r="G420"/>
      <c r="H420"/>
      <c r="AA420" s="33" t="str">
        <f t="shared" si="19"/>
        <v/>
      </c>
      <c r="AC420" s="33">
        <f t="shared" si="18"/>
        <v>1048540</v>
      </c>
      <c r="AD420" s="33" t="str">
        <f t="shared" si="20"/>
        <v/>
      </c>
      <c r="AE420" s="33" t="str" cm="1">
        <f t="array" ref="AE420">LOOKUP(2,1/($AB$2:$AB$1000=AB420),$AD$2:$AD$1000)</f>
        <v/>
      </c>
      <c r="AM420" s="39" t="str" cm="1">
        <f t="array" ref="AM420">IFERROR(IF(LOOKUP(2,1/($AA$2:$AA$1000=AK420),$AD$2:$AD$1000)=0,"",
LOOKUP(2,1/($AA$2:$AA$1000=AK420),$AD$2:$AD$1000)),"")</f>
        <v/>
      </c>
      <c r="AO420" s="33" t="str" cm="1">
        <f t="array" ref="AO420">IFERROR(INDEX($AA$2:$AA$282,MATCH(0,COUNTIF('Paste Here'!$AK$1:AK419,$AA$2:$AA$282),0)),"")</f>
        <v/>
      </c>
      <c r="AP420" s="33" t="str">
        <f>IF(COUNTIF('Paste Here'!$AK$2:AK420,'Paste Here'!AK420)=1,VALUE('Paste Here'!AK420),"")</f>
        <v/>
      </c>
    </row>
    <row r="421" spans="1:42" x14ac:dyDescent="0.3">
      <c r="A421"/>
      <c r="B421"/>
      <c r="C421"/>
      <c r="D421" s="4"/>
      <c r="E421"/>
      <c r="F421"/>
      <c r="G421"/>
      <c r="H421"/>
      <c r="AA421" s="33" t="str">
        <f t="shared" si="19"/>
        <v/>
      </c>
      <c r="AC421" s="33">
        <f t="shared" si="18"/>
        <v>1048540</v>
      </c>
      <c r="AD421" s="33" t="str">
        <f t="shared" si="20"/>
        <v/>
      </c>
      <c r="AE421" s="33" t="str" cm="1">
        <f t="array" ref="AE421">LOOKUP(2,1/($AB$2:$AB$1000=AB421),$AD$2:$AD$1000)</f>
        <v/>
      </c>
      <c r="AM421" s="39" t="str" cm="1">
        <f t="array" ref="AM421">IFERROR(IF(LOOKUP(2,1/($AA$2:$AA$1000=AK421),$AD$2:$AD$1000)=0,"",
LOOKUP(2,1/($AA$2:$AA$1000=AK421),$AD$2:$AD$1000)),"")</f>
        <v/>
      </c>
      <c r="AO421" s="33" t="str" cm="1">
        <f t="array" ref="AO421">IFERROR(INDEX($AA$2:$AA$282,MATCH(0,COUNTIF('Paste Here'!$AK$1:AK420,$AA$2:$AA$282),0)),"")</f>
        <v/>
      </c>
      <c r="AP421" s="33" t="str">
        <f>IF(COUNTIF('Paste Here'!$AK$2:AK421,'Paste Here'!AK421)=1,VALUE('Paste Here'!AK421),"")</f>
        <v/>
      </c>
    </row>
    <row r="422" spans="1:42" x14ac:dyDescent="0.3">
      <c r="A422"/>
      <c r="B422"/>
      <c r="C422"/>
      <c r="D422" s="4"/>
      <c r="E422"/>
      <c r="F422"/>
      <c r="G422"/>
      <c r="H422"/>
      <c r="AA422" s="33" t="str">
        <f t="shared" si="19"/>
        <v/>
      </c>
      <c r="AC422" s="33">
        <f t="shared" si="18"/>
        <v>1048540</v>
      </c>
      <c r="AD422" s="33" t="str">
        <f t="shared" si="20"/>
        <v/>
      </c>
      <c r="AE422" s="33" t="str" cm="1">
        <f t="array" ref="AE422">LOOKUP(2,1/($AB$2:$AB$1000=AB422),$AD$2:$AD$1000)</f>
        <v/>
      </c>
      <c r="AM422" s="39" t="str" cm="1">
        <f t="array" ref="AM422">IFERROR(IF(LOOKUP(2,1/($AA$2:$AA$1000=AK422),$AD$2:$AD$1000)=0,"",
LOOKUP(2,1/($AA$2:$AA$1000=AK422),$AD$2:$AD$1000)),"")</f>
        <v/>
      </c>
      <c r="AO422" s="33" t="str" cm="1">
        <f t="array" ref="AO422">IFERROR(INDEX($AA$2:$AA$282,MATCH(0,COUNTIF('Paste Here'!$AK$1:AK421,$AA$2:$AA$282),0)),"")</f>
        <v/>
      </c>
      <c r="AP422" s="33" t="str">
        <f>IF(COUNTIF('Paste Here'!$AK$2:AK422,'Paste Here'!AK422)=1,VALUE('Paste Here'!AK422),"")</f>
        <v/>
      </c>
    </row>
    <row r="423" spans="1:42" x14ac:dyDescent="0.3">
      <c r="A423"/>
      <c r="B423"/>
      <c r="C423"/>
      <c r="D423" s="4"/>
      <c r="E423"/>
      <c r="F423"/>
      <c r="G423"/>
      <c r="H423"/>
      <c r="AA423" s="33" t="str">
        <f t="shared" si="19"/>
        <v/>
      </c>
      <c r="AC423" s="33">
        <f t="shared" si="18"/>
        <v>1048540</v>
      </c>
      <c r="AD423" s="33" t="str">
        <f t="shared" si="20"/>
        <v/>
      </c>
      <c r="AE423" s="33" t="str" cm="1">
        <f t="array" ref="AE423">LOOKUP(2,1/($AB$2:$AB$1000=AB423),$AD$2:$AD$1000)</f>
        <v/>
      </c>
      <c r="AM423" s="39" t="str" cm="1">
        <f t="array" ref="AM423">IFERROR(IF(LOOKUP(2,1/($AA$2:$AA$1000=AK423),$AD$2:$AD$1000)=0,"",
LOOKUP(2,1/($AA$2:$AA$1000=AK423),$AD$2:$AD$1000)),"")</f>
        <v/>
      </c>
      <c r="AO423" s="33" t="str" cm="1">
        <f t="array" ref="AO423">IFERROR(INDEX($AA$2:$AA$282,MATCH(0,COUNTIF('Paste Here'!$AK$1:AK422,$AA$2:$AA$282),0)),"")</f>
        <v/>
      </c>
      <c r="AP423" s="33" t="str">
        <f>IF(COUNTIF('Paste Here'!$AK$2:AK423,'Paste Here'!AK423)=1,VALUE('Paste Here'!AK423),"")</f>
        <v/>
      </c>
    </row>
    <row r="424" spans="1:42" x14ac:dyDescent="0.3">
      <c r="A424"/>
      <c r="B424"/>
      <c r="C424"/>
      <c r="D424" s="4"/>
      <c r="E424"/>
      <c r="F424"/>
      <c r="G424"/>
      <c r="H424"/>
      <c r="AA424" s="33" t="str">
        <f t="shared" si="19"/>
        <v/>
      </c>
      <c r="AC424" s="33">
        <f t="shared" si="18"/>
        <v>1048540</v>
      </c>
      <c r="AD424" s="33" t="str">
        <f t="shared" si="20"/>
        <v/>
      </c>
      <c r="AE424" s="33" t="str" cm="1">
        <f t="array" ref="AE424">LOOKUP(2,1/($AB$2:$AB$1000=AB424),$AD$2:$AD$1000)</f>
        <v/>
      </c>
      <c r="AM424" s="39" t="str" cm="1">
        <f t="array" ref="AM424">IFERROR(IF(LOOKUP(2,1/($AA$2:$AA$1000=AK424),$AD$2:$AD$1000)=0,"",
LOOKUP(2,1/($AA$2:$AA$1000=AK424),$AD$2:$AD$1000)),"")</f>
        <v/>
      </c>
      <c r="AO424" s="33" t="str" cm="1">
        <f t="array" ref="AO424">IFERROR(INDEX($AA$2:$AA$282,MATCH(0,COUNTIF('Paste Here'!$AK$1:AK423,$AA$2:$AA$282),0)),"")</f>
        <v/>
      </c>
      <c r="AP424" s="33" t="str">
        <f>IF(COUNTIF('Paste Here'!$AK$2:AK424,'Paste Here'!AK424)=1,VALUE('Paste Here'!AK424),"")</f>
        <v/>
      </c>
    </row>
    <row r="425" spans="1:42" x14ac:dyDescent="0.3">
      <c r="A425"/>
      <c r="B425"/>
      <c r="C425"/>
      <c r="D425" s="4"/>
      <c r="E425"/>
      <c r="F425"/>
      <c r="G425"/>
      <c r="H425"/>
      <c r="AA425" s="33" t="str">
        <f t="shared" si="19"/>
        <v/>
      </c>
      <c r="AC425" s="33">
        <f t="shared" si="18"/>
        <v>1048540</v>
      </c>
      <c r="AD425" s="33" t="str">
        <f t="shared" si="20"/>
        <v/>
      </c>
      <c r="AE425" s="33" t="str" cm="1">
        <f t="array" ref="AE425">LOOKUP(2,1/($AB$2:$AB$1000=AB425),$AD$2:$AD$1000)</f>
        <v/>
      </c>
      <c r="AM425" s="39" t="str" cm="1">
        <f t="array" ref="AM425">IFERROR(IF(LOOKUP(2,1/($AA$2:$AA$1000=AK425),$AD$2:$AD$1000)=0,"",
LOOKUP(2,1/($AA$2:$AA$1000=AK425),$AD$2:$AD$1000)),"")</f>
        <v/>
      </c>
      <c r="AO425" s="33" t="str" cm="1">
        <f t="array" ref="AO425">IFERROR(INDEX($AA$2:$AA$282,MATCH(0,COUNTIF('Paste Here'!$AK$1:AK424,$AA$2:$AA$282),0)),"")</f>
        <v/>
      </c>
      <c r="AP425" s="33" t="str">
        <f>IF(COUNTIF('Paste Here'!$AK$2:AK425,'Paste Here'!AK425)=1,VALUE('Paste Here'!AK425),"")</f>
        <v/>
      </c>
    </row>
    <row r="426" spans="1:42" x14ac:dyDescent="0.3">
      <c r="A426"/>
      <c r="B426"/>
      <c r="C426"/>
      <c r="D426" s="4"/>
      <c r="E426"/>
      <c r="F426"/>
      <c r="G426"/>
      <c r="H426"/>
      <c r="AA426" s="33" t="str">
        <f t="shared" si="19"/>
        <v/>
      </c>
      <c r="AC426" s="33">
        <f t="shared" si="18"/>
        <v>1048540</v>
      </c>
      <c r="AD426" s="33" t="str">
        <f t="shared" si="20"/>
        <v/>
      </c>
      <c r="AE426" s="33" t="str" cm="1">
        <f t="array" ref="AE426">LOOKUP(2,1/($AB$2:$AB$1000=AB426),$AD$2:$AD$1000)</f>
        <v/>
      </c>
      <c r="AM426" s="39" t="str" cm="1">
        <f t="array" ref="AM426">IFERROR(IF(LOOKUP(2,1/($AA$2:$AA$1000=AK426),$AD$2:$AD$1000)=0,"",
LOOKUP(2,1/($AA$2:$AA$1000=AK426),$AD$2:$AD$1000)),"")</f>
        <v/>
      </c>
      <c r="AO426" s="33" t="str" cm="1">
        <f t="array" ref="AO426">IFERROR(INDEX($AA$2:$AA$282,MATCH(0,COUNTIF('Paste Here'!$AK$1:AK425,$AA$2:$AA$282),0)),"")</f>
        <v/>
      </c>
      <c r="AP426" s="33" t="str">
        <f>IF(COUNTIF('Paste Here'!$AK$2:AK426,'Paste Here'!AK426)=1,VALUE('Paste Here'!AK426),"")</f>
        <v/>
      </c>
    </row>
    <row r="427" spans="1:42" x14ac:dyDescent="0.3">
      <c r="A427"/>
      <c r="B427"/>
      <c r="C427"/>
      <c r="D427" s="4"/>
      <c r="E427"/>
      <c r="F427"/>
      <c r="G427"/>
      <c r="H427"/>
      <c r="AA427" s="33" t="str">
        <f t="shared" si="19"/>
        <v/>
      </c>
      <c r="AC427" s="33">
        <f t="shared" si="18"/>
        <v>1048540</v>
      </c>
      <c r="AD427" s="33" t="str">
        <f t="shared" si="20"/>
        <v/>
      </c>
      <c r="AE427" s="33" t="str" cm="1">
        <f t="array" ref="AE427">LOOKUP(2,1/($AB$2:$AB$1000=AB427),$AD$2:$AD$1000)</f>
        <v/>
      </c>
      <c r="AM427" s="39" t="str" cm="1">
        <f t="array" ref="AM427">IFERROR(IF(LOOKUP(2,1/($AA$2:$AA$1000=AK427),$AD$2:$AD$1000)=0,"",
LOOKUP(2,1/($AA$2:$AA$1000=AK427),$AD$2:$AD$1000)),"")</f>
        <v/>
      </c>
      <c r="AO427" s="33" t="str" cm="1">
        <f t="array" ref="AO427">IFERROR(INDEX($AA$2:$AA$282,MATCH(0,COUNTIF('Paste Here'!$AK$1:AK426,$AA$2:$AA$282),0)),"")</f>
        <v/>
      </c>
      <c r="AP427" s="33" t="str">
        <f>IF(COUNTIF('Paste Here'!$AK$2:AK427,'Paste Here'!AK427)=1,VALUE('Paste Here'!AK427),"")</f>
        <v/>
      </c>
    </row>
    <row r="428" spans="1:42" x14ac:dyDescent="0.3">
      <c r="A428"/>
      <c r="B428"/>
      <c r="C428"/>
      <c r="D428" s="4"/>
      <c r="E428"/>
      <c r="F428"/>
      <c r="G428"/>
      <c r="H428"/>
      <c r="AA428" s="33" t="str">
        <f t="shared" si="19"/>
        <v/>
      </c>
      <c r="AC428" s="33">
        <f t="shared" si="18"/>
        <v>1048540</v>
      </c>
      <c r="AD428" s="33" t="str">
        <f t="shared" si="20"/>
        <v/>
      </c>
      <c r="AE428" s="33" t="str" cm="1">
        <f t="array" ref="AE428">LOOKUP(2,1/($AB$2:$AB$1000=AB428),$AD$2:$AD$1000)</f>
        <v/>
      </c>
      <c r="AM428" s="39" t="str" cm="1">
        <f t="array" ref="AM428">IFERROR(IF(LOOKUP(2,1/($AA$2:$AA$1000=AK428),$AD$2:$AD$1000)=0,"",
LOOKUP(2,1/($AA$2:$AA$1000=AK428),$AD$2:$AD$1000)),"")</f>
        <v/>
      </c>
      <c r="AO428" s="33" t="str" cm="1">
        <f t="array" ref="AO428">IFERROR(INDEX($AA$2:$AA$282,MATCH(0,COUNTIF('Paste Here'!$AK$1:AK427,$AA$2:$AA$282),0)),"")</f>
        <v/>
      </c>
      <c r="AP428" s="33" t="str">
        <f>IF(COUNTIF('Paste Here'!$AK$2:AK428,'Paste Here'!AK428)=1,VALUE('Paste Here'!AK428),"")</f>
        <v/>
      </c>
    </row>
    <row r="429" spans="1:42" x14ac:dyDescent="0.3">
      <c r="A429"/>
      <c r="B429"/>
      <c r="C429"/>
      <c r="D429" s="4"/>
      <c r="E429"/>
      <c r="F429"/>
      <c r="G429"/>
      <c r="H429"/>
      <c r="AA429" s="33" t="str">
        <f t="shared" si="19"/>
        <v/>
      </c>
      <c r="AC429" s="33">
        <f t="shared" si="18"/>
        <v>1048540</v>
      </c>
      <c r="AD429" s="33" t="str">
        <f t="shared" si="20"/>
        <v/>
      </c>
      <c r="AE429" s="33" t="str" cm="1">
        <f t="array" ref="AE429">LOOKUP(2,1/($AB$2:$AB$1000=AB429),$AD$2:$AD$1000)</f>
        <v/>
      </c>
      <c r="AM429" s="39" t="str" cm="1">
        <f t="array" ref="AM429">IFERROR(IF(LOOKUP(2,1/($AA$2:$AA$1000=AK429),$AD$2:$AD$1000)=0,"",
LOOKUP(2,1/($AA$2:$AA$1000=AK429),$AD$2:$AD$1000)),"")</f>
        <v/>
      </c>
      <c r="AO429" s="33" t="str" cm="1">
        <f t="array" ref="AO429">IFERROR(INDEX($AA$2:$AA$282,MATCH(0,COUNTIF('Paste Here'!$AK$1:AK428,$AA$2:$AA$282),0)),"")</f>
        <v/>
      </c>
      <c r="AP429" s="33" t="str">
        <f>IF(COUNTIF('Paste Here'!$AK$2:AK429,'Paste Here'!AK429)=1,VALUE('Paste Here'!AK429),"")</f>
        <v/>
      </c>
    </row>
    <row r="430" spans="1:42" x14ac:dyDescent="0.3">
      <c r="A430"/>
      <c r="B430"/>
      <c r="C430"/>
      <c r="D430" s="4"/>
      <c r="E430"/>
      <c r="F430"/>
      <c r="G430"/>
      <c r="H430"/>
      <c r="AA430" s="33" t="str">
        <f t="shared" si="19"/>
        <v/>
      </c>
      <c r="AC430" s="33">
        <f t="shared" si="18"/>
        <v>1048540</v>
      </c>
      <c r="AD430" s="33" t="str">
        <f t="shared" si="20"/>
        <v/>
      </c>
      <c r="AE430" s="33" t="str" cm="1">
        <f t="array" ref="AE430">LOOKUP(2,1/($AB$2:$AB$1000=AB430),$AD$2:$AD$1000)</f>
        <v/>
      </c>
      <c r="AM430" s="39" t="str" cm="1">
        <f t="array" ref="AM430">IFERROR(IF(LOOKUP(2,1/($AA$2:$AA$1000=AK430),$AD$2:$AD$1000)=0,"",
LOOKUP(2,1/($AA$2:$AA$1000=AK430),$AD$2:$AD$1000)),"")</f>
        <v/>
      </c>
      <c r="AO430" s="33" t="str" cm="1">
        <f t="array" ref="AO430">IFERROR(INDEX($AA$2:$AA$282,MATCH(0,COUNTIF('Paste Here'!$AK$1:AK429,$AA$2:$AA$282),0)),"")</f>
        <v/>
      </c>
      <c r="AP430" s="33" t="str">
        <f>IF(COUNTIF('Paste Here'!$AK$2:AK430,'Paste Here'!AK430)=1,VALUE('Paste Here'!AK430),"")</f>
        <v/>
      </c>
    </row>
    <row r="431" spans="1:42" x14ac:dyDescent="0.3">
      <c r="A431"/>
      <c r="B431"/>
      <c r="C431"/>
      <c r="D431" s="4"/>
      <c r="E431"/>
      <c r="F431"/>
      <c r="G431"/>
      <c r="H431"/>
      <c r="AA431" s="33" t="str">
        <f t="shared" si="19"/>
        <v/>
      </c>
      <c r="AC431" s="33">
        <f t="shared" si="18"/>
        <v>1048540</v>
      </c>
      <c r="AD431" s="33" t="str">
        <f t="shared" si="20"/>
        <v/>
      </c>
      <c r="AE431" s="33" t="str" cm="1">
        <f t="array" ref="AE431">LOOKUP(2,1/($AB$2:$AB$1000=AB431),$AD$2:$AD$1000)</f>
        <v/>
      </c>
      <c r="AM431" s="39" t="str" cm="1">
        <f t="array" ref="AM431">IFERROR(IF(LOOKUP(2,1/($AA$2:$AA$1000=AK431),$AD$2:$AD$1000)=0,"",
LOOKUP(2,1/($AA$2:$AA$1000=AK431),$AD$2:$AD$1000)),"")</f>
        <v/>
      </c>
      <c r="AO431" s="33" t="str" cm="1">
        <f t="array" ref="AO431">IFERROR(INDEX($AA$2:$AA$282,MATCH(0,COUNTIF('Paste Here'!$AK$1:AK430,$AA$2:$AA$282),0)),"")</f>
        <v/>
      </c>
      <c r="AP431" s="33" t="str">
        <f>IF(COUNTIF('Paste Here'!$AK$2:AK431,'Paste Here'!AK431)=1,VALUE('Paste Here'!AK431),"")</f>
        <v/>
      </c>
    </row>
    <row r="432" spans="1:42" x14ac:dyDescent="0.3">
      <c r="A432"/>
      <c r="B432"/>
      <c r="C432"/>
      <c r="D432" s="4"/>
      <c r="E432"/>
      <c r="F432"/>
      <c r="G432"/>
      <c r="H432"/>
      <c r="AA432" s="33" t="str">
        <f t="shared" si="19"/>
        <v/>
      </c>
      <c r="AC432" s="33">
        <f t="shared" si="18"/>
        <v>1048540</v>
      </c>
      <c r="AD432" s="33" t="str">
        <f t="shared" si="20"/>
        <v/>
      </c>
      <c r="AE432" s="33" t="str" cm="1">
        <f t="array" ref="AE432">LOOKUP(2,1/($AB$2:$AB$1000=AB432),$AD$2:$AD$1000)</f>
        <v/>
      </c>
      <c r="AM432" s="39" t="str" cm="1">
        <f t="array" ref="AM432">IFERROR(IF(LOOKUP(2,1/($AA$2:$AA$1000=AK432),$AD$2:$AD$1000)=0,"",
LOOKUP(2,1/($AA$2:$AA$1000=AK432),$AD$2:$AD$1000)),"")</f>
        <v/>
      </c>
      <c r="AO432" s="33" t="str" cm="1">
        <f t="array" ref="AO432">IFERROR(INDEX($AA$2:$AA$282,MATCH(0,COUNTIF('Paste Here'!$AK$1:AK431,$AA$2:$AA$282),0)),"")</f>
        <v/>
      </c>
      <c r="AP432" s="33" t="str">
        <f>IF(COUNTIF('Paste Here'!$AK$2:AK432,'Paste Here'!AK432)=1,VALUE('Paste Here'!AK432),"")</f>
        <v/>
      </c>
    </row>
    <row r="433" spans="1:42" x14ac:dyDescent="0.3">
      <c r="A433"/>
      <c r="B433"/>
      <c r="C433"/>
      <c r="D433" s="4"/>
      <c r="E433"/>
      <c r="F433"/>
      <c r="G433"/>
      <c r="H433"/>
      <c r="AA433" s="33" t="str">
        <f t="shared" si="19"/>
        <v/>
      </c>
      <c r="AC433" s="33">
        <f t="shared" si="18"/>
        <v>1048540</v>
      </c>
      <c r="AD433" s="33" t="str">
        <f t="shared" si="20"/>
        <v/>
      </c>
      <c r="AE433" s="33" t="str" cm="1">
        <f t="array" ref="AE433">LOOKUP(2,1/($AB$2:$AB$1000=AB433),$AD$2:$AD$1000)</f>
        <v/>
      </c>
      <c r="AM433" s="39" t="str" cm="1">
        <f t="array" ref="AM433">IFERROR(IF(LOOKUP(2,1/($AA$2:$AA$1000=AK433),$AD$2:$AD$1000)=0,"",
LOOKUP(2,1/($AA$2:$AA$1000=AK433),$AD$2:$AD$1000)),"")</f>
        <v/>
      </c>
      <c r="AO433" s="33" t="str" cm="1">
        <f t="array" ref="AO433">IFERROR(INDEX($AA$2:$AA$282,MATCH(0,COUNTIF('Paste Here'!$AK$1:AK432,$AA$2:$AA$282),0)),"")</f>
        <v/>
      </c>
      <c r="AP433" s="33" t="str">
        <f>IF(COUNTIF('Paste Here'!$AK$2:AK433,'Paste Here'!AK433)=1,VALUE('Paste Here'!AK433),"")</f>
        <v/>
      </c>
    </row>
    <row r="434" spans="1:42" x14ac:dyDescent="0.3">
      <c r="A434"/>
      <c r="B434"/>
      <c r="C434"/>
      <c r="D434" s="4"/>
      <c r="E434"/>
      <c r="F434"/>
      <c r="G434"/>
      <c r="H434"/>
      <c r="AA434" s="33" t="str">
        <f t="shared" si="19"/>
        <v/>
      </c>
      <c r="AC434" s="33">
        <f t="shared" si="18"/>
        <v>1048540</v>
      </c>
      <c r="AD434" s="33" t="str">
        <f t="shared" si="20"/>
        <v/>
      </c>
      <c r="AE434" s="33" t="str" cm="1">
        <f t="array" ref="AE434">LOOKUP(2,1/($AB$2:$AB$1000=AB434),$AD$2:$AD$1000)</f>
        <v/>
      </c>
      <c r="AM434" s="39" t="str" cm="1">
        <f t="array" ref="AM434">IFERROR(IF(LOOKUP(2,1/($AA$2:$AA$1000=AK434),$AD$2:$AD$1000)=0,"",
LOOKUP(2,1/($AA$2:$AA$1000=AK434),$AD$2:$AD$1000)),"")</f>
        <v/>
      </c>
      <c r="AO434" s="33" t="str" cm="1">
        <f t="array" ref="AO434">IFERROR(INDEX($AA$2:$AA$282,MATCH(0,COUNTIF('Paste Here'!$AK$1:AK433,$AA$2:$AA$282),0)),"")</f>
        <v/>
      </c>
      <c r="AP434" s="33" t="str">
        <f>IF(COUNTIF('Paste Here'!$AK$2:AK434,'Paste Here'!AK434)=1,VALUE('Paste Here'!AK434),"")</f>
        <v/>
      </c>
    </row>
    <row r="435" spans="1:42" x14ac:dyDescent="0.3">
      <c r="A435"/>
      <c r="B435"/>
      <c r="C435"/>
      <c r="D435" s="4"/>
      <c r="E435"/>
      <c r="F435"/>
      <c r="G435"/>
      <c r="H435"/>
      <c r="AA435" s="33" t="str">
        <f t="shared" si="19"/>
        <v/>
      </c>
      <c r="AC435" s="33">
        <f t="shared" si="18"/>
        <v>1048540</v>
      </c>
      <c r="AD435" s="33" t="str">
        <f t="shared" si="20"/>
        <v/>
      </c>
      <c r="AE435" s="33" t="str" cm="1">
        <f t="array" ref="AE435">LOOKUP(2,1/($AB$2:$AB$1000=AB435),$AD$2:$AD$1000)</f>
        <v/>
      </c>
      <c r="AM435" s="39" t="str" cm="1">
        <f t="array" ref="AM435">IFERROR(IF(LOOKUP(2,1/($AA$2:$AA$1000=AK435),$AD$2:$AD$1000)=0,"",
LOOKUP(2,1/($AA$2:$AA$1000=AK435),$AD$2:$AD$1000)),"")</f>
        <v/>
      </c>
      <c r="AO435" s="33" t="str" cm="1">
        <f t="array" ref="AO435">IFERROR(INDEX($AA$2:$AA$282,MATCH(0,COUNTIF('Paste Here'!$AK$1:AK434,$AA$2:$AA$282),0)),"")</f>
        <v/>
      </c>
      <c r="AP435" s="33" t="str">
        <f>IF(COUNTIF('Paste Here'!$AK$2:AK435,'Paste Here'!AK435)=1,VALUE('Paste Here'!AK435),"")</f>
        <v/>
      </c>
    </row>
    <row r="436" spans="1:42" x14ac:dyDescent="0.3">
      <c r="A436"/>
      <c r="B436"/>
      <c r="C436"/>
      <c r="D436" s="4"/>
      <c r="E436"/>
      <c r="F436"/>
      <c r="G436"/>
      <c r="H436"/>
      <c r="AA436" s="33" t="str">
        <f t="shared" si="19"/>
        <v/>
      </c>
      <c r="AC436" s="33">
        <f t="shared" si="18"/>
        <v>1048540</v>
      </c>
      <c r="AD436" s="33" t="str">
        <f t="shared" si="20"/>
        <v/>
      </c>
      <c r="AE436" s="33" t="str" cm="1">
        <f t="array" ref="AE436">LOOKUP(2,1/($AB$2:$AB$1000=AB436),$AD$2:$AD$1000)</f>
        <v/>
      </c>
      <c r="AM436" s="39" t="str" cm="1">
        <f t="array" ref="AM436">IFERROR(IF(LOOKUP(2,1/($AA$2:$AA$1000=AK436),$AD$2:$AD$1000)=0,"",
LOOKUP(2,1/($AA$2:$AA$1000=AK436),$AD$2:$AD$1000)),"")</f>
        <v/>
      </c>
      <c r="AO436" s="33" t="str" cm="1">
        <f t="array" ref="AO436">IFERROR(INDEX($AA$2:$AA$282,MATCH(0,COUNTIF('Paste Here'!$AK$1:AK435,$AA$2:$AA$282),0)),"")</f>
        <v/>
      </c>
      <c r="AP436" s="33" t="str">
        <f>IF(COUNTIF('Paste Here'!$AK$2:AK436,'Paste Here'!AK436)=1,VALUE('Paste Here'!AK436),"")</f>
        <v/>
      </c>
    </row>
    <row r="437" spans="1:42" x14ac:dyDescent="0.3">
      <c r="A437"/>
      <c r="B437"/>
      <c r="C437"/>
      <c r="D437" s="4"/>
      <c r="E437"/>
      <c r="F437"/>
      <c r="G437"/>
      <c r="H437"/>
      <c r="AA437" s="33" t="str">
        <f t="shared" si="19"/>
        <v/>
      </c>
      <c r="AC437" s="33">
        <f t="shared" si="18"/>
        <v>1048540</v>
      </c>
      <c r="AD437" s="33" t="str">
        <f t="shared" si="20"/>
        <v/>
      </c>
      <c r="AE437" s="33" t="str" cm="1">
        <f t="array" ref="AE437">LOOKUP(2,1/($AB$2:$AB$1000=AB437),$AD$2:$AD$1000)</f>
        <v/>
      </c>
      <c r="AM437" s="39" t="str" cm="1">
        <f t="array" ref="AM437">IFERROR(IF(LOOKUP(2,1/($AA$2:$AA$1000=AK437),$AD$2:$AD$1000)=0,"",
LOOKUP(2,1/($AA$2:$AA$1000=AK437),$AD$2:$AD$1000)),"")</f>
        <v/>
      </c>
      <c r="AO437" s="33" t="str" cm="1">
        <f t="array" ref="AO437">IFERROR(INDEX($AA$2:$AA$282,MATCH(0,COUNTIF('Paste Here'!$AK$1:AK436,$AA$2:$AA$282),0)),"")</f>
        <v/>
      </c>
      <c r="AP437" s="33" t="str">
        <f>IF(COUNTIF('Paste Here'!$AK$2:AK437,'Paste Here'!AK437)=1,VALUE('Paste Here'!AK437),"")</f>
        <v/>
      </c>
    </row>
    <row r="438" spans="1:42" x14ac:dyDescent="0.3">
      <c r="A438"/>
      <c r="B438"/>
      <c r="C438"/>
      <c r="D438" s="4"/>
      <c r="E438"/>
      <c r="F438"/>
      <c r="G438"/>
      <c r="H438"/>
      <c r="AA438" s="33" t="str">
        <f t="shared" si="19"/>
        <v/>
      </c>
      <c r="AC438" s="33">
        <f t="shared" si="18"/>
        <v>1048540</v>
      </c>
      <c r="AD438" s="33" t="str">
        <f t="shared" si="20"/>
        <v/>
      </c>
      <c r="AE438" s="33" t="str" cm="1">
        <f t="array" ref="AE438">LOOKUP(2,1/($AB$2:$AB$1000=AB438),$AD$2:$AD$1000)</f>
        <v/>
      </c>
      <c r="AM438" s="39" t="str" cm="1">
        <f t="array" ref="AM438">IFERROR(IF(LOOKUP(2,1/($AA$2:$AA$1000=AK438),$AD$2:$AD$1000)=0,"",
LOOKUP(2,1/($AA$2:$AA$1000=AK438),$AD$2:$AD$1000)),"")</f>
        <v/>
      </c>
      <c r="AO438" s="33" t="str" cm="1">
        <f t="array" ref="AO438">IFERROR(INDEX($AA$2:$AA$282,MATCH(0,COUNTIF('Paste Here'!$AK$1:AK437,$AA$2:$AA$282),0)),"")</f>
        <v/>
      </c>
      <c r="AP438" s="33" t="str">
        <f>IF(COUNTIF('Paste Here'!$AK$2:AK438,'Paste Here'!AK438)=1,VALUE('Paste Here'!AK438),"")</f>
        <v/>
      </c>
    </row>
    <row r="439" spans="1:42" x14ac:dyDescent="0.3">
      <c r="A439"/>
      <c r="B439"/>
      <c r="C439"/>
      <c r="D439" s="4"/>
      <c r="E439"/>
      <c r="F439"/>
      <c r="G439"/>
      <c r="H439"/>
      <c r="AA439" s="33" t="str">
        <f t="shared" si="19"/>
        <v/>
      </c>
      <c r="AC439" s="33">
        <f t="shared" si="18"/>
        <v>1048540</v>
      </c>
      <c r="AD439" s="33" t="str">
        <f t="shared" si="20"/>
        <v/>
      </c>
      <c r="AE439" s="33" t="str" cm="1">
        <f t="array" ref="AE439">LOOKUP(2,1/($AB$2:$AB$1000=AB439),$AD$2:$AD$1000)</f>
        <v/>
      </c>
      <c r="AM439" s="39" t="str" cm="1">
        <f t="array" ref="AM439">IFERROR(IF(LOOKUP(2,1/($AA$2:$AA$1000=AK439),$AD$2:$AD$1000)=0,"",
LOOKUP(2,1/($AA$2:$AA$1000=AK439),$AD$2:$AD$1000)),"")</f>
        <v/>
      </c>
      <c r="AO439" s="33" t="str" cm="1">
        <f t="array" ref="AO439">IFERROR(INDEX($AA$2:$AA$282,MATCH(0,COUNTIF('Paste Here'!$AK$1:AK438,$AA$2:$AA$282),0)),"")</f>
        <v/>
      </c>
      <c r="AP439" s="33" t="str">
        <f>IF(COUNTIF('Paste Here'!$AK$2:AK439,'Paste Here'!AK439)=1,VALUE('Paste Here'!AK439),"")</f>
        <v/>
      </c>
    </row>
    <row r="440" spans="1:42" x14ac:dyDescent="0.3">
      <c r="A440"/>
      <c r="B440"/>
      <c r="C440"/>
      <c r="D440" s="4"/>
      <c r="E440"/>
      <c r="F440"/>
      <c r="G440"/>
      <c r="H440"/>
      <c r="AA440" s="33" t="str">
        <f t="shared" si="19"/>
        <v/>
      </c>
      <c r="AC440" s="33">
        <f t="shared" si="18"/>
        <v>1048540</v>
      </c>
      <c r="AD440" s="33" t="str">
        <f t="shared" si="20"/>
        <v/>
      </c>
      <c r="AE440" s="33" t="str" cm="1">
        <f t="array" ref="AE440">LOOKUP(2,1/($AB$2:$AB$1000=AB440),$AD$2:$AD$1000)</f>
        <v/>
      </c>
      <c r="AM440" s="39" t="str" cm="1">
        <f t="array" ref="AM440">IFERROR(IF(LOOKUP(2,1/($AA$2:$AA$1000=AK440),$AD$2:$AD$1000)=0,"",
LOOKUP(2,1/($AA$2:$AA$1000=AK440),$AD$2:$AD$1000)),"")</f>
        <v/>
      </c>
      <c r="AO440" s="33" t="str" cm="1">
        <f t="array" ref="AO440">IFERROR(INDEX($AA$2:$AA$282,MATCH(0,COUNTIF('Paste Here'!$AK$1:AK439,$AA$2:$AA$282),0)),"")</f>
        <v/>
      </c>
      <c r="AP440" s="33" t="str">
        <f>IF(COUNTIF('Paste Here'!$AK$2:AK440,'Paste Here'!AK440)=1,VALUE('Paste Here'!AK440),"")</f>
        <v/>
      </c>
    </row>
    <row r="441" spans="1:42" x14ac:dyDescent="0.3">
      <c r="A441"/>
      <c r="B441"/>
      <c r="C441"/>
      <c r="D441" s="4"/>
      <c r="E441"/>
      <c r="F441"/>
      <c r="G441"/>
      <c r="H441"/>
      <c r="AA441" s="33" t="str">
        <f t="shared" si="19"/>
        <v/>
      </c>
      <c r="AC441" s="33">
        <f t="shared" si="18"/>
        <v>1048540</v>
      </c>
      <c r="AD441" s="33" t="str">
        <f t="shared" si="20"/>
        <v/>
      </c>
      <c r="AE441" s="33" t="str" cm="1">
        <f t="array" ref="AE441">LOOKUP(2,1/($AB$2:$AB$1000=AB441),$AD$2:$AD$1000)</f>
        <v/>
      </c>
      <c r="AM441" s="39" t="str" cm="1">
        <f t="array" ref="AM441">IFERROR(IF(LOOKUP(2,1/($AA$2:$AA$1000=AK441),$AD$2:$AD$1000)=0,"",
LOOKUP(2,1/($AA$2:$AA$1000=AK441),$AD$2:$AD$1000)),"")</f>
        <v/>
      </c>
      <c r="AO441" s="33" t="str" cm="1">
        <f t="array" ref="AO441">IFERROR(INDEX($AA$2:$AA$282,MATCH(0,COUNTIF('Paste Here'!$AK$1:AK440,$AA$2:$AA$282),0)),"")</f>
        <v/>
      </c>
      <c r="AP441" s="33" t="str">
        <f>IF(COUNTIF('Paste Here'!$AK$2:AK441,'Paste Here'!AK441)=1,VALUE('Paste Here'!AK441),"")</f>
        <v/>
      </c>
    </row>
    <row r="442" spans="1:42" x14ac:dyDescent="0.3">
      <c r="A442"/>
      <c r="B442"/>
      <c r="C442"/>
      <c r="D442" s="4"/>
      <c r="E442"/>
      <c r="F442"/>
      <c r="G442"/>
      <c r="H442"/>
      <c r="AA442" s="33" t="str">
        <f t="shared" si="19"/>
        <v/>
      </c>
      <c r="AC442" s="33">
        <f t="shared" si="18"/>
        <v>1048540</v>
      </c>
      <c r="AD442" s="33" t="str">
        <f t="shared" si="20"/>
        <v/>
      </c>
      <c r="AE442" s="33" t="str" cm="1">
        <f t="array" ref="AE442">LOOKUP(2,1/($AB$2:$AB$1000=AB442),$AD$2:$AD$1000)</f>
        <v/>
      </c>
      <c r="AM442" s="39" t="str" cm="1">
        <f t="array" ref="AM442">IFERROR(IF(LOOKUP(2,1/($AA$2:$AA$1000=AK442),$AD$2:$AD$1000)=0,"",
LOOKUP(2,1/($AA$2:$AA$1000=AK442),$AD$2:$AD$1000)),"")</f>
        <v/>
      </c>
      <c r="AO442" s="33" t="str" cm="1">
        <f t="array" ref="AO442">IFERROR(INDEX($AA$2:$AA$282,MATCH(0,COUNTIF('Paste Here'!$AK$1:AK441,$AA$2:$AA$282),0)),"")</f>
        <v/>
      </c>
      <c r="AP442" s="33" t="str">
        <f>IF(COUNTIF('Paste Here'!$AK$2:AK442,'Paste Here'!AK442)=1,VALUE('Paste Here'!AK442),"")</f>
        <v/>
      </c>
    </row>
    <row r="443" spans="1:42" x14ac:dyDescent="0.3">
      <c r="A443"/>
      <c r="B443"/>
      <c r="C443"/>
      <c r="D443" s="4"/>
      <c r="E443"/>
      <c r="F443"/>
      <c r="G443"/>
      <c r="H443"/>
      <c r="AA443" s="33" t="str">
        <f t="shared" si="19"/>
        <v/>
      </c>
      <c r="AC443" s="33">
        <f t="shared" si="18"/>
        <v>1048540</v>
      </c>
      <c r="AD443" s="33" t="str">
        <f t="shared" si="20"/>
        <v/>
      </c>
      <c r="AE443" s="33" t="str" cm="1">
        <f t="array" ref="AE443">LOOKUP(2,1/($AB$2:$AB$1000=AB443),$AD$2:$AD$1000)</f>
        <v/>
      </c>
      <c r="AM443" s="39" t="str" cm="1">
        <f t="array" ref="AM443">IFERROR(IF(LOOKUP(2,1/($AA$2:$AA$1000=AK443),$AD$2:$AD$1000)=0,"",
LOOKUP(2,1/($AA$2:$AA$1000=AK443),$AD$2:$AD$1000)),"")</f>
        <v/>
      </c>
      <c r="AO443" s="33" t="str" cm="1">
        <f t="array" ref="AO443">IFERROR(INDEX($AA$2:$AA$282,MATCH(0,COUNTIF('Paste Here'!$AK$1:AK442,$AA$2:$AA$282),0)),"")</f>
        <v/>
      </c>
      <c r="AP443" s="33" t="str">
        <f>IF(COUNTIF('Paste Here'!$AK$2:AK443,'Paste Here'!AK443)=1,VALUE('Paste Here'!AK443),"")</f>
        <v/>
      </c>
    </row>
    <row r="444" spans="1:42" x14ac:dyDescent="0.3">
      <c r="A444"/>
      <c r="B444"/>
      <c r="C444"/>
      <c r="D444" s="4"/>
      <c r="E444"/>
      <c r="F444"/>
      <c r="G444"/>
      <c r="H444"/>
      <c r="AA444" s="33" t="str">
        <f t="shared" si="19"/>
        <v/>
      </c>
      <c r="AC444" s="33">
        <f t="shared" si="18"/>
        <v>1048540</v>
      </c>
      <c r="AD444" s="33" t="str">
        <f t="shared" si="20"/>
        <v/>
      </c>
      <c r="AE444" s="33" t="str" cm="1">
        <f t="array" ref="AE444">LOOKUP(2,1/($AB$2:$AB$1000=AB444),$AD$2:$AD$1000)</f>
        <v/>
      </c>
      <c r="AM444" s="39" t="str" cm="1">
        <f t="array" ref="AM444">IFERROR(IF(LOOKUP(2,1/($AA$2:$AA$1000=AK444),$AD$2:$AD$1000)=0,"",
LOOKUP(2,1/($AA$2:$AA$1000=AK444),$AD$2:$AD$1000)),"")</f>
        <v/>
      </c>
      <c r="AO444" s="33" t="str" cm="1">
        <f t="array" ref="AO444">IFERROR(INDEX($AA$2:$AA$282,MATCH(0,COUNTIF('Paste Here'!$AK$1:AK443,$AA$2:$AA$282),0)),"")</f>
        <v/>
      </c>
      <c r="AP444" s="33" t="str">
        <f>IF(COUNTIF('Paste Here'!$AK$2:AK444,'Paste Here'!AK444)=1,VALUE('Paste Here'!AK444),"")</f>
        <v/>
      </c>
    </row>
    <row r="445" spans="1:42" x14ac:dyDescent="0.3">
      <c r="A445"/>
      <c r="B445"/>
      <c r="C445"/>
      <c r="D445" s="4"/>
      <c r="E445"/>
      <c r="F445"/>
      <c r="G445"/>
      <c r="H445"/>
      <c r="AA445" s="33" t="str">
        <f t="shared" si="19"/>
        <v/>
      </c>
      <c r="AC445" s="33">
        <f t="shared" si="18"/>
        <v>1048540</v>
      </c>
      <c r="AD445" s="33" t="str">
        <f t="shared" si="20"/>
        <v/>
      </c>
      <c r="AE445" s="33" t="str" cm="1">
        <f t="array" ref="AE445">LOOKUP(2,1/($AB$2:$AB$1000=AB445),$AD$2:$AD$1000)</f>
        <v/>
      </c>
      <c r="AM445" s="39" t="str" cm="1">
        <f t="array" ref="AM445">IFERROR(IF(LOOKUP(2,1/($AA$2:$AA$1000=AK445),$AD$2:$AD$1000)=0,"",
LOOKUP(2,1/($AA$2:$AA$1000=AK445),$AD$2:$AD$1000)),"")</f>
        <v/>
      </c>
      <c r="AO445" s="33" t="str" cm="1">
        <f t="array" ref="AO445">IFERROR(INDEX($AA$2:$AA$282,MATCH(0,COUNTIF('Paste Here'!$AK$1:AK444,$AA$2:$AA$282),0)),"")</f>
        <v/>
      </c>
      <c r="AP445" s="33" t="str">
        <f>IF(COUNTIF('Paste Here'!$AK$2:AK445,'Paste Here'!AK445)=1,VALUE('Paste Here'!AK445),"")</f>
        <v/>
      </c>
    </row>
    <row r="446" spans="1:42" x14ac:dyDescent="0.3">
      <c r="A446"/>
      <c r="B446"/>
      <c r="C446"/>
      <c r="D446" s="4"/>
      <c r="E446"/>
      <c r="F446"/>
      <c r="G446"/>
      <c r="H446"/>
      <c r="AA446" s="33" t="str">
        <f t="shared" si="19"/>
        <v/>
      </c>
      <c r="AC446" s="33">
        <f t="shared" si="18"/>
        <v>1048540</v>
      </c>
      <c r="AD446" s="33" t="str">
        <f t="shared" si="20"/>
        <v/>
      </c>
      <c r="AE446" s="33" t="str" cm="1">
        <f t="array" ref="AE446">LOOKUP(2,1/($AB$2:$AB$1000=AB446),$AD$2:$AD$1000)</f>
        <v/>
      </c>
      <c r="AM446" s="39" t="str" cm="1">
        <f t="array" ref="AM446">IFERROR(IF(LOOKUP(2,1/($AA$2:$AA$1000=AK446),$AD$2:$AD$1000)=0,"",
LOOKUP(2,1/($AA$2:$AA$1000=AK446),$AD$2:$AD$1000)),"")</f>
        <v/>
      </c>
      <c r="AO446" s="33" t="str" cm="1">
        <f t="array" ref="AO446">IFERROR(INDEX($AA$2:$AA$282,MATCH(0,COUNTIF('Paste Here'!$AK$1:AK445,$AA$2:$AA$282),0)),"")</f>
        <v/>
      </c>
      <c r="AP446" s="33" t="str">
        <f>IF(COUNTIF('Paste Here'!$AK$2:AK446,'Paste Here'!AK446)=1,VALUE('Paste Here'!AK446),"")</f>
        <v/>
      </c>
    </row>
    <row r="447" spans="1:42" x14ac:dyDescent="0.3">
      <c r="A447"/>
      <c r="B447"/>
      <c r="C447"/>
      <c r="D447" s="4"/>
      <c r="E447"/>
      <c r="F447"/>
      <c r="G447"/>
      <c r="H447"/>
      <c r="AA447" s="33" t="str">
        <f t="shared" si="19"/>
        <v/>
      </c>
      <c r="AC447" s="33">
        <f t="shared" si="18"/>
        <v>1048540</v>
      </c>
      <c r="AD447" s="33" t="str">
        <f t="shared" si="20"/>
        <v/>
      </c>
      <c r="AE447" s="33" t="str" cm="1">
        <f t="array" ref="AE447">LOOKUP(2,1/($AB$2:$AB$1000=AB447),$AD$2:$AD$1000)</f>
        <v/>
      </c>
      <c r="AM447" s="39" t="str" cm="1">
        <f t="array" ref="AM447">IFERROR(IF(LOOKUP(2,1/($AA$2:$AA$1000=AK447),$AD$2:$AD$1000)=0,"",
LOOKUP(2,1/($AA$2:$AA$1000=AK447),$AD$2:$AD$1000)),"")</f>
        <v/>
      </c>
      <c r="AO447" s="33" t="str" cm="1">
        <f t="array" ref="AO447">IFERROR(INDEX($AA$2:$AA$282,MATCH(0,COUNTIF('Paste Here'!$AK$1:AK446,$AA$2:$AA$282),0)),"")</f>
        <v/>
      </c>
      <c r="AP447" s="33" t="str">
        <f>IF(COUNTIF('Paste Here'!$AK$2:AK447,'Paste Here'!AK447)=1,VALUE('Paste Here'!AK447),"")</f>
        <v/>
      </c>
    </row>
    <row r="448" spans="1:42" x14ac:dyDescent="0.3">
      <c r="A448"/>
      <c r="B448"/>
      <c r="C448"/>
      <c r="D448" s="4"/>
      <c r="E448"/>
      <c r="F448"/>
      <c r="G448"/>
      <c r="H448"/>
      <c r="AA448" s="33" t="str">
        <f t="shared" si="19"/>
        <v/>
      </c>
      <c r="AC448" s="33">
        <f t="shared" si="18"/>
        <v>1048540</v>
      </c>
      <c r="AD448" s="33" t="str">
        <f t="shared" si="20"/>
        <v/>
      </c>
      <c r="AE448" s="33" t="str" cm="1">
        <f t="array" ref="AE448">LOOKUP(2,1/($AB$2:$AB$1000=AB448),$AD$2:$AD$1000)</f>
        <v/>
      </c>
      <c r="AM448" s="39" t="str" cm="1">
        <f t="array" ref="AM448">IFERROR(IF(LOOKUP(2,1/($AA$2:$AA$1000=AK448),$AD$2:$AD$1000)=0,"",
LOOKUP(2,1/($AA$2:$AA$1000=AK448),$AD$2:$AD$1000)),"")</f>
        <v/>
      </c>
      <c r="AO448" s="33" t="str" cm="1">
        <f t="array" ref="AO448">IFERROR(INDEX($AA$2:$AA$282,MATCH(0,COUNTIF('Paste Here'!$AK$1:AK447,$AA$2:$AA$282),0)),"")</f>
        <v/>
      </c>
      <c r="AP448" s="33" t="str">
        <f>IF(COUNTIF('Paste Here'!$AK$2:AK448,'Paste Here'!AK448)=1,VALUE('Paste Here'!AK448),"")</f>
        <v/>
      </c>
    </row>
    <row r="449" spans="1:42" x14ac:dyDescent="0.3">
      <c r="A449"/>
      <c r="B449"/>
      <c r="C449"/>
      <c r="D449" s="4"/>
      <c r="E449"/>
      <c r="F449"/>
      <c r="G449"/>
      <c r="H449"/>
      <c r="AA449" s="33" t="str">
        <f t="shared" si="19"/>
        <v/>
      </c>
      <c r="AC449" s="33">
        <f t="shared" si="18"/>
        <v>1048540</v>
      </c>
      <c r="AD449" s="33" t="str">
        <f t="shared" si="20"/>
        <v/>
      </c>
      <c r="AE449" s="33" t="str" cm="1">
        <f t="array" ref="AE449">LOOKUP(2,1/($AB$2:$AB$1000=AB449),$AD$2:$AD$1000)</f>
        <v/>
      </c>
      <c r="AM449" s="39" t="str" cm="1">
        <f t="array" ref="AM449">IFERROR(IF(LOOKUP(2,1/($AA$2:$AA$1000=AK449),$AD$2:$AD$1000)=0,"",
LOOKUP(2,1/($AA$2:$AA$1000=AK449),$AD$2:$AD$1000)),"")</f>
        <v/>
      </c>
      <c r="AO449" s="33" t="str" cm="1">
        <f t="array" ref="AO449">IFERROR(INDEX($AA$2:$AA$282,MATCH(0,COUNTIF('Paste Here'!$AK$1:AK448,$AA$2:$AA$282),0)),"")</f>
        <v/>
      </c>
      <c r="AP449" s="33" t="str">
        <f>IF(COUNTIF('Paste Here'!$AK$2:AK449,'Paste Here'!AK449)=1,VALUE('Paste Here'!AK449),"")</f>
        <v/>
      </c>
    </row>
    <row r="450" spans="1:42" x14ac:dyDescent="0.3">
      <c r="A450"/>
      <c r="B450"/>
      <c r="C450"/>
      <c r="D450" s="4"/>
      <c r="E450"/>
      <c r="F450"/>
      <c r="G450"/>
      <c r="H450"/>
      <c r="AA450" s="33" t="str">
        <f t="shared" si="19"/>
        <v/>
      </c>
      <c r="AC450" s="33">
        <f t="shared" ref="AC450:AC513" si="21">COUNTIF($AA:$AA,AA450)</f>
        <v>1048540</v>
      </c>
      <c r="AD450" s="33" t="str">
        <f t="shared" si="20"/>
        <v/>
      </c>
      <c r="AE450" s="33" t="str" cm="1">
        <f t="array" ref="AE450">LOOKUP(2,1/($AB$2:$AB$1000=AB450),$AD$2:$AD$1000)</f>
        <v/>
      </c>
      <c r="AM450" s="39" t="str" cm="1">
        <f t="array" ref="AM450">IFERROR(IF(LOOKUP(2,1/($AA$2:$AA$1000=AK450),$AD$2:$AD$1000)=0,"",
LOOKUP(2,1/($AA$2:$AA$1000=AK450),$AD$2:$AD$1000)),"")</f>
        <v/>
      </c>
      <c r="AO450" s="33" t="str" cm="1">
        <f t="array" ref="AO450">IFERROR(INDEX($AA$2:$AA$282,MATCH(0,COUNTIF('Paste Here'!$AK$1:AK449,$AA$2:$AA$282),0)),"")</f>
        <v/>
      </c>
      <c r="AP450" s="33" t="str">
        <f>IF(COUNTIF('Paste Here'!$AK$2:AK450,'Paste Here'!AK450)=1,VALUE('Paste Here'!AK450),"")</f>
        <v/>
      </c>
    </row>
    <row r="451" spans="1:42" x14ac:dyDescent="0.3">
      <c r="A451"/>
      <c r="B451"/>
      <c r="C451"/>
      <c r="D451" s="4"/>
      <c r="E451"/>
      <c r="F451"/>
      <c r="G451"/>
      <c r="H451"/>
      <c r="AA451" s="33" t="str">
        <f t="shared" ref="AA451:AA514" si="22">IFERROR(MID(G451,FIND("LR-",G451)+3,FIND("-",G451,FIND("LR-",G451)+3)-FIND("LR-",G451)-3),"")</f>
        <v/>
      </c>
      <c r="AC451" s="33">
        <f t="shared" si="21"/>
        <v>1048540</v>
      </c>
      <c r="AD451" s="33" t="str">
        <f t="shared" ref="AD451:AD514" si="23">IF(F451=0,"",F451)</f>
        <v/>
      </c>
      <c r="AE451" s="33" t="str" cm="1">
        <f t="array" ref="AE451">LOOKUP(2,1/($AB$2:$AB$1000=AB451),$AD$2:$AD$1000)</f>
        <v/>
      </c>
      <c r="AM451" s="39" t="str" cm="1">
        <f t="array" ref="AM451">IFERROR(IF(LOOKUP(2,1/($AA$2:$AA$1000=AK451),$AD$2:$AD$1000)=0,"",
LOOKUP(2,1/($AA$2:$AA$1000=AK451),$AD$2:$AD$1000)),"")</f>
        <v/>
      </c>
      <c r="AO451" s="33" t="str" cm="1">
        <f t="array" ref="AO451">IFERROR(INDEX($AA$2:$AA$282,MATCH(0,COUNTIF('Paste Here'!$AK$1:AK450,$AA$2:$AA$282),0)),"")</f>
        <v/>
      </c>
      <c r="AP451" s="33" t="str">
        <f>IF(COUNTIF('Paste Here'!$AK$2:AK451,'Paste Here'!AK451)=1,VALUE('Paste Here'!AK451),"")</f>
        <v/>
      </c>
    </row>
    <row r="452" spans="1:42" x14ac:dyDescent="0.3">
      <c r="A452"/>
      <c r="B452"/>
      <c r="C452"/>
      <c r="D452" s="4"/>
      <c r="E452"/>
      <c r="F452"/>
      <c r="G452"/>
      <c r="H452"/>
      <c r="AA452" s="33" t="str">
        <f t="shared" si="22"/>
        <v/>
      </c>
      <c r="AC452" s="33">
        <f t="shared" si="21"/>
        <v>1048540</v>
      </c>
      <c r="AD452" s="33" t="str">
        <f t="shared" si="23"/>
        <v/>
      </c>
      <c r="AE452" s="33" t="str" cm="1">
        <f t="array" ref="AE452">LOOKUP(2,1/($AB$2:$AB$1000=AB452),$AD$2:$AD$1000)</f>
        <v/>
      </c>
      <c r="AM452" s="39" t="str" cm="1">
        <f t="array" ref="AM452">IFERROR(IF(LOOKUP(2,1/($AA$2:$AA$1000=AK452),$AD$2:$AD$1000)=0,"",
LOOKUP(2,1/($AA$2:$AA$1000=AK452),$AD$2:$AD$1000)),"")</f>
        <v/>
      </c>
      <c r="AO452" s="33" t="str" cm="1">
        <f t="array" ref="AO452">IFERROR(INDEX($AA$2:$AA$282,MATCH(0,COUNTIF('Paste Here'!$AK$1:AK451,$AA$2:$AA$282),0)),"")</f>
        <v/>
      </c>
      <c r="AP452" s="33" t="str">
        <f>IF(COUNTIF('Paste Here'!$AK$2:AK452,'Paste Here'!AK452)=1,VALUE('Paste Here'!AK452),"")</f>
        <v/>
      </c>
    </row>
    <row r="453" spans="1:42" x14ac:dyDescent="0.3">
      <c r="A453"/>
      <c r="B453"/>
      <c r="C453"/>
      <c r="D453" s="4"/>
      <c r="E453"/>
      <c r="F453"/>
      <c r="G453"/>
      <c r="H453"/>
      <c r="AA453" s="33" t="str">
        <f t="shared" si="22"/>
        <v/>
      </c>
      <c r="AC453" s="33">
        <f t="shared" si="21"/>
        <v>1048540</v>
      </c>
      <c r="AD453" s="33" t="str">
        <f t="shared" si="23"/>
        <v/>
      </c>
      <c r="AE453" s="33" t="str" cm="1">
        <f t="array" ref="AE453">LOOKUP(2,1/($AB$2:$AB$1000=AB453),$AD$2:$AD$1000)</f>
        <v/>
      </c>
      <c r="AM453" s="39" t="str" cm="1">
        <f t="array" ref="AM453">IFERROR(IF(LOOKUP(2,1/($AA$2:$AA$1000=AK453),$AD$2:$AD$1000)=0,"",
LOOKUP(2,1/($AA$2:$AA$1000=AK453),$AD$2:$AD$1000)),"")</f>
        <v/>
      </c>
      <c r="AO453" s="33" t="str" cm="1">
        <f t="array" ref="AO453">IFERROR(INDEX($AA$2:$AA$282,MATCH(0,COUNTIF('Paste Here'!$AK$1:AK452,$AA$2:$AA$282),0)),"")</f>
        <v/>
      </c>
      <c r="AP453" s="33" t="str">
        <f>IF(COUNTIF('Paste Here'!$AK$2:AK453,'Paste Here'!AK453)=1,VALUE('Paste Here'!AK453),"")</f>
        <v/>
      </c>
    </row>
    <row r="454" spans="1:42" x14ac:dyDescent="0.3">
      <c r="A454"/>
      <c r="B454"/>
      <c r="C454"/>
      <c r="D454" s="4"/>
      <c r="E454"/>
      <c r="F454"/>
      <c r="G454"/>
      <c r="H454"/>
      <c r="AA454" s="33" t="str">
        <f t="shared" si="22"/>
        <v/>
      </c>
      <c r="AC454" s="33">
        <f t="shared" si="21"/>
        <v>1048540</v>
      </c>
      <c r="AD454" s="33" t="str">
        <f t="shared" si="23"/>
        <v/>
      </c>
      <c r="AE454" s="33" t="str" cm="1">
        <f t="array" ref="AE454">LOOKUP(2,1/($AB$2:$AB$1000=AB454),$AD$2:$AD$1000)</f>
        <v/>
      </c>
      <c r="AM454" s="39" t="str" cm="1">
        <f t="array" ref="AM454">IFERROR(IF(LOOKUP(2,1/($AA$2:$AA$1000=AK454),$AD$2:$AD$1000)=0,"",
LOOKUP(2,1/($AA$2:$AA$1000=AK454),$AD$2:$AD$1000)),"")</f>
        <v/>
      </c>
      <c r="AO454" s="33" t="str" cm="1">
        <f t="array" ref="AO454">IFERROR(INDEX($AA$2:$AA$282,MATCH(0,COUNTIF('Paste Here'!$AK$1:AK453,$AA$2:$AA$282),0)),"")</f>
        <v/>
      </c>
      <c r="AP454" s="33" t="str">
        <f>IF(COUNTIF('Paste Here'!$AK$2:AK454,'Paste Here'!AK454)=1,VALUE('Paste Here'!AK454),"")</f>
        <v/>
      </c>
    </row>
    <row r="455" spans="1:42" x14ac:dyDescent="0.3">
      <c r="A455"/>
      <c r="B455"/>
      <c r="C455"/>
      <c r="D455" s="4"/>
      <c r="E455"/>
      <c r="F455"/>
      <c r="G455"/>
      <c r="H455"/>
      <c r="AA455" s="33" t="str">
        <f t="shared" si="22"/>
        <v/>
      </c>
      <c r="AC455" s="33">
        <f t="shared" si="21"/>
        <v>1048540</v>
      </c>
      <c r="AD455" s="33" t="str">
        <f t="shared" si="23"/>
        <v/>
      </c>
      <c r="AE455" s="33" t="str" cm="1">
        <f t="array" ref="AE455">LOOKUP(2,1/($AB$2:$AB$1000=AB455),$AD$2:$AD$1000)</f>
        <v/>
      </c>
      <c r="AM455" s="39" t="str" cm="1">
        <f t="array" ref="AM455">IFERROR(IF(LOOKUP(2,1/($AA$2:$AA$1000=AK455),$AD$2:$AD$1000)=0,"",
LOOKUP(2,1/($AA$2:$AA$1000=AK455),$AD$2:$AD$1000)),"")</f>
        <v/>
      </c>
      <c r="AO455" s="33" t="str" cm="1">
        <f t="array" ref="AO455">IFERROR(INDEX($AA$2:$AA$282,MATCH(0,COUNTIF('Paste Here'!$AK$1:AK454,$AA$2:$AA$282),0)),"")</f>
        <v/>
      </c>
      <c r="AP455" s="33" t="str">
        <f>IF(COUNTIF('Paste Here'!$AK$2:AK455,'Paste Here'!AK455)=1,VALUE('Paste Here'!AK455),"")</f>
        <v/>
      </c>
    </row>
    <row r="456" spans="1:42" x14ac:dyDescent="0.3">
      <c r="A456"/>
      <c r="B456"/>
      <c r="C456"/>
      <c r="D456" s="4"/>
      <c r="E456"/>
      <c r="F456"/>
      <c r="G456"/>
      <c r="H456"/>
      <c r="AA456" s="33" t="str">
        <f t="shared" si="22"/>
        <v/>
      </c>
      <c r="AC456" s="33">
        <f t="shared" si="21"/>
        <v>1048540</v>
      </c>
      <c r="AD456" s="33" t="str">
        <f t="shared" si="23"/>
        <v/>
      </c>
      <c r="AE456" s="33" t="str" cm="1">
        <f t="array" ref="AE456">LOOKUP(2,1/($AB$2:$AB$1000=AB456),$AD$2:$AD$1000)</f>
        <v/>
      </c>
      <c r="AM456" s="39" t="str" cm="1">
        <f t="array" ref="AM456">IFERROR(IF(LOOKUP(2,1/($AA$2:$AA$1000=AK456),$AD$2:$AD$1000)=0,"",
LOOKUP(2,1/($AA$2:$AA$1000=AK456),$AD$2:$AD$1000)),"")</f>
        <v/>
      </c>
      <c r="AO456" s="33" t="str" cm="1">
        <f t="array" ref="AO456">IFERROR(INDEX($AA$2:$AA$282,MATCH(0,COUNTIF('Paste Here'!$AK$1:AK455,$AA$2:$AA$282),0)),"")</f>
        <v/>
      </c>
      <c r="AP456" s="33" t="str">
        <f>IF(COUNTIF('Paste Here'!$AK$2:AK456,'Paste Here'!AK456)=1,VALUE('Paste Here'!AK456),"")</f>
        <v/>
      </c>
    </row>
    <row r="457" spans="1:42" x14ac:dyDescent="0.3">
      <c r="A457"/>
      <c r="B457"/>
      <c r="C457"/>
      <c r="D457" s="4"/>
      <c r="E457"/>
      <c r="F457"/>
      <c r="G457"/>
      <c r="H457"/>
      <c r="AA457" s="33" t="str">
        <f t="shared" si="22"/>
        <v/>
      </c>
      <c r="AC457" s="33">
        <f t="shared" si="21"/>
        <v>1048540</v>
      </c>
      <c r="AD457" s="33" t="str">
        <f t="shared" si="23"/>
        <v/>
      </c>
      <c r="AE457" s="33" t="str" cm="1">
        <f t="array" ref="AE457">LOOKUP(2,1/($AB$2:$AB$1000=AB457),$AD$2:$AD$1000)</f>
        <v/>
      </c>
      <c r="AM457" s="39" t="str" cm="1">
        <f t="array" ref="AM457">IFERROR(IF(LOOKUP(2,1/($AA$2:$AA$1000=AK457),$AD$2:$AD$1000)=0,"",
LOOKUP(2,1/($AA$2:$AA$1000=AK457),$AD$2:$AD$1000)),"")</f>
        <v/>
      </c>
      <c r="AO457" s="33" t="str" cm="1">
        <f t="array" ref="AO457">IFERROR(INDEX($AA$2:$AA$282,MATCH(0,COUNTIF('Paste Here'!$AK$1:AK456,$AA$2:$AA$282),0)),"")</f>
        <v/>
      </c>
      <c r="AP457" s="33" t="str">
        <f>IF(COUNTIF('Paste Here'!$AK$2:AK457,'Paste Here'!AK457)=1,VALUE('Paste Here'!AK457),"")</f>
        <v/>
      </c>
    </row>
    <row r="458" spans="1:42" x14ac:dyDescent="0.3">
      <c r="A458"/>
      <c r="B458"/>
      <c r="C458"/>
      <c r="D458" s="4"/>
      <c r="E458"/>
      <c r="F458"/>
      <c r="G458"/>
      <c r="H458"/>
      <c r="AA458" s="33" t="str">
        <f t="shared" si="22"/>
        <v/>
      </c>
      <c r="AC458" s="33">
        <f t="shared" si="21"/>
        <v>1048540</v>
      </c>
      <c r="AD458" s="33" t="str">
        <f t="shared" si="23"/>
        <v/>
      </c>
      <c r="AE458" s="33" t="str" cm="1">
        <f t="array" ref="AE458">LOOKUP(2,1/($AB$2:$AB$1000=AB458),$AD$2:$AD$1000)</f>
        <v/>
      </c>
      <c r="AM458" s="39" t="str" cm="1">
        <f t="array" ref="AM458">IFERROR(IF(LOOKUP(2,1/($AA$2:$AA$1000=AK458),$AD$2:$AD$1000)=0,"",
LOOKUP(2,1/($AA$2:$AA$1000=AK458),$AD$2:$AD$1000)),"")</f>
        <v/>
      </c>
      <c r="AO458" s="33" t="str" cm="1">
        <f t="array" ref="AO458">IFERROR(INDEX($AA$2:$AA$282,MATCH(0,COUNTIF('Paste Here'!$AK$1:AK457,$AA$2:$AA$282),0)),"")</f>
        <v/>
      </c>
      <c r="AP458" s="33" t="str">
        <f>IF(COUNTIF('Paste Here'!$AK$2:AK458,'Paste Here'!AK458)=1,VALUE('Paste Here'!AK458),"")</f>
        <v/>
      </c>
    </row>
    <row r="459" spans="1:42" x14ac:dyDescent="0.3">
      <c r="A459"/>
      <c r="B459"/>
      <c r="C459"/>
      <c r="D459" s="4"/>
      <c r="E459"/>
      <c r="F459"/>
      <c r="G459"/>
      <c r="H459"/>
      <c r="AA459" s="33" t="str">
        <f t="shared" si="22"/>
        <v/>
      </c>
      <c r="AC459" s="33">
        <f t="shared" si="21"/>
        <v>1048540</v>
      </c>
      <c r="AD459" s="33" t="str">
        <f t="shared" si="23"/>
        <v/>
      </c>
      <c r="AE459" s="33" t="str" cm="1">
        <f t="array" ref="AE459">LOOKUP(2,1/($AB$2:$AB$1000=AB459),$AD$2:$AD$1000)</f>
        <v/>
      </c>
      <c r="AM459" s="39" t="str" cm="1">
        <f t="array" ref="AM459">IFERROR(IF(LOOKUP(2,1/($AA$2:$AA$1000=AK459),$AD$2:$AD$1000)=0,"",
LOOKUP(2,1/($AA$2:$AA$1000=AK459),$AD$2:$AD$1000)),"")</f>
        <v/>
      </c>
      <c r="AO459" s="33" t="str" cm="1">
        <f t="array" ref="AO459">IFERROR(INDEX($AA$2:$AA$282,MATCH(0,COUNTIF('Paste Here'!$AK$1:AK458,$AA$2:$AA$282),0)),"")</f>
        <v/>
      </c>
      <c r="AP459" s="33" t="str">
        <f>IF(COUNTIF('Paste Here'!$AK$2:AK459,'Paste Here'!AK459)=1,VALUE('Paste Here'!AK459),"")</f>
        <v/>
      </c>
    </row>
    <row r="460" spans="1:42" x14ac:dyDescent="0.3">
      <c r="A460"/>
      <c r="B460"/>
      <c r="C460"/>
      <c r="D460" s="4"/>
      <c r="E460"/>
      <c r="F460"/>
      <c r="G460"/>
      <c r="H460"/>
      <c r="AA460" s="33" t="str">
        <f t="shared" si="22"/>
        <v/>
      </c>
      <c r="AC460" s="33">
        <f t="shared" si="21"/>
        <v>1048540</v>
      </c>
      <c r="AD460" s="33" t="str">
        <f t="shared" si="23"/>
        <v/>
      </c>
      <c r="AE460" s="33" t="str" cm="1">
        <f t="array" ref="AE460">LOOKUP(2,1/($AB$2:$AB$1000=AB460),$AD$2:$AD$1000)</f>
        <v/>
      </c>
      <c r="AM460" s="39" t="str" cm="1">
        <f t="array" ref="AM460">IFERROR(IF(LOOKUP(2,1/($AA$2:$AA$1000=AK460),$AD$2:$AD$1000)=0,"",
LOOKUP(2,1/($AA$2:$AA$1000=AK460),$AD$2:$AD$1000)),"")</f>
        <v/>
      </c>
      <c r="AO460" s="33" t="str" cm="1">
        <f t="array" ref="AO460">IFERROR(INDEX($AA$2:$AA$282,MATCH(0,COUNTIF('Paste Here'!$AK$1:AK459,$AA$2:$AA$282),0)),"")</f>
        <v/>
      </c>
      <c r="AP460" s="33" t="str">
        <f>IF(COUNTIF('Paste Here'!$AK$2:AK460,'Paste Here'!AK460)=1,VALUE('Paste Here'!AK460),"")</f>
        <v/>
      </c>
    </row>
    <row r="461" spans="1:42" x14ac:dyDescent="0.3">
      <c r="A461"/>
      <c r="B461"/>
      <c r="C461"/>
      <c r="D461" s="4"/>
      <c r="E461"/>
      <c r="F461"/>
      <c r="G461"/>
      <c r="H461"/>
      <c r="AA461" s="33" t="str">
        <f t="shared" si="22"/>
        <v/>
      </c>
      <c r="AC461" s="33">
        <f t="shared" si="21"/>
        <v>1048540</v>
      </c>
      <c r="AD461" s="33" t="str">
        <f t="shared" si="23"/>
        <v/>
      </c>
      <c r="AE461" s="33" t="str" cm="1">
        <f t="array" ref="AE461">LOOKUP(2,1/($AB$2:$AB$1000=AB461),$AD$2:$AD$1000)</f>
        <v/>
      </c>
      <c r="AM461" s="39" t="str" cm="1">
        <f t="array" ref="AM461">IFERROR(IF(LOOKUP(2,1/($AA$2:$AA$1000=AK461),$AD$2:$AD$1000)=0,"",
LOOKUP(2,1/($AA$2:$AA$1000=AK461),$AD$2:$AD$1000)),"")</f>
        <v/>
      </c>
      <c r="AO461" s="33" t="str" cm="1">
        <f t="array" ref="AO461">IFERROR(INDEX($AA$2:$AA$282,MATCH(0,COUNTIF('Paste Here'!$AK$1:AK460,$AA$2:$AA$282),0)),"")</f>
        <v/>
      </c>
      <c r="AP461" s="33" t="str">
        <f>IF(COUNTIF('Paste Here'!$AK$2:AK461,'Paste Here'!AK461)=1,VALUE('Paste Here'!AK461),"")</f>
        <v/>
      </c>
    </row>
    <row r="462" spans="1:42" x14ac:dyDescent="0.3">
      <c r="A462"/>
      <c r="B462"/>
      <c r="C462"/>
      <c r="D462" s="4"/>
      <c r="E462"/>
      <c r="F462"/>
      <c r="G462"/>
      <c r="H462"/>
      <c r="AA462" s="33" t="str">
        <f t="shared" si="22"/>
        <v/>
      </c>
      <c r="AC462" s="33">
        <f t="shared" si="21"/>
        <v>1048540</v>
      </c>
      <c r="AD462" s="33" t="str">
        <f t="shared" si="23"/>
        <v/>
      </c>
      <c r="AE462" s="33" t="str" cm="1">
        <f t="array" ref="AE462">LOOKUP(2,1/($AB$2:$AB$1000=AB462),$AD$2:$AD$1000)</f>
        <v/>
      </c>
      <c r="AM462" s="39" t="str" cm="1">
        <f t="array" ref="AM462">IFERROR(IF(LOOKUP(2,1/($AA$2:$AA$1000=AK462),$AD$2:$AD$1000)=0,"",
LOOKUP(2,1/($AA$2:$AA$1000=AK462),$AD$2:$AD$1000)),"")</f>
        <v/>
      </c>
      <c r="AO462" s="33" t="str" cm="1">
        <f t="array" ref="AO462">IFERROR(INDEX($AA$2:$AA$282,MATCH(0,COUNTIF('Paste Here'!$AK$1:AK461,$AA$2:$AA$282),0)),"")</f>
        <v/>
      </c>
      <c r="AP462" s="33" t="str">
        <f>IF(COUNTIF('Paste Here'!$AK$2:AK462,'Paste Here'!AK462)=1,VALUE('Paste Here'!AK462),"")</f>
        <v/>
      </c>
    </row>
    <row r="463" spans="1:42" x14ac:dyDescent="0.3">
      <c r="A463"/>
      <c r="B463"/>
      <c r="C463"/>
      <c r="D463" s="4"/>
      <c r="E463"/>
      <c r="F463"/>
      <c r="G463"/>
      <c r="H463"/>
      <c r="AA463" s="33" t="str">
        <f t="shared" si="22"/>
        <v/>
      </c>
      <c r="AC463" s="33">
        <f t="shared" si="21"/>
        <v>1048540</v>
      </c>
      <c r="AD463" s="33" t="str">
        <f t="shared" si="23"/>
        <v/>
      </c>
      <c r="AE463" s="33" t="str" cm="1">
        <f t="array" ref="AE463">LOOKUP(2,1/($AB$2:$AB$1000=AB463),$AD$2:$AD$1000)</f>
        <v/>
      </c>
      <c r="AM463" s="39" t="str" cm="1">
        <f t="array" ref="AM463">IFERROR(IF(LOOKUP(2,1/($AA$2:$AA$1000=AK463),$AD$2:$AD$1000)=0,"",
LOOKUP(2,1/($AA$2:$AA$1000=AK463),$AD$2:$AD$1000)),"")</f>
        <v/>
      </c>
      <c r="AO463" s="33" t="str" cm="1">
        <f t="array" ref="AO463">IFERROR(INDEX($AA$2:$AA$282,MATCH(0,COUNTIF('Paste Here'!$AK$1:AK462,$AA$2:$AA$282),0)),"")</f>
        <v/>
      </c>
      <c r="AP463" s="33" t="str">
        <f>IF(COUNTIF('Paste Here'!$AK$2:AK463,'Paste Here'!AK463)=1,VALUE('Paste Here'!AK463),"")</f>
        <v/>
      </c>
    </row>
    <row r="464" spans="1:42" x14ac:dyDescent="0.3">
      <c r="A464"/>
      <c r="B464"/>
      <c r="C464"/>
      <c r="D464" s="4"/>
      <c r="E464"/>
      <c r="F464"/>
      <c r="G464"/>
      <c r="H464"/>
      <c r="AA464" s="33" t="str">
        <f t="shared" si="22"/>
        <v/>
      </c>
      <c r="AC464" s="33">
        <f t="shared" si="21"/>
        <v>1048540</v>
      </c>
      <c r="AD464" s="33" t="str">
        <f t="shared" si="23"/>
        <v/>
      </c>
      <c r="AE464" s="33" t="str" cm="1">
        <f t="array" ref="AE464">LOOKUP(2,1/($AB$2:$AB$1000=AB464),$AD$2:$AD$1000)</f>
        <v/>
      </c>
      <c r="AM464" s="39" t="str" cm="1">
        <f t="array" ref="AM464">IFERROR(IF(LOOKUP(2,1/($AA$2:$AA$1000=AK464),$AD$2:$AD$1000)=0,"",
LOOKUP(2,1/($AA$2:$AA$1000=AK464),$AD$2:$AD$1000)),"")</f>
        <v/>
      </c>
      <c r="AO464" s="33" t="str" cm="1">
        <f t="array" ref="AO464">IFERROR(INDEX($AA$2:$AA$282,MATCH(0,COUNTIF('Paste Here'!$AK$1:AK463,$AA$2:$AA$282),0)),"")</f>
        <v/>
      </c>
      <c r="AP464" s="33" t="str">
        <f>IF(COUNTIF('Paste Here'!$AK$2:AK464,'Paste Here'!AK464)=1,VALUE('Paste Here'!AK464),"")</f>
        <v/>
      </c>
    </row>
    <row r="465" spans="1:42" x14ac:dyDescent="0.3">
      <c r="A465"/>
      <c r="B465"/>
      <c r="C465"/>
      <c r="D465" s="4"/>
      <c r="E465"/>
      <c r="F465"/>
      <c r="G465"/>
      <c r="H465"/>
      <c r="AA465" s="33" t="str">
        <f t="shared" si="22"/>
        <v/>
      </c>
      <c r="AC465" s="33">
        <f t="shared" si="21"/>
        <v>1048540</v>
      </c>
      <c r="AD465" s="33" t="str">
        <f t="shared" si="23"/>
        <v/>
      </c>
      <c r="AE465" s="33" t="str" cm="1">
        <f t="array" ref="AE465">LOOKUP(2,1/($AB$2:$AB$1000=AB465),$AD$2:$AD$1000)</f>
        <v/>
      </c>
      <c r="AM465" s="39" t="str" cm="1">
        <f t="array" ref="AM465">IFERROR(IF(LOOKUP(2,1/($AA$2:$AA$1000=AK465),$AD$2:$AD$1000)=0,"",
LOOKUP(2,1/($AA$2:$AA$1000=AK465),$AD$2:$AD$1000)),"")</f>
        <v/>
      </c>
      <c r="AO465" s="33" t="str" cm="1">
        <f t="array" ref="AO465">IFERROR(INDEX($AA$2:$AA$282,MATCH(0,COUNTIF('Paste Here'!$AK$1:AK464,$AA$2:$AA$282),0)),"")</f>
        <v/>
      </c>
      <c r="AP465" s="33" t="str">
        <f>IF(COUNTIF('Paste Here'!$AK$2:AK465,'Paste Here'!AK465)=1,VALUE('Paste Here'!AK465),"")</f>
        <v/>
      </c>
    </row>
    <row r="466" spans="1:42" x14ac:dyDescent="0.3">
      <c r="A466" s="2"/>
      <c r="B466" s="2"/>
      <c r="C466" s="2"/>
      <c r="D466" s="3"/>
      <c r="E466" s="2"/>
      <c r="F466" s="2"/>
      <c r="G466" s="2"/>
      <c r="H466" s="2"/>
      <c r="AA466" s="33" t="str">
        <f t="shared" si="22"/>
        <v/>
      </c>
      <c r="AC466" s="33">
        <f t="shared" si="21"/>
        <v>1048540</v>
      </c>
      <c r="AD466" s="33" t="str">
        <f t="shared" si="23"/>
        <v/>
      </c>
      <c r="AE466" s="33" t="str" cm="1">
        <f t="array" ref="AE466">LOOKUP(2,1/($AB$2:$AB$1000=AB466),$AD$2:$AD$1000)</f>
        <v/>
      </c>
      <c r="AM466" s="39" t="str" cm="1">
        <f t="array" ref="AM466">IFERROR(IF(LOOKUP(2,1/($AA$2:$AA$1000=AK466),$AD$2:$AD$1000)=0,"",
LOOKUP(2,1/($AA$2:$AA$1000=AK466),$AD$2:$AD$1000)),"")</f>
        <v/>
      </c>
      <c r="AO466" s="33" t="str" cm="1">
        <f t="array" ref="AO466">IFERROR(INDEX($AA$2:$AA$282,MATCH(0,COUNTIF('Paste Here'!$AK$1:AK465,$AA$2:$AA$282),0)),"")</f>
        <v/>
      </c>
      <c r="AP466" s="33" t="str">
        <f>IF(COUNTIF('Paste Here'!$AK$2:AK466,'Paste Here'!AK466)=1,VALUE('Paste Here'!AK466),"")</f>
        <v/>
      </c>
    </row>
    <row r="467" spans="1:42" x14ac:dyDescent="0.3">
      <c r="A467" s="2"/>
      <c r="B467" s="2"/>
      <c r="C467" s="2"/>
      <c r="D467" s="3"/>
      <c r="E467" s="2"/>
      <c r="F467" s="2"/>
      <c r="G467" s="2"/>
      <c r="H467" s="2"/>
      <c r="AA467" s="33" t="str">
        <f t="shared" si="22"/>
        <v/>
      </c>
      <c r="AC467" s="33">
        <f t="shared" si="21"/>
        <v>1048540</v>
      </c>
      <c r="AD467" s="33" t="str">
        <f t="shared" si="23"/>
        <v/>
      </c>
      <c r="AE467" s="33" t="str" cm="1">
        <f t="array" ref="AE467">LOOKUP(2,1/($AB$2:$AB$1000=AB467),$AD$2:$AD$1000)</f>
        <v/>
      </c>
      <c r="AM467" s="39" t="str" cm="1">
        <f t="array" ref="AM467">IFERROR(IF(LOOKUP(2,1/($AA$2:$AA$1000=AK467),$AD$2:$AD$1000)=0,"",
LOOKUP(2,1/($AA$2:$AA$1000=AK467),$AD$2:$AD$1000)),"")</f>
        <v/>
      </c>
      <c r="AO467" s="33" t="str" cm="1">
        <f t="array" ref="AO467">IFERROR(INDEX($AA$2:$AA$282,MATCH(0,COUNTIF('Paste Here'!$AK$1:AK466,$AA$2:$AA$282),0)),"")</f>
        <v/>
      </c>
      <c r="AP467" s="33" t="str">
        <f>IF(COUNTIF('Paste Here'!$AK$2:AK467,'Paste Here'!AK467)=1,VALUE('Paste Here'!AK467),"")</f>
        <v/>
      </c>
    </row>
    <row r="468" spans="1:42" x14ac:dyDescent="0.3">
      <c r="A468" s="2"/>
      <c r="B468" s="2"/>
      <c r="C468" s="2"/>
      <c r="D468" s="3"/>
      <c r="E468" s="2"/>
      <c r="F468" s="2"/>
      <c r="G468" s="2"/>
      <c r="H468" s="2"/>
      <c r="AA468" s="33" t="str">
        <f t="shared" si="22"/>
        <v/>
      </c>
      <c r="AC468" s="33">
        <f t="shared" si="21"/>
        <v>1048540</v>
      </c>
      <c r="AD468" s="33" t="str">
        <f t="shared" si="23"/>
        <v/>
      </c>
      <c r="AE468" s="33" t="str" cm="1">
        <f t="array" ref="AE468">LOOKUP(2,1/($AB$2:$AB$1000=AB468),$AD$2:$AD$1000)</f>
        <v/>
      </c>
      <c r="AM468" s="39" t="str" cm="1">
        <f t="array" ref="AM468">IFERROR(IF(LOOKUP(2,1/($AA$2:$AA$1000=AK468),$AD$2:$AD$1000)=0,"",
LOOKUP(2,1/($AA$2:$AA$1000=AK468),$AD$2:$AD$1000)),"")</f>
        <v/>
      </c>
      <c r="AO468" s="33" t="str" cm="1">
        <f t="array" ref="AO468">IFERROR(INDEX($AA$2:$AA$282,MATCH(0,COUNTIF('Paste Here'!$AK$1:AK467,$AA$2:$AA$282),0)),"")</f>
        <v/>
      </c>
      <c r="AP468" s="33" t="str">
        <f>IF(COUNTIF('Paste Here'!$AK$2:AK468,'Paste Here'!AK468)=1,VALUE('Paste Here'!AK468),"")</f>
        <v/>
      </c>
    </row>
    <row r="469" spans="1:42" x14ac:dyDescent="0.3">
      <c r="A469" s="2"/>
      <c r="B469" s="2"/>
      <c r="C469" s="2"/>
      <c r="D469" s="3"/>
      <c r="E469" s="2"/>
      <c r="F469" s="2"/>
      <c r="G469" s="2"/>
      <c r="H469" s="2"/>
      <c r="AA469" s="33" t="str">
        <f t="shared" si="22"/>
        <v/>
      </c>
      <c r="AC469" s="33">
        <f t="shared" si="21"/>
        <v>1048540</v>
      </c>
      <c r="AD469" s="33" t="str">
        <f t="shared" si="23"/>
        <v/>
      </c>
      <c r="AE469" s="33" t="str" cm="1">
        <f t="array" ref="AE469">LOOKUP(2,1/($AB$2:$AB$1000=AB469),$AD$2:$AD$1000)</f>
        <v/>
      </c>
      <c r="AM469" s="39" t="str" cm="1">
        <f t="array" ref="AM469">IFERROR(IF(LOOKUP(2,1/($AA$2:$AA$1000=AK469),$AD$2:$AD$1000)=0,"",
LOOKUP(2,1/($AA$2:$AA$1000=AK469),$AD$2:$AD$1000)),"")</f>
        <v/>
      </c>
      <c r="AO469" s="33" t="str" cm="1">
        <f t="array" ref="AO469">IFERROR(INDEX($AA$2:$AA$282,MATCH(0,COUNTIF('Paste Here'!$AK$1:AK468,$AA$2:$AA$282),0)),"")</f>
        <v/>
      </c>
      <c r="AP469" s="33" t="str">
        <f>IF(COUNTIF('Paste Here'!$AK$2:AK469,'Paste Here'!AK469)=1,VALUE('Paste Here'!AK469),"")</f>
        <v/>
      </c>
    </row>
    <row r="470" spans="1:42" x14ac:dyDescent="0.3">
      <c r="A470" s="2"/>
      <c r="B470" s="2"/>
      <c r="C470" s="2"/>
      <c r="D470" s="3"/>
      <c r="E470" s="2"/>
      <c r="F470" s="2"/>
      <c r="G470" s="2"/>
      <c r="H470" s="2"/>
      <c r="AA470" s="33" t="str">
        <f t="shared" si="22"/>
        <v/>
      </c>
      <c r="AC470" s="33">
        <f t="shared" si="21"/>
        <v>1048540</v>
      </c>
      <c r="AD470" s="33" t="str">
        <f t="shared" si="23"/>
        <v/>
      </c>
      <c r="AE470" s="33" t="str" cm="1">
        <f t="array" ref="AE470">LOOKUP(2,1/($AB$2:$AB$1000=AB470),$AD$2:$AD$1000)</f>
        <v/>
      </c>
      <c r="AM470" s="39" t="str" cm="1">
        <f t="array" ref="AM470">IFERROR(IF(LOOKUP(2,1/($AA$2:$AA$1000=AK470),$AD$2:$AD$1000)=0,"",
LOOKUP(2,1/($AA$2:$AA$1000=AK470),$AD$2:$AD$1000)),"")</f>
        <v/>
      </c>
      <c r="AO470" s="33" t="str" cm="1">
        <f t="array" ref="AO470">IFERROR(INDEX($AA$2:$AA$282,MATCH(0,COUNTIF('Paste Here'!$AK$1:AK469,$AA$2:$AA$282),0)),"")</f>
        <v/>
      </c>
      <c r="AP470" s="33" t="str">
        <f>IF(COUNTIF('Paste Here'!$AK$2:AK470,'Paste Here'!AK470)=1,VALUE('Paste Here'!AK470),"")</f>
        <v/>
      </c>
    </row>
    <row r="471" spans="1:42" x14ac:dyDescent="0.3">
      <c r="A471" s="2"/>
      <c r="B471" s="2"/>
      <c r="C471" s="2"/>
      <c r="D471" s="3"/>
      <c r="E471" s="2"/>
      <c r="F471" s="2"/>
      <c r="G471" s="2"/>
      <c r="H471" s="2"/>
      <c r="AA471" s="33" t="str">
        <f t="shared" si="22"/>
        <v/>
      </c>
      <c r="AC471" s="33">
        <f t="shared" si="21"/>
        <v>1048540</v>
      </c>
      <c r="AD471" s="33" t="str">
        <f t="shared" si="23"/>
        <v/>
      </c>
      <c r="AE471" s="33" t="str" cm="1">
        <f t="array" ref="AE471">LOOKUP(2,1/($AB$2:$AB$1000=AB471),$AD$2:$AD$1000)</f>
        <v/>
      </c>
      <c r="AM471" s="39" t="str" cm="1">
        <f t="array" ref="AM471">IFERROR(IF(LOOKUP(2,1/($AA$2:$AA$1000=AK471),$AD$2:$AD$1000)=0,"",
LOOKUP(2,1/($AA$2:$AA$1000=AK471),$AD$2:$AD$1000)),"")</f>
        <v/>
      </c>
      <c r="AO471" s="33" t="str" cm="1">
        <f t="array" ref="AO471">IFERROR(INDEX($AA$2:$AA$282,MATCH(0,COUNTIF('Paste Here'!$AK$1:AK470,$AA$2:$AA$282),0)),"")</f>
        <v/>
      </c>
      <c r="AP471" s="33" t="str">
        <f>IF(COUNTIF('Paste Here'!$AK$2:AK471,'Paste Here'!AK471)=1,VALUE('Paste Here'!AK471),"")</f>
        <v/>
      </c>
    </row>
    <row r="472" spans="1:42" x14ac:dyDescent="0.3">
      <c r="A472" s="2"/>
      <c r="B472" s="2"/>
      <c r="C472" s="2"/>
      <c r="D472" s="3"/>
      <c r="E472" s="2"/>
      <c r="F472" s="2"/>
      <c r="G472" s="2"/>
      <c r="H472" s="2"/>
      <c r="AA472" s="33" t="str">
        <f t="shared" si="22"/>
        <v/>
      </c>
      <c r="AC472" s="33">
        <f t="shared" si="21"/>
        <v>1048540</v>
      </c>
      <c r="AD472" s="33" t="str">
        <f t="shared" si="23"/>
        <v/>
      </c>
      <c r="AE472" s="33" t="str" cm="1">
        <f t="array" ref="AE472">LOOKUP(2,1/($AB$2:$AB$1000=AB472),$AD$2:$AD$1000)</f>
        <v/>
      </c>
      <c r="AM472" s="39" t="str" cm="1">
        <f t="array" ref="AM472">IFERROR(IF(LOOKUP(2,1/($AA$2:$AA$1000=AK472),$AD$2:$AD$1000)=0,"",
LOOKUP(2,1/($AA$2:$AA$1000=AK472),$AD$2:$AD$1000)),"")</f>
        <v/>
      </c>
      <c r="AO472" s="33" t="str" cm="1">
        <f t="array" ref="AO472">IFERROR(INDEX($AA$2:$AA$282,MATCH(0,COUNTIF('Paste Here'!$AK$1:AK471,$AA$2:$AA$282),0)),"")</f>
        <v/>
      </c>
      <c r="AP472" s="33" t="str">
        <f>IF(COUNTIF('Paste Here'!$AK$2:AK472,'Paste Here'!AK472)=1,VALUE('Paste Here'!AK472),"")</f>
        <v/>
      </c>
    </row>
    <row r="473" spans="1:42" x14ac:dyDescent="0.3">
      <c r="A473" s="2"/>
      <c r="B473" s="2"/>
      <c r="C473" s="2"/>
      <c r="D473" s="3"/>
      <c r="E473" s="2"/>
      <c r="F473" s="2"/>
      <c r="G473" s="2"/>
      <c r="H473" s="2"/>
      <c r="AA473" s="33" t="str">
        <f t="shared" si="22"/>
        <v/>
      </c>
      <c r="AC473" s="33">
        <f t="shared" si="21"/>
        <v>1048540</v>
      </c>
      <c r="AD473" s="33" t="str">
        <f t="shared" si="23"/>
        <v/>
      </c>
      <c r="AE473" s="33" t="str" cm="1">
        <f t="array" ref="AE473">LOOKUP(2,1/($AB$2:$AB$1000=AB473),$AD$2:$AD$1000)</f>
        <v/>
      </c>
      <c r="AM473" s="39" t="str" cm="1">
        <f t="array" ref="AM473">IFERROR(IF(LOOKUP(2,1/($AA$2:$AA$1000=AK473),$AD$2:$AD$1000)=0,"",
LOOKUP(2,1/($AA$2:$AA$1000=AK473),$AD$2:$AD$1000)),"")</f>
        <v/>
      </c>
      <c r="AO473" s="33" t="str" cm="1">
        <f t="array" ref="AO473">IFERROR(INDEX($AA$2:$AA$282,MATCH(0,COUNTIF('Paste Here'!$AK$1:AK472,$AA$2:$AA$282),0)),"")</f>
        <v/>
      </c>
      <c r="AP473" s="33" t="str">
        <f>IF(COUNTIF('Paste Here'!$AK$2:AK473,'Paste Here'!AK473)=1,VALUE('Paste Here'!AK473),"")</f>
        <v/>
      </c>
    </row>
    <row r="474" spans="1:42" x14ac:dyDescent="0.3">
      <c r="A474"/>
      <c r="B474"/>
      <c r="C474"/>
      <c r="D474" s="4"/>
      <c r="E474"/>
      <c r="F474"/>
      <c r="G474"/>
      <c r="H474"/>
      <c r="AA474" s="33" t="str">
        <f t="shared" si="22"/>
        <v/>
      </c>
      <c r="AC474" s="33">
        <f t="shared" si="21"/>
        <v>1048540</v>
      </c>
      <c r="AD474" s="33" t="str">
        <f t="shared" si="23"/>
        <v/>
      </c>
      <c r="AE474" s="33" t="str" cm="1">
        <f t="array" ref="AE474">LOOKUP(2,1/($AB$2:$AB$1000=AB474),$AD$2:$AD$1000)</f>
        <v/>
      </c>
      <c r="AM474" s="39" t="str" cm="1">
        <f t="array" ref="AM474">IFERROR(IF(LOOKUP(2,1/($AA$2:$AA$1000=AK474),$AD$2:$AD$1000)=0,"",
LOOKUP(2,1/($AA$2:$AA$1000=AK474),$AD$2:$AD$1000)),"")</f>
        <v/>
      </c>
      <c r="AO474" s="33" t="str" cm="1">
        <f t="array" ref="AO474">IFERROR(INDEX($AA$2:$AA$282,MATCH(0,COUNTIF('Paste Here'!$AK$1:AK473,$AA$2:$AA$282),0)),"")</f>
        <v/>
      </c>
      <c r="AP474" s="33" t="str">
        <f>IF(COUNTIF('Paste Here'!$AK$2:AK474,'Paste Here'!AK474)=1,VALUE('Paste Here'!AK474),"")</f>
        <v/>
      </c>
    </row>
    <row r="475" spans="1:42" x14ac:dyDescent="0.3">
      <c r="A475"/>
      <c r="B475"/>
      <c r="C475"/>
      <c r="D475" s="4"/>
      <c r="E475"/>
      <c r="F475"/>
      <c r="G475"/>
      <c r="H475"/>
      <c r="AA475" s="33" t="str">
        <f t="shared" si="22"/>
        <v/>
      </c>
      <c r="AC475" s="33">
        <f t="shared" si="21"/>
        <v>1048540</v>
      </c>
      <c r="AD475" s="33" t="str">
        <f t="shared" si="23"/>
        <v/>
      </c>
      <c r="AE475" s="33" t="str" cm="1">
        <f t="array" ref="AE475">LOOKUP(2,1/($AB$2:$AB$1000=AB475),$AD$2:$AD$1000)</f>
        <v/>
      </c>
      <c r="AM475" s="39" t="str" cm="1">
        <f t="array" ref="AM475">IFERROR(IF(LOOKUP(2,1/($AA$2:$AA$1000=AK475),$AD$2:$AD$1000)=0,"",
LOOKUP(2,1/($AA$2:$AA$1000=AK475),$AD$2:$AD$1000)),"")</f>
        <v/>
      </c>
      <c r="AO475" s="33" t="str" cm="1">
        <f t="array" ref="AO475">IFERROR(INDEX($AA$2:$AA$282,MATCH(0,COUNTIF('Paste Here'!$AK$1:AK474,$AA$2:$AA$282),0)),"")</f>
        <v/>
      </c>
      <c r="AP475" s="33" t="str">
        <f>IF(COUNTIF('Paste Here'!$AK$2:AK475,'Paste Here'!AK475)=1,VALUE('Paste Here'!AK475),"")</f>
        <v/>
      </c>
    </row>
    <row r="476" spans="1:42" x14ac:dyDescent="0.3">
      <c r="A476"/>
      <c r="B476"/>
      <c r="C476"/>
      <c r="D476" s="4"/>
      <c r="E476"/>
      <c r="F476"/>
      <c r="G476"/>
      <c r="H476"/>
      <c r="AA476" s="33" t="str">
        <f t="shared" si="22"/>
        <v/>
      </c>
      <c r="AC476" s="33">
        <f t="shared" si="21"/>
        <v>1048540</v>
      </c>
      <c r="AD476" s="33" t="str">
        <f t="shared" si="23"/>
        <v/>
      </c>
      <c r="AE476" s="33" t="str" cm="1">
        <f t="array" ref="AE476">LOOKUP(2,1/($AB$2:$AB$1000=AB476),$AD$2:$AD$1000)</f>
        <v/>
      </c>
      <c r="AM476" s="39" t="str" cm="1">
        <f t="array" ref="AM476">IFERROR(IF(LOOKUP(2,1/($AA$2:$AA$1000=AK476),$AD$2:$AD$1000)=0,"",
LOOKUP(2,1/($AA$2:$AA$1000=AK476),$AD$2:$AD$1000)),"")</f>
        <v/>
      </c>
      <c r="AO476" s="33" t="str" cm="1">
        <f t="array" ref="AO476">IFERROR(INDEX($AA$2:$AA$282,MATCH(0,COUNTIF('Paste Here'!$AK$1:AK475,$AA$2:$AA$282),0)),"")</f>
        <v/>
      </c>
      <c r="AP476" s="33" t="str">
        <f>IF(COUNTIF('Paste Here'!$AK$2:AK476,'Paste Here'!AK476)=1,VALUE('Paste Here'!AK476),"")</f>
        <v/>
      </c>
    </row>
    <row r="477" spans="1:42" x14ac:dyDescent="0.3">
      <c r="A477"/>
      <c r="B477"/>
      <c r="C477"/>
      <c r="D477" s="4"/>
      <c r="E477"/>
      <c r="F477"/>
      <c r="G477"/>
      <c r="H477"/>
      <c r="AA477" s="33" t="str">
        <f t="shared" si="22"/>
        <v/>
      </c>
      <c r="AC477" s="33">
        <f t="shared" si="21"/>
        <v>1048540</v>
      </c>
      <c r="AD477" s="33" t="str">
        <f t="shared" si="23"/>
        <v/>
      </c>
      <c r="AE477" s="33" t="str" cm="1">
        <f t="array" ref="AE477">LOOKUP(2,1/($AB$2:$AB$1000=AB477),$AD$2:$AD$1000)</f>
        <v/>
      </c>
      <c r="AM477" s="39" t="str" cm="1">
        <f t="array" ref="AM477">IFERROR(IF(LOOKUP(2,1/($AA$2:$AA$1000=AK477),$AD$2:$AD$1000)=0,"",
LOOKUP(2,1/($AA$2:$AA$1000=AK477),$AD$2:$AD$1000)),"")</f>
        <v/>
      </c>
      <c r="AO477" s="33" t="str" cm="1">
        <f t="array" ref="AO477">IFERROR(INDEX($AA$2:$AA$282,MATCH(0,COUNTIF('Paste Here'!$AK$1:AK476,$AA$2:$AA$282),0)),"")</f>
        <v/>
      </c>
      <c r="AP477" s="33" t="str">
        <f>IF(COUNTIF('Paste Here'!$AK$2:AK477,'Paste Here'!AK477)=1,VALUE('Paste Here'!AK477),"")</f>
        <v/>
      </c>
    </row>
    <row r="478" spans="1:42" x14ac:dyDescent="0.3">
      <c r="A478"/>
      <c r="B478"/>
      <c r="C478"/>
      <c r="D478" s="4"/>
      <c r="E478"/>
      <c r="F478"/>
      <c r="G478"/>
      <c r="H478"/>
      <c r="AA478" s="33" t="str">
        <f t="shared" si="22"/>
        <v/>
      </c>
      <c r="AC478" s="33">
        <f t="shared" si="21"/>
        <v>1048540</v>
      </c>
      <c r="AD478" s="33" t="str">
        <f t="shared" si="23"/>
        <v/>
      </c>
      <c r="AE478" s="33" t="str" cm="1">
        <f t="array" ref="AE478">LOOKUP(2,1/($AB$2:$AB$1000=AB478),$AD$2:$AD$1000)</f>
        <v/>
      </c>
      <c r="AM478" s="39" t="str" cm="1">
        <f t="array" ref="AM478">IFERROR(IF(LOOKUP(2,1/($AA$2:$AA$1000=AK478),$AD$2:$AD$1000)=0,"",
LOOKUP(2,1/($AA$2:$AA$1000=AK478),$AD$2:$AD$1000)),"")</f>
        <v/>
      </c>
      <c r="AO478" s="33" t="str" cm="1">
        <f t="array" ref="AO478">IFERROR(INDEX($AA$2:$AA$282,MATCH(0,COUNTIF('Paste Here'!$AK$1:AK477,$AA$2:$AA$282),0)),"")</f>
        <v/>
      </c>
      <c r="AP478" s="33" t="str">
        <f>IF(COUNTIF('Paste Here'!$AK$2:AK478,'Paste Here'!AK478)=1,VALUE('Paste Here'!AK478),"")</f>
        <v/>
      </c>
    </row>
    <row r="479" spans="1:42" x14ac:dyDescent="0.3">
      <c r="A479"/>
      <c r="B479"/>
      <c r="C479"/>
      <c r="D479" s="4"/>
      <c r="E479"/>
      <c r="F479"/>
      <c r="G479"/>
      <c r="H479"/>
      <c r="AA479" s="33" t="str">
        <f t="shared" si="22"/>
        <v/>
      </c>
      <c r="AC479" s="33">
        <f t="shared" si="21"/>
        <v>1048540</v>
      </c>
      <c r="AD479" s="33" t="str">
        <f t="shared" si="23"/>
        <v/>
      </c>
      <c r="AE479" s="33" t="str" cm="1">
        <f t="array" ref="AE479">LOOKUP(2,1/($AB$2:$AB$1000=AB479),$AD$2:$AD$1000)</f>
        <v/>
      </c>
      <c r="AM479" s="39" t="str" cm="1">
        <f t="array" ref="AM479">IFERROR(IF(LOOKUP(2,1/($AA$2:$AA$1000=AK479),$AD$2:$AD$1000)=0,"",
LOOKUP(2,1/($AA$2:$AA$1000=AK479),$AD$2:$AD$1000)),"")</f>
        <v/>
      </c>
      <c r="AO479" s="33" t="str" cm="1">
        <f t="array" ref="AO479">IFERROR(INDEX($AA$2:$AA$282,MATCH(0,COUNTIF('Paste Here'!$AK$1:AK478,$AA$2:$AA$282),0)),"")</f>
        <v/>
      </c>
      <c r="AP479" s="33" t="str">
        <f>IF(COUNTIF('Paste Here'!$AK$2:AK479,'Paste Here'!AK479)=1,VALUE('Paste Here'!AK479),"")</f>
        <v/>
      </c>
    </row>
    <row r="480" spans="1:42" x14ac:dyDescent="0.3">
      <c r="A480"/>
      <c r="B480"/>
      <c r="C480"/>
      <c r="D480" s="4"/>
      <c r="E480"/>
      <c r="F480"/>
      <c r="G480"/>
      <c r="H480"/>
      <c r="AA480" s="33" t="str">
        <f t="shared" si="22"/>
        <v/>
      </c>
      <c r="AC480" s="33">
        <f t="shared" si="21"/>
        <v>1048540</v>
      </c>
      <c r="AD480" s="33" t="str">
        <f t="shared" si="23"/>
        <v/>
      </c>
      <c r="AE480" s="33" t="str" cm="1">
        <f t="array" ref="AE480">LOOKUP(2,1/($AB$2:$AB$1000=AB480),$AD$2:$AD$1000)</f>
        <v/>
      </c>
      <c r="AM480" s="39" t="str" cm="1">
        <f t="array" ref="AM480">IFERROR(IF(LOOKUP(2,1/($AA$2:$AA$1000=AK480),$AD$2:$AD$1000)=0,"",
LOOKUP(2,1/($AA$2:$AA$1000=AK480),$AD$2:$AD$1000)),"")</f>
        <v/>
      </c>
      <c r="AO480" s="33" t="str" cm="1">
        <f t="array" ref="AO480">IFERROR(INDEX($AA$2:$AA$282,MATCH(0,COUNTIF('Paste Here'!$AK$1:AK479,$AA$2:$AA$282),0)),"")</f>
        <v/>
      </c>
      <c r="AP480" s="33" t="str">
        <f>IF(COUNTIF('Paste Here'!$AK$2:AK480,'Paste Here'!AK480)=1,VALUE('Paste Here'!AK480),"")</f>
        <v/>
      </c>
    </row>
    <row r="481" spans="1:42" x14ac:dyDescent="0.3">
      <c r="A481"/>
      <c r="B481"/>
      <c r="C481"/>
      <c r="D481" s="4"/>
      <c r="E481"/>
      <c r="F481"/>
      <c r="G481"/>
      <c r="H481"/>
      <c r="AA481" s="33" t="str">
        <f t="shared" si="22"/>
        <v/>
      </c>
      <c r="AC481" s="33">
        <f t="shared" si="21"/>
        <v>1048540</v>
      </c>
      <c r="AD481" s="33" t="str">
        <f t="shared" si="23"/>
        <v/>
      </c>
      <c r="AE481" s="33" t="str" cm="1">
        <f t="array" ref="AE481">LOOKUP(2,1/($AB$2:$AB$1000=AB481),$AD$2:$AD$1000)</f>
        <v/>
      </c>
      <c r="AM481" s="39" t="str" cm="1">
        <f t="array" ref="AM481">IFERROR(IF(LOOKUP(2,1/($AA$2:$AA$1000=AK481),$AD$2:$AD$1000)=0,"",
LOOKUP(2,1/($AA$2:$AA$1000=AK481),$AD$2:$AD$1000)),"")</f>
        <v/>
      </c>
      <c r="AO481" s="33" t="str" cm="1">
        <f t="array" ref="AO481">IFERROR(INDEX($AA$2:$AA$282,MATCH(0,COUNTIF('Paste Here'!$AK$1:AK480,$AA$2:$AA$282),0)),"")</f>
        <v/>
      </c>
      <c r="AP481" s="33" t="str">
        <f>IF(COUNTIF('Paste Here'!$AK$2:AK481,'Paste Here'!AK481)=1,VALUE('Paste Here'!AK481),"")</f>
        <v/>
      </c>
    </row>
    <row r="482" spans="1:42" x14ac:dyDescent="0.3">
      <c r="A482" s="2"/>
      <c r="B482" s="2"/>
      <c r="C482" s="2"/>
      <c r="D482" s="3"/>
      <c r="E482" s="2"/>
      <c r="F482" s="2"/>
      <c r="G482" s="2"/>
      <c r="H482" s="2"/>
      <c r="AA482" s="33" t="str">
        <f t="shared" si="22"/>
        <v/>
      </c>
      <c r="AC482" s="33">
        <f t="shared" si="21"/>
        <v>1048540</v>
      </c>
      <c r="AD482" s="33" t="str">
        <f t="shared" si="23"/>
        <v/>
      </c>
      <c r="AE482" s="33" t="str" cm="1">
        <f t="array" ref="AE482">LOOKUP(2,1/($AB$2:$AB$1000=AB482),$AD$2:$AD$1000)</f>
        <v/>
      </c>
      <c r="AM482" s="39" t="str" cm="1">
        <f t="array" ref="AM482">IFERROR(IF(LOOKUP(2,1/($AA$2:$AA$1000=AK482),$AD$2:$AD$1000)=0,"",
LOOKUP(2,1/($AA$2:$AA$1000=AK482),$AD$2:$AD$1000)),"")</f>
        <v/>
      </c>
      <c r="AO482" s="33" t="str" cm="1">
        <f t="array" ref="AO482">IFERROR(INDEX($AA$2:$AA$282,MATCH(0,COUNTIF('Paste Here'!$AK$1:AK481,$AA$2:$AA$282),0)),"")</f>
        <v/>
      </c>
      <c r="AP482" s="33" t="str">
        <f>IF(COUNTIF('Paste Here'!$AK$2:AK482,'Paste Here'!AK482)=1,VALUE('Paste Here'!AK482),"")</f>
        <v/>
      </c>
    </row>
    <row r="483" spans="1:42" x14ac:dyDescent="0.3">
      <c r="A483" s="2"/>
      <c r="B483" s="2"/>
      <c r="C483" s="2"/>
      <c r="D483" s="3"/>
      <c r="E483" s="2"/>
      <c r="F483" s="2"/>
      <c r="G483" s="2"/>
      <c r="H483" s="2"/>
      <c r="AA483" s="33" t="str">
        <f t="shared" si="22"/>
        <v/>
      </c>
      <c r="AC483" s="33">
        <f t="shared" si="21"/>
        <v>1048540</v>
      </c>
      <c r="AD483" s="33" t="str">
        <f t="shared" si="23"/>
        <v/>
      </c>
      <c r="AE483" s="33" t="str" cm="1">
        <f t="array" ref="AE483">LOOKUP(2,1/($AB$2:$AB$1000=AB483),$AD$2:$AD$1000)</f>
        <v/>
      </c>
      <c r="AM483" s="39" t="str" cm="1">
        <f t="array" ref="AM483">IFERROR(IF(LOOKUP(2,1/($AA$2:$AA$1000=AK483),$AD$2:$AD$1000)=0,"",
LOOKUP(2,1/($AA$2:$AA$1000=AK483),$AD$2:$AD$1000)),"")</f>
        <v/>
      </c>
      <c r="AO483" s="33" t="str" cm="1">
        <f t="array" ref="AO483">IFERROR(INDEX($AA$2:$AA$282,MATCH(0,COUNTIF('Paste Here'!$AK$1:AK482,$AA$2:$AA$282),0)),"")</f>
        <v/>
      </c>
      <c r="AP483" s="33" t="str">
        <f>IF(COUNTIF('Paste Here'!$AK$2:AK483,'Paste Here'!AK483)=1,VALUE('Paste Here'!AK483),"")</f>
        <v/>
      </c>
    </row>
    <row r="484" spans="1:42" x14ac:dyDescent="0.3">
      <c r="A484" s="2"/>
      <c r="B484" s="2"/>
      <c r="C484" s="2"/>
      <c r="D484" s="3"/>
      <c r="E484" s="2"/>
      <c r="F484" s="2"/>
      <c r="G484" s="2"/>
      <c r="H484" s="2"/>
      <c r="AA484" s="33" t="str">
        <f t="shared" si="22"/>
        <v/>
      </c>
      <c r="AC484" s="33">
        <f t="shared" si="21"/>
        <v>1048540</v>
      </c>
      <c r="AD484" s="33" t="str">
        <f t="shared" si="23"/>
        <v/>
      </c>
      <c r="AE484" s="33" t="str" cm="1">
        <f t="array" ref="AE484">LOOKUP(2,1/($AB$2:$AB$1000=AB484),$AD$2:$AD$1000)</f>
        <v/>
      </c>
      <c r="AM484" s="39" t="str" cm="1">
        <f t="array" ref="AM484">IFERROR(IF(LOOKUP(2,1/($AA$2:$AA$1000=AK484),$AD$2:$AD$1000)=0,"",
LOOKUP(2,1/($AA$2:$AA$1000=AK484),$AD$2:$AD$1000)),"")</f>
        <v/>
      </c>
      <c r="AO484" s="33" t="str" cm="1">
        <f t="array" ref="AO484">IFERROR(INDEX($AA$2:$AA$282,MATCH(0,COUNTIF('Paste Here'!$AK$1:AK483,$AA$2:$AA$282),0)),"")</f>
        <v/>
      </c>
      <c r="AP484" s="33" t="str">
        <f>IF(COUNTIF('Paste Here'!$AK$2:AK484,'Paste Here'!AK484)=1,VALUE('Paste Here'!AK484),"")</f>
        <v/>
      </c>
    </row>
    <row r="485" spans="1:42" x14ac:dyDescent="0.3">
      <c r="A485" s="2"/>
      <c r="B485" s="2"/>
      <c r="C485" s="2"/>
      <c r="D485" s="3"/>
      <c r="E485" s="2"/>
      <c r="F485" s="2"/>
      <c r="G485" s="2"/>
      <c r="H485" s="2"/>
      <c r="AA485" s="33" t="str">
        <f t="shared" si="22"/>
        <v/>
      </c>
      <c r="AC485" s="33">
        <f t="shared" si="21"/>
        <v>1048540</v>
      </c>
      <c r="AD485" s="33" t="str">
        <f t="shared" si="23"/>
        <v/>
      </c>
      <c r="AE485" s="33" t="str" cm="1">
        <f t="array" ref="AE485">LOOKUP(2,1/($AB$2:$AB$1000=AB485),$AD$2:$AD$1000)</f>
        <v/>
      </c>
      <c r="AM485" s="39" t="str" cm="1">
        <f t="array" ref="AM485">IFERROR(IF(LOOKUP(2,1/($AA$2:$AA$1000=AK485),$AD$2:$AD$1000)=0,"",
LOOKUP(2,1/($AA$2:$AA$1000=AK485),$AD$2:$AD$1000)),"")</f>
        <v/>
      </c>
      <c r="AO485" s="33" t="str" cm="1">
        <f t="array" ref="AO485">IFERROR(INDEX($AA$2:$AA$282,MATCH(0,COUNTIF('Paste Here'!$AK$1:AK484,$AA$2:$AA$282),0)),"")</f>
        <v/>
      </c>
      <c r="AP485" s="33" t="str">
        <f>IF(COUNTIF('Paste Here'!$AK$2:AK485,'Paste Here'!AK485)=1,VALUE('Paste Here'!AK485),"")</f>
        <v/>
      </c>
    </row>
    <row r="486" spans="1:42" x14ac:dyDescent="0.3">
      <c r="A486" s="2"/>
      <c r="B486" s="2"/>
      <c r="C486" s="2"/>
      <c r="D486" s="3"/>
      <c r="E486" s="2"/>
      <c r="F486" s="2"/>
      <c r="G486" s="2"/>
      <c r="H486" s="2"/>
      <c r="AA486" s="33" t="str">
        <f t="shared" si="22"/>
        <v/>
      </c>
      <c r="AC486" s="33">
        <f t="shared" si="21"/>
        <v>1048540</v>
      </c>
      <c r="AD486" s="33" t="str">
        <f t="shared" si="23"/>
        <v/>
      </c>
      <c r="AE486" s="33" t="str" cm="1">
        <f t="array" ref="AE486">LOOKUP(2,1/($AB$2:$AB$1000=AB486),$AD$2:$AD$1000)</f>
        <v/>
      </c>
      <c r="AM486" s="39" t="str" cm="1">
        <f t="array" ref="AM486">IFERROR(IF(LOOKUP(2,1/($AA$2:$AA$1000=AK486),$AD$2:$AD$1000)=0,"",
LOOKUP(2,1/($AA$2:$AA$1000=AK486),$AD$2:$AD$1000)),"")</f>
        <v/>
      </c>
      <c r="AO486" s="33" t="str" cm="1">
        <f t="array" ref="AO486">IFERROR(INDEX($AA$2:$AA$282,MATCH(0,COUNTIF('Paste Here'!$AK$1:AK485,$AA$2:$AA$282),0)),"")</f>
        <v/>
      </c>
      <c r="AP486" s="33" t="str">
        <f>IF(COUNTIF('Paste Here'!$AK$2:AK486,'Paste Here'!AK486)=1,VALUE('Paste Here'!AK486),"")</f>
        <v/>
      </c>
    </row>
    <row r="487" spans="1:42" x14ac:dyDescent="0.3">
      <c r="A487" s="2"/>
      <c r="B487" s="2"/>
      <c r="C487" s="2"/>
      <c r="D487" s="3"/>
      <c r="E487" s="2"/>
      <c r="F487" s="2"/>
      <c r="G487" s="2"/>
      <c r="H487" s="2"/>
      <c r="AA487" s="33" t="str">
        <f t="shared" si="22"/>
        <v/>
      </c>
      <c r="AC487" s="33">
        <f t="shared" si="21"/>
        <v>1048540</v>
      </c>
      <c r="AD487" s="33" t="str">
        <f t="shared" si="23"/>
        <v/>
      </c>
      <c r="AE487" s="33" t="str" cm="1">
        <f t="array" ref="AE487">LOOKUP(2,1/($AB$2:$AB$1000=AB487),$AD$2:$AD$1000)</f>
        <v/>
      </c>
      <c r="AM487" s="39" t="str" cm="1">
        <f t="array" ref="AM487">IFERROR(IF(LOOKUP(2,1/($AA$2:$AA$1000=AK487),$AD$2:$AD$1000)=0,"",
LOOKUP(2,1/($AA$2:$AA$1000=AK487),$AD$2:$AD$1000)),"")</f>
        <v/>
      </c>
      <c r="AO487" s="33" t="str" cm="1">
        <f t="array" ref="AO487">IFERROR(INDEX($AA$2:$AA$282,MATCH(0,COUNTIF('Paste Here'!$AK$1:AK486,$AA$2:$AA$282),0)),"")</f>
        <v/>
      </c>
      <c r="AP487" s="33" t="str">
        <f>IF(COUNTIF('Paste Here'!$AK$2:AK487,'Paste Here'!AK487)=1,VALUE('Paste Here'!AK487),"")</f>
        <v/>
      </c>
    </row>
    <row r="488" spans="1:42" x14ac:dyDescent="0.3">
      <c r="A488" s="2"/>
      <c r="B488" s="2"/>
      <c r="C488" s="2"/>
      <c r="D488" s="3"/>
      <c r="E488" s="2"/>
      <c r="F488" s="2"/>
      <c r="G488" s="2"/>
      <c r="H488" s="2"/>
      <c r="AA488" s="33" t="str">
        <f t="shared" si="22"/>
        <v/>
      </c>
      <c r="AC488" s="33">
        <f t="shared" si="21"/>
        <v>1048540</v>
      </c>
      <c r="AD488" s="33" t="str">
        <f t="shared" si="23"/>
        <v/>
      </c>
      <c r="AE488" s="33" t="str" cm="1">
        <f t="array" ref="AE488">LOOKUP(2,1/($AB$2:$AB$1000=AB488),$AD$2:$AD$1000)</f>
        <v/>
      </c>
      <c r="AM488" s="39" t="str" cm="1">
        <f t="array" ref="AM488">IFERROR(IF(LOOKUP(2,1/($AA$2:$AA$1000=AK488),$AD$2:$AD$1000)=0,"",
LOOKUP(2,1/($AA$2:$AA$1000=AK488),$AD$2:$AD$1000)),"")</f>
        <v/>
      </c>
      <c r="AO488" s="33" t="str" cm="1">
        <f t="array" ref="AO488">IFERROR(INDEX($AA$2:$AA$282,MATCH(0,COUNTIF('Paste Here'!$AK$1:AK487,$AA$2:$AA$282),0)),"")</f>
        <v/>
      </c>
      <c r="AP488" s="33" t="str">
        <f>IF(COUNTIF('Paste Here'!$AK$2:AK488,'Paste Here'!AK488)=1,VALUE('Paste Here'!AK488),"")</f>
        <v/>
      </c>
    </row>
    <row r="489" spans="1:42" x14ac:dyDescent="0.3">
      <c r="A489" s="2"/>
      <c r="B489" s="2"/>
      <c r="C489" s="2"/>
      <c r="D489" s="3"/>
      <c r="E489" s="2"/>
      <c r="F489" s="2"/>
      <c r="G489" s="2"/>
      <c r="H489" s="2"/>
      <c r="AA489" s="33" t="str">
        <f t="shared" si="22"/>
        <v/>
      </c>
      <c r="AC489" s="33">
        <f t="shared" si="21"/>
        <v>1048540</v>
      </c>
      <c r="AD489" s="33" t="str">
        <f t="shared" si="23"/>
        <v/>
      </c>
      <c r="AE489" s="33" t="str" cm="1">
        <f t="array" ref="AE489">LOOKUP(2,1/($AB$2:$AB$1000=AB489),$AD$2:$AD$1000)</f>
        <v/>
      </c>
      <c r="AM489" s="39" t="str" cm="1">
        <f t="array" ref="AM489">IFERROR(IF(LOOKUP(2,1/($AA$2:$AA$1000=AK489),$AD$2:$AD$1000)=0,"",
LOOKUP(2,1/($AA$2:$AA$1000=AK489),$AD$2:$AD$1000)),"")</f>
        <v/>
      </c>
      <c r="AO489" s="33" t="str" cm="1">
        <f t="array" ref="AO489">IFERROR(INDEX($AA$2:$AA$282,MATCH(0,COUNTIF('Paste Here'!$AK$1:AK488,$AA$2:$AA$282),0)),"")</f>
        <v/>
      </c>
      <c r="AP489" s="33" t="str">
        <f>IF(COUNTIF('Paste Here'!$AK$2:AK489,'Paste Here'!AK489)=1,VALUE('Paste Here'!AK489),"")</f>
        <v/>
      </c>
    </row>
    <row r="490" spans="1:42" x14ac:dyDescent="0.3">
      <c r="A490" s="2"/>
      <c r="B490" s="2"/>
      <c r="C490" s="2"/>
      <c r="D490" s="3"/>
      <c r="E490" s="2"/>
      <c r="F490" s="2"/>
      <c r="G490" s="2"/>
      <c r="H490" s="2"/>
      <c r="AA490" s="33" t="str">
        <f t="shared" si="22"/>
        <v/>
      </c>
      <c r="AC490" s="33">
        <f t="shared" si="21"/>
        <v>1048540</v>
      </c>
      <c r="AD490" s="33" t="str">
        <f t="shared" si="23"/>
        <v/>
      </c>
      <c r="AE490" s="33" t="str" cm="1">
        <f t="array" ref="AE490">LOOKUP(2,1/($AB$2:$AB$1000=AB490),$AD$2:$AD$1000)</f>
        <v/>
      </c>
      <c r="AM490" s="39" t="str" cm="1">
        <f t="array" ref="AM490">IFERROR(IF(LOOKUP(2,1/($AA$2:$AA$1000=AK490),$AD$2:$AD$1000)=0,"",
LOOKUP(2,1/($AA$2:$AA$1000=AK490),$AD$2:$AD$1000)),"")</f>
        <v/>
      </c>
      <c r="AO490" s="33" t="str" cm="1">
        <f t="array" ref="AO490">IFERROR(INDEX($AA$2:$AA$282,MATCH(0,COUNTIF('Paste Here'!$AK$1:AK489,$AA$2:$AA$282),0)),"")</f>
        <v/>
      </c>
      <c r="AP490" s="33" t="str">
        <f>IF(COUNTIF('Paste Here'!$AK$2:AK490,'Paste Here'!AK490)=1,VALUE('Paste Here'!AK490),"")</f>
        <v/>
      </c>
    </row>
    <row r="491" spans="1:42" x14ac:dyDescent="0.3">
      <c r="A491" s="2"/>
      <c r="B491" s="2"/>
      <c r="C491" s="2"/>
      <c r="D491" s="3"/>
      <c r="E491" s="2"/>
      <c r="F491" s="2"/>
      <c r="G491" s="2"/>
      <c r="H491" s="2"/>
      <c r="AA491" s="33" t="str">
        <f t="shared" si="22"/>
        <v/>
      </c>
      <c r="AC491" s="33">
        <f t="shared" si="21"/>
        <v>1048540</v>
      </c>
      <c r="AD491" s="33" t="str">
        <f t="shared" si="23"/>
        <v/>
      </c>
      <c r="AE491" s="33" t="str" cm="1">
        <f t="array" ref="AE491">LOOKUP(2,1/($AB$2:$AB$1000=AB491),$AD$2:$AD$1000)</f>
        <v/>
      </c>
      <c r="AM491" s="39" t="str" cm="1">
        <f t="array" ref="AM491">IFERROR(IF(LOOKUP(2,1/($AA$2:$AA$1000=AK491),$AD$2:$AD$1000)=0,"",
LOOKUP(2,1/($AA$2:$AA$1000=AK491),$AD$2:$AD$1000)),"")</f>
        <v/>
      </c>
      <c r="AO491" s="33" t="str" cm="1">
        <f t="array" ref="AO491">IFERROR(INDEX($AA$2:$AA$282,MATCH(0,COUNTIF('Paste Here'!$AK$1:AK490,$AA$2:$AA$282),0)),"")</f>
        <v/>
      </c>
      <c r="AP491" s="33" t="str">
        <f>IF(COUNTIF('Paste Here'!$AK$2:AK491,'Paste Here'!AK491)=1,VALUE('Paste Here'!AK491),"")</f>
        <v/>
      </c>
    </row>
    <row r="492" spans="1:42" x14ac:dyDescent="0.3">
      <c r="A492" s="2"/>
      <c r="B492" s="2"/>
      <c r="C492" s="2"/>
      <c r="D492" s="3"/>
      <c r="E492" s="2"/>
      <c r="F492" s="2"/>
      <c r="G492" s="2"/>
      <c r="H492" s="2"/>
      <c r="AA492" s="33" t="str">
        <f t="shared" si="22"/>
        <v/>
      </c>
      <c r="AC492" s="33">
        <f t="shared" si="21"/>
        <v>1048540</v>
      </c>
      <c r="AD492" s="33" t="str">
        <f t="shared" si="23"/>
        <v/>
      </c>
      <c r="AE492" s="33" t="str" cm="1">
        <f t="array" ref="AE492">LOOKUP(2,1/($AB$2:$AB$1000=AB492),$AD$2:$AD$1000)</f>
        <v/>
      </c>
      <c r="AM492" s="39" t="str" cm="1">
        <f t="array" ref="AM492">IFERROR(IF(LOOKUP(2,1/($AA$2:$AA$1000=AK492),$AD$2:$AD$1000)=0,"",
LOOKUP(2,1/($AA$2:$AA$1000=AK492),$AD$2:$AD$1000)),"")</f>
        <v/>
      </c>
      <c r="AO492" s="33" t="str" cm="1">
        <f t="array" ref="AO492">IFERROR(INDEX($AA$2:$AA$282,MATCH(0,COUNTIF('Paste Here'!$AK$1:AK491,$AA$2:$AA$282),0)),"")</f>
        <v/>
      </c>
      <c r="AP492" s="33" t="str">
        <f>IF(COUNTIF('Paste Here'!$AK$2:AK492,'Paste Here'!AK492)=1,VALUE('Paste Here'!AK492),"")</f>
        <v/>
      </c>
    </row>
    <row r="493" spans="1:42" x14ac:dyDescent="0.3">
      <c r="A493" s="2"/>
      <c r="B493" s="2"/>
      <c r="C493" s="2"/>
      <c r="D493" s="3"/>
      <c r="E493" s="2"/>
      <c r="F493" s="2"/>
      <c r="G493" s="2"/>
      <c r="H493" s="2"/>
      <c r="AA493" s="33" t="str">
        <f t="shared" si="22"/>
        <v/>
      </c>
      <c r="AC493" s="33">
        <f t="shared" si="21"/>
        <v>1048540</v>
      </c>
      <c r="AD493" s="33" t="str">
        <f t="shared" si="23"/>
        <v/>
      </c>
      <c r="AE493" s="33" t="str" cm="1">
        <f t="array" ref="AE493">LOOKUP(2,1/($AB$2:$AB$1000=AB493),$AD$2:$AD$1000)</f>
        <v/>
      </c>
      <c r="AM493" s="39" t="str" cm="1">
        <f t="array" ref="AM493">IFERROR(IF(LOOKUP(2,1/($AA$2:$AA$1000=AK493),$AD$2:$AD$1000)=0,"",
LOOKUP(2,1/($AA$2:$AA$1000=AK493),$AD$2:$AD$1000)),"")</f>
        <v/>
      </c>
      <c r="AO493" s="33" t="str" cm="1">
        <f t="array" ref="AO493">IFERROR(INDEX($AA$2:$AA$282,MATCH(0,COUNTIF('Paste Here'!$AK$1:AK492,$AA$2:$AA$282),0)),"")</f>
        <v/>
      </c>
      <c r="AP493" s="33" t="str">
        <f>IF(COUNTIF('Paste Here'!$AK$2:AK493,'Paste Here'!AK493)=1,VALUE('Paste Here'!AK493),"")</f>
        <v/>
      </c>
    </row>
    <row r="494" spans="1:42" x14ac:dyDescent="0.3">
      <c r="A494" s="2"/>
      <c r="B494" s="2"/>
      <c r="C494" s="2"/>
      <c r="D494" s="3"/>
      <c r="E494" s="2"/>
      <c r="F494" s="2"/>
      <c r="G494" s="2"/>
      <c r="H494" s="2"/>
      <c r="AA494" s="33" t="str">
        <f t="shared" si="22"/>
        <v/>
      </c>
      <c r="AC494" s="33">
        <f t="shared" si="21"/>
        <v>1048540</v>
      </c>
      <c r="AD494" s="33" t="str">
        <f t="shared" si="23"/>
        <v/>
      </c>
      <c r="AE494" s="33" t="str" cm="1">
        <f t="array" ref="AE494">LOOKUP(2,1/($AB$2:$AB$1000=AB494),$AD$2:$AD$1000)</f>
        <v/>
      </c>
      <c r="AM494" s="39" t="str" cm="1">
        <f t="array" ref="AM494">IFERROR(IF(LOOKUP(2,1/($AA$2:$AA$1000=AK494),$AD$2:$AD$1000)=0,"",
LOOKUP(2,1/($AA$2:$AA$1000=AK494),$AD$2:$AD$1000)),"")</f>
        <v/>
      </c>
      <c r="AO494" s="33" t="str" cm="1">
        <f t="array" ref="AO494">IFERROR(INDEX($AA$2:$AA$282,MATCH(0,COUNTIF('Paste Here'!$AK$1:AK493,$AA$2:$AA$282),0)),"")</f>
        <v/>
      </c>
      <c r="AP494" s="33" t="str">
        <f>IF(COUNTIF('Paste Here'!$AK$2:AK494,'Paste Here'!AK494)=1,VALUE('Paste Here'!AK494),"")</f>
        <v/>
      </c>
    </row>
    <row r="495" spans="1:42" x14ac:dyDescent="0.3">
      <c r="A495" s="2"/>
      <c r="B495" s="2"/>
      <c r="C495" s="2"/>
      <c r="D495" s="3"/>
      <c r="E495" s="2"/>
      <c r="F495" s="2"/>
      <c r="G495" s="2"/>
      <c r="H495" s="2"/>
      <c r="AA495" s="33" t="str">
        <f t="shared" si="22"/>
        <v/>
      </c>
      <c r="AC495" s="33">
        <f t="shared" si="21"/>
        <v>1048540</v>
      </c>
      <c r="AD495" s="33" t="str">
        <f t="shared" si="23"/>
        <v/>
      </c>
      <c r="AE495" s="33" t="str" cm="1">
        <f t="array" ref="AE495">LOOKUP(2,1/($AB$2:$AB$1000=AB495),$AD$2:$AD$1000)</f>
        <v/>
      </c>
      <c r="AM495" s="39" t="str" cm="1">
        <f t="array" ref="AM495">IFERROR(IF(LOOKUP(2,1/($AA$2:$AA$1000=AK495),$AD$2:$AD$1000)=0,"",
LOOKUP(2,1/($AA$2:$AA$1000=AK495),$AD$2:$AD$1000)),"")</f>
        <v/>
      </c>
      <c r="AO495" s="33" t="str" cm="1">
        <f t="array" ref="AO495">IFERROR(INDEX($AA$2:$AA$282,MATCH(0,COUNTIF('Paste Here'!$AK$1:AK494,$AA$2:$AA$282),0)),"")</f>
        <v/>
      </c>
      <c r="AP495" s="33" t="str">
        <f>IF(COUNTIF('Paste Here'!$AK$2:AK495,'Paste Here'!AK495)=1,VALUE('Paste Here'!AK495),"")</f>
        <v/>
      </c>
    </row>
    <row r="496" spans="1:42" x14ac:dyDescent="0.3">
      <c r="A496" s="2"/>
      <c r="B496" s="2"/>
      <c r="C496" s="2"/>
      <c r="D496" s="3"/>
      <c r="E496" s="2"/>
      <c r="F496" s="2"/>
      <c r="G496" s="2"/>
      <c r="H496" s="2"/>
      <c r="AA496" s="33" t="str">
        <f t="shared" si="22"/>
        <v/>
      </c>
      <c r="AC496" s="33">
        <f t="shared" si="21"/>
        <v>1048540</v>
      </c>
      <c r="AD496" s="33" t="str">
        <f t="shared" si="23"/>
        <v/>
      </c>
      <c r="AE496" s="33" t="str" cm="1">
        <f t="array" ref="AE496">LOOKUP(2,1/($AB$2:$AB$1000=AB496),$AD$2:$AD$1000)</f>
        <v/>
      </c>
      <c r="AM496" s="39" t="str" cm="1">
        <f t="array" ref="AM496">IFERROR(IF(LOOKUP(2,1/($AA$2:$AA$1000=AK496),$AD$2:$AD$1000)=0,"",
LOOKUP(2,1/($AA$2:$AA$1000=AK496),$AD$2:$AD$1000)),"")</f>
        <v/>
      </c>
      <c r="AO496" s="33" t="str" cm="1">
        <f t="array" ref="AO496">IFERROR(INDEX($AA$2:$AA$282,MATCH(0,COUNTIF('Paste Here'!$AK$1:AK495,$AA$2:$AA$282),0)),"")</f>
        <v/>
      </c>
      <c r="AP496" s="33" t="str">
        <f>IF(COUNTIF('Paste Here'!$AK$2:AK496,'Paste Here'!AK496)=1,VALUE('Paste Here'!AK496),"")</f>
        <v/>
      </c>
    </row>
    <row r="497" spans="1:42" x14ac:dyDescent="0.3">
      <c r="A497" s="2"/>
      <c r="B497" s="2"/>
      <c r="C497" s="2"/>
      <c r="D497" s="3"/>
      <c r="E497" s="2"/>
      <c r="F497" s="2"/>
      <c r="G497" s="2"/>
      <c r="H497" s="2"/>
      <c r="AA497" s="33" t="str">
        <f t="shared" si="22"/>
        <v/>
      </c>
      <c r="AC497" s="33">
        <f t="shared" si="21"/>
        <v>1048540</v>
      </c>
      <c r="AD497" s="33" t="str">
        <f t="shared" si="23"/>
        <v/>
      </c>
      <c r="AE497" s="33" t="str" cm="1">
        <f t="array" ref="AE497">LOOKUP(2,1/($AB$2:$AB$1000=AB497),$AD$2:$AD$1000)</f>
        <v/>
      </c>
      <c r="AM497" s="39" t="str" cm="1">
        <f t="array" ref="AM497">IFERROR(IF(LOOKUP(2,1/($AA$2:$AA$1000=AK497),$AD$2:$AD$1000)=0,"",
LOOKUP(2,1/($AA$2:$AA$1000=AK497),$AD$2:$AD$1000)),"")</f>
        <v/>
      </c>
      <c r="AO497" s="33" t="str" cm="1">
        <f t="array" ref="AO497">IFERROR(INDEX($AA$2:$AA$282,MATCH(0,COUNTIF('Paste Here'!$AK$1:AK496,$AA$2:$AA$282),0)),"")</f>
        <v/>
      </c>
      <c r="AP497" s="33" t="str">
        <f>IF(COUNTIF('Paste Here'!$AK$2:AK497,'Paste Here'!AK497)=1,VALUE('Paste Here'!AK497),"")</f>
        <v/>
      </c>
    </row>
    <row r="498" spans="1:42" x14ac:dyDescent="0.3">
      <c r="A498" s="2"/>
      <c r="B498" s="2"/>
      <c r="C498" s="2"/>
      <c r="D498" s="3"/>
      <c r="E498" s="2"/>
      <c r="F498" s="2"/>
      <c r="G498" s="2"/>
      <c r="H498" s="2"/>
      <c r="AA498" s="33" t="str">
        <f t="shared" si="22"/>
        <v/>
      </c>
      <c r="AC498" s="33">
        <f t="shared" si="21"/>
        <v>1048540</v>
      </c>
      <c r="AD498" s="33" t="str">
        <f t="shared" si="23"/>
        <v/>
      </c>
      <c r="AE498" s="33" t="str" cm="1">
        <f t="array" ref="AE498">LOOKUP(2,1/($AB$2:$AB$1000=AB498),$AD$2:$AD$1000)</f>
        <v/>
      </c>
      <c r="AM498" s="39" t="str" cm="1">
        <f t="array" ref="AM498">IFERROR(IF(LOOKUP(2,1/($AA$2:$AA$1000=AK498),$AD$2:$AD$1000)=0,"",
LOOKUP(2,1/($AA$2:$AA$1000=AK498),$AD$2:$AD$1000)),"")</f>
        <v/>
      </c>
      <c r="AO498" s="33" t="str" cm="1">
        <f t="array" ref="AO498">IFERROR(INDEX($AA$2:$AA$282,MATCH(0,COUNTIF('Paste Here'!$AK$1:AK497,$AA$2:$AA$282),0)),"")</f>
        <v/>
      </c>
      <c r="AP498" s="33" t="str">
        <f>IF(COUNTIF('Paste Here'!$AK$2:AK498,'Paste Here'!AK498)=1,VALUE('Paste Here'!AK498),"")</f>
        <v/>
      </c>
    </row>
    <row r="499" spans="1:42" x14ac:dyDescent="0.3">
      <c r="A499" s="2"/>
      <c r="B499" s="2"/>
      <c r="C499" s="2"/>
      <c r="D499" s="3"/>
      <c r="E499" s="2"/>
      <c r="F499" s="2"/>
      <c r="G499" s="2"/>
      <c r="H499" s="2"/>
      <c r="AA499" s="33" t="str">
        <f t="shared" si="22"/>
        <v/>
      </c>
      <c r="AC499" s="33">
        <f t="shared" si="21"/>
        <v>1048540</v>
      </c>
      <c r="AD499" s="33" t="str">
        <f t="shared" si="23"/>
        <v/>
      </c>
      <c r="AE499" s="33" t="str" cm="1">
        <f t="array" ref="AE499">LOOKUP(2,1/($AB$2:$AB$1000=AB499),$AD$2:$AD$1000)</f>
        <v/>
      </c>
      <c r="AM499" s="39" t="str" cm="1">
        <f t="array" ref="AM499">IFERROR(IF(LOOKUP(2,1/($AA$2:$AA$1000=AK499),$AD$2:$AD$1000)=0,"",
LOOKUP(2,1/($AA$2:$AA$1000=AK499),$AD$2:$AD$1000)),"")</f>
        <v/>
      </c>
      <c r="AO499" s="33" t="str" cm="1">
        <f t="array" ref="AO499">IFERROR(INDEX($AA$2:$AA$282,MATCH(0,COUNTIF('Paste Here'!$AK$1:AK498,$AA$2:$AA$282),0)),"")</f>
        <v/>
      </c>
      <c r="AP499" s="33" t="str">
        <f>IF(COUNTIF('Paste Here'!$AK$2:AK499,'Paste Here'!AK499)=1,VALUE('Paste Here'!AK499),"")</f>
        <v/>
      </c>
    </row>
    <row r="500" spans="1:42" x14ac:dyDescent="0.3">
      <c r="A500" s="2"/>
      <c r="B500" s="2"/>
      <c r="C500" s="2"/>
      <c r="D500" s="3"/>
      <c r="E500" s="2"/>
      <c r="F500" s="2"/>
      <c r="G500" s="2"/>
      <c r="H500" s="2"/>
      <c r="AA500" s="33" t="str">
        <f t="shared" si="22"/>
        <v/>
      </c>
      <c r="AC500" s="33">
        <f t="shared" si="21"/>
        <v>1048540</v>
      </c>
      <c r="AD500" s="33" t="str">
        <f t="shared" si="23"/>
        <v/>
      </c>
      <c r="AE500" s="33" t="str" cm="1">
        <f t="array" ref="AE500">LOOKUP(2,1/($AB$2:$AB$1000=AB500),$AD$2:$AD$1000)</f>
        <v/>
      </c>
      <c r="AM500" s="39" t="str" cm="1">
        <f t="array" ref="AM500">IFERROR(IF(LOOKUP(2,1/($AA$2:$AA$1000=AK500),$AD$2:$AD$1000)=0,"",
LOOKUP(2,1/($AA$2:$AA$1000=AK500),$AD$2:$AD$1000)),"")</f>
        <v/>
      </c>
      <c r="AO500" s="33" t="str" cm="1">
        <f t="array" ref="AO500">IFERROR(INDEX($AA$2:$AA$282,MATCH(0,COUNTIF('Paste Here'!$AK$1:AK499,$AA$2:$AA$282),0)),"")</f>
        <v/>
      </c>
      <c r="AP500" s="33" t="str">
        <f>IF(COUNTIF('Paste Here'!$AK$2:AK500,'Paste Here'!AK500)=1,VALUE('Paste Here'!AK500),"")</f>
        <v/>
      </c>
    </row>
    <row r="501" spans="1:42" x14ac:dyDescent="0.3">
      <c r="A501" s="2"/>
      <c r="B501" s="2"/>
      <c r="C501" s="2"/>
      <c r="D501" s="3"/>
      <c r="E501" s="2"/>
      <c r="F501" s="2"/>
      <c r="G501" s="2"/>
      <c r="H501" s="2"/>
      <c r="AA501" s="33" t="str">
        <f t="shared" si="22"/>
        <v/>
      </c>
      <c r="AC501" s="33">
        <f t="shared" si="21"/>
        <v>1048540</v>
      </c>
      <c r="AD501" s="33" t="str">
        <f t="shared" si="23"/>
        <v/>
      </c>
      <c r="AE501" s="33" t="str" cm="1">
        <f t="array" ref="AE501">LOOKUP(2,1/($AB$2:$AB$1000=AB501),$AD$2:$AD$1000)</f>
        <v/>
      </c>
      <c r="AM501" s="39" t="str" cm="1">
        <f t="array" ref="AM501">IFERROR(IF(LOOKUP(2,1/($AA$2:$AA$1000=AK501),$AD$2:$AD$1000)=0,"",
LOOKUP(2,1/($AA$2:$AA$1000=AK501),$AD$2:$AD$1000)),"")</f>
        <v/>
      </c>
      <c r="AO501" s="33" t="str" cm="1">
        <f t="array" ref="AO501">IFERROR(INDEX($AA$2:$AA$282,MATCH(0,COUNTIF('Paste Here'!$AK$1:AK500,$AA$2:$AA$282),0)),"")</f>
        <v/>
      </c>
      <c r="AP501" s="33" t="str">
        <f>IF(COUNTIF('Paste Here'!$AK$2:AK501,'Paste Here'!AK501)=1,VALUE('Paste Here'!AK501),"")</f>
        <v/>
      </c>
    </row>
    <row r="502" spans="1:42" x14ac:dyDescent="0.3">
      <c r="A502" s="2"/>
      <c r="B502" s="2"/>
      <c r="C502" s="2"/>
      <c r="D502" s="3"/>
      <c r="E502" s="2"/>
      <c r="F502" s="2"/>
      <c r="G502" s="2"/>
      <c r="H502" s="2"/>
      <c r="AA502" s="33" t="str">
        <f t="shared" si="22"/>
        <v/>
      </c>
      <c r="AC502" s="33">
        <f t="shared" si="21"/>
        <v>1048540</v>
      </c>
      <c r="AD502" s="33" t="str">
        <f t="shared" si="23"/>
        <v/>
      </c>
      <c r="AE502" s="33" t="str" cm="1">
        <f t="array" ref="AE502">LOOKUP(2,1/($AB$2:$AB$1000=AB502),$AD$2:$AD$1000)</f>
        <v/>
      </c>
      <c r="AM502" s="39" t="str" cm="1">
        <f t="array" ref="AM502">IFERROR(IF(LOOKUP(2,1/($AA$2:$AA$1000=AK502),$AD$2:$AD$1000)=0,"",
LOOKUP(2,1/($AA$2:$AA$1000=AK502),$AD$2:$AD$1000)),"")</f>
        <v/>
      </c>
      <c r="AO502" s="33" t="str" cm="1">
        <f t="array" ref="AO502">IFERROR(INDEX($AA$2:$AA$282,MATCH(0,COUNTIF('Paste Here'!$AK$1:AK501,$AA$2:$AA$282),0)),"")</f>
        <v/>
      </c>
      <c r="AP502" s="33" t="str">
        <f>IF(COUNTIF('Paste Here'!$AK$2:AK502,'Paste Here'!AK502)=1,VALUE('Paste Here'!AK502),"")</f>
        <v/>
      </c>
    </row>
    <row r="503" spans="1:42" x14ac:dyDescent="0.3">
      <c r="A503" s="2"/>
      <c r="B503" s="2"/>
      <c r="C503" s="2"/>
      <c r="D503" s="3"/>
      <c r="E503" s="2"/>
      <c r="F503" s="2"/>
      <c r="G503" s="2"/>
      <c r="H503" s="2"/>
      <c r="AA503" s="33" t="str">
        <f t="shared" si="22"/>
        <v/>
      </c>
      <c r="AC503" s="33">
        <f t="shared" si="21"/>
        <v>1048540</v>
      </c>
      <c r="AD503" s="33" t="str">
        <f t="shared" si="23"/>
        <v/>
      </c>
      <c r="AE503" s="33" t="str" cm="1">
        <f t="array" ref="AE503">LOOKUP(2,1/($AB$2:$AB$1000=AB503),$AD$2:$AD$1000)</f>
        <v/>
      </c>
      <c r="AM503" s="39" t="str" cm="1">
        <f t="array" ref="AM503">IFERROR(IF(LOOKUP(2,1/($AA$2:$AA$1000=AK503),$AD$2:$AD$1000)=0,"",
LOOKUP(2,1/($AA$2:$AA$1000=AK503),$AD$2:$AD$1000)),"")</f>
        <v/>
      </c>
      <c r="AO503" s="33" t="str" cm="1">
        <f t="array" ref="AO503">IFERROR(INDEX($AA$2:$AA$282,MATCH(0,COUNTIF('Paste Here'!$AK$1:AK502,$AA$2:$AA$282),0)),"")</f>
        <v/>
      </c>
      <c r="AP503" s="33" t="str">
        <f>IF(COUNTIF('Paste Here'!$AK$2:AK503,'Paste Here'!AK503)=1,VALUE('Paste Here'!AK503),"")</f>
        <v/>
      </c>
    </row>
    <row r="504" spans="1:42" x14ac:dyDescent="0.3">
      <c r="A504" s="2"/>
      <c r="B504" s="2"/>
      <c r="C504" s="2"/>
      <c r="D504" s="3"/>
      <c r="E504" s="2"/>
      <c r="F504" s="2"/>
      <c r="G504" s="2"/>
      <c r="H504" s="2"/>
      <c r="AA504" s="33" t="str">
        <f t="shared" si="22"/>
        <v/>
      </c>
      <c r="AC504" s="33">
        <f t="shared" si="21"/>
        <v>1048540</v>
      </c>
      <c r="AD504" s="33" t="str">
        <f t="shared" si="23"/>
        <v/>
      </c>
      <c r="AE504" s="33" t="str" cm="1">
        <f t="array" ref="AE504">LOOKUP(2,1/($AB$2:$AB$1000=AB504),$AD$2:$AD$1000)</f>
        <v/>
      </c>
      <c r="AM504" s="39" t="str" cm="1">
        <f t="array" ref="AM504">IFERROR(IF(LOOKUP(2,1/($AA$2:$AA$1000=AK504),$AD$2:$AD$1000)=0,"",
LOOKUP(2,1/($AA$2:$AA$1000=AK504),$AD$2:$AD$1000)),"")</f>
        <v/>
      </c>
      <c r="AO504" s="33" t="str" cm="1">
        <f t="array" ref="AO504">IFERROR(INDEX($AA$2:$AA$282,MATCH(0,COUNTIF('Paste Here'!$AK$1:AK503,$AA$2:$AA$282),0)),"")</f>
        <v/>
      </c>
      <c r="AP504" s="33" t="str">
        <f>IF(COUNTIF('Paste Here'!$AK$2:AK504,'Paste Here'!AK504)=1,VALUE('Paste Here'!AK504),"")</f>
        <v/>
      </c>
    </row>
    <row r="505" spans="1:42" x14ac:dyDescent="0.3">
      <c r="A505" s="2"/>
      <c r="B505" s="2"/>
      <c r="C505" s="2"/>
      <c r="D505" s="3"/>
      <c r="E505" s="2"/>
      <c r="F505" s="2"/>
      <c r="G505" s="2"/>
      <c r="H505" s="2"/>
      <c r="AA505" s="33" t="str">
        <f t="shared" si="22"/>
        <v/>
      </c>
      <c r="AC505" s="33">
        <f t="shared" si="21"/>
        <v>1048540</v>
      </c>
      <c r="AD505" s="33" t="str">
        <f t="shared" si="23"/>
        <v/>
      </c>
      <c r="AE505" s="33" t="str" cm="1">
        <f t="array" ref="AE505">LOOKUP(2,1/($AB$2:$AB$1000=AB505),$AD$2:$AD$1000)</f>
        <v/>
      </c>
      <c r="AM505" s="39" t="str" cm="1">
        <f t="array" ref="AM505">IFERROR(IF(LOOKUP(2,1/($AA$2:$AA$1000=AK505),$AD$2:$AD$1000)=0,"",
LOOKUP(2,1/($AA$2:$AA$1000=AK505),$AD$2:$AD$1000)),"")</f>
        <v/>
      </c>
      <c r="AO505" s="33" t="str" cm="1">
        <f t="array" ref="AO505">IFERROR(INDEX($AA$2:$AA$282,MATCH(0,COUNTIF('Paste Here'!$AK$1:AK504,$AA$2:$AA$282),0)),"")</f>
        <v/>
      </c>
      <c r="AP505" s="33" t="str">
        <f>IF(COUNTIF('Paste Here'!$AK$2:AK505,'Paste Here'!AK505)=1,VALUE('Paste Here'!AK505),"")</f>
        <v/>
      </c>
    </row>
    <row r="506" spans="1:42" x14ac:dyDescent="0.3">
      <c r="A506" s="2"/>
      <c r="B506" s="2"/>
      <c r="C506" s="2"/>
      <c r="D506" s="3"/>
      <c r="E506" s="2"/>
      <c r="F506" s="2"/>
      <c r="G506" s="2"/>
      <c r="H506" s="2"/>
      <c r="AA506" s="33" t="str">
        <f t="shared" si="22"/>
        <v/>
      </c>
      <c r="AC506" s="33">
        <f t="shared" si="21"/>
        <v>1048540</v>
      </c>
      <c r="AD506" s="33" t="str">
        <f t="shared" si="23"/>
        <v/>
      </c>
      <c r="AE506" s="33" t="str" cm="1">
        <f t="array" ref="AE506">LOOKUP(2,1/($AB$2:$AB$1000=AB506),$AD$2:$AD$1000)</f>
        <v/>
      </c>
      <c r="AM506" s="39" t="str" cm="1">
        <f t="array" ref="AM506">IFERROR(IF(LOOKUP(2,1/($AA$2:$AA$1000=AK506),$AD$2:$AD$1000)=0,"",
LOOKUP(2,1/($AA$2:$AA$1000=AK506),$AD$2:$AD$1000)),"")</f>
        <v/>
      </c>
      <c r="AO506" s="33" t="str" cm="1">
        <f t="array" ref="AO506">IFERROR(INDEX($AA$2:$AA$282,MATCH(0,COUNTIF('Paste Here'!$AK$1:AK505,$AA$2:$AA$282),0)),"")</f>
        <v/>
      </c>
      <c r="AP506" s="33" t="str">
        <f>IF(COUNTIF('Paste Here'!$AK$2:AK506,'Paste Here'!AK506)=1,VALUE('Paste Here'!AK506),"")</f>
        <v/>
      </c>
    </row>
    <row r="507" spans="1:42" x14ac:dyDescent="0.3">
      <c r="A507" s="2"/>
      <c r="B507" s="2"/>
      <c r="C507" s="2"/>
      <c r="D507" s="3"/>
      <c r="E507" s="2"/>
      <c r="F507" s="2"/>
      <c r="G507" s="2"/>
      <c r="H507" s="2"/>
      <c r="AA507" s="33" t="str">
        <f t="shared" si="22"/>
        <v/>
      </c>
      <c r="AC507" s="33">
        <f t="shared" si="21"/>
        <v>1048540</v>
      </c>
      <c r="AD507" s="33" t="str">
        <f t="shared" si="23"/>
        <v/>
      </c>
      <c r="AE507" s="33" t="str" cm="1">
        <f t="array" ref="AE507">LOOKUP(2,1/($AB$2:$AB$1000=AB507),$AD$2:$AD$1000)</f>
        <v/>
      </c>
      <c r="AM507" s="39" t="str" cm="1">
        <f t="array" ref="AM507">IFERROR(IF(LOOKUP(2,1/($AA$2:$AA$1000=AK507),$AD$2:$AD$1000)=0,"",
LOOKUP(2,1/($AA$2:$AA$1000=AK507),$AD$2:$AD$1000)),"")</f>
        <v/>
      </c>
      <c r="AO507" s="33" t="str" cm="1">
        <f t="array" ref="AO507">IFERROR(INDEX($AA$2:$AA$282,MATCH(0,COUNTIF('Paste Here'!$AK$1:AK506,$AA$2:$AA$282),0)),"")</f>
        <v/>
      </c>
      <c r="AP507" s="33" t="str">
        <f>IF(COUNTIF('Paste Here'!$AK$2:AK507,'Paste Here'!AK507)=1,VALUE('Paste Here'!AK507),"")</f>
        <v/>
      </c>
    </row>
    <row r="508" spans="1:42" x14ac:dyDescent="0.3">
      <c r="A508" s="2"/>
      <c r="B508" s="2"/>
      <c r="C508" s="2"/>
      <c r="D508" s="3"/>
      <c r="E508" s="2"/>
      <c r="F508" s="2"/>
      <c r="G508" s="2"/>
      <c r="H508" s="2"/>
      <c r="AA508" s="33" t="str">
        <f t="shared" si="22"/>
        <v/>
      </c>
      <c r="AC508" s="33">
        <f t="shared" si="21"/>
        <v>1048540</v>
      </c>
      <c r="AD508" s="33" t="str">
        <f t="shared" si="23"/>
        <v/>
      </c>
      <c r="AE508" s="33" t="str" cm="1">
        <f t="array" ref="AE508">LOOKUP(2,1/($AB$2:$AB$1000=AB508),$AD$2:$AD$1000)</f>
        <v/>
      </c>
      <c r="AM508" s="39" t="str" cm="1">
        <f t="array" ref="AM508">IFERROR(IF(LOOKUP(2,1/($AA$2:$AA$1000=AK508),$AD$2:$AD$1000)=0,"",
LOOKUP(2,1/($AA$2:$AA$1000=AK508),$AD$2:$AD$1000)),"")</f>
        <v/>
      </c>
      <c r="AO508" s="33" t="str" cm="1">
        <f t="array" ref="AO508">IFERROR(INDEX($AA$2:$AA$282,MATCH(0,COUNTIF('Paste Here'!$AK$1:AK507,$AA$2:$AA$282),0)),"")</f>
        <v/>
      </c>
      <c r="AP508" s="33" t="str">
        <f>IF(COUNTIF('Paste Here'!$AK$2:AK508,'Paste Here'!AK508)=1,VALUE('Paste Here'!AK508),"")</f>
        <v/>
      </c>
    </row>
    <row r="509" spans="1:42" x14ac:dyDescent="0.3">
      <c r="A509" s="2"/>
      <c r="B509" s="2"/>
      <c r="C509" s="2"/>
      <c r="D509" s="3"/>
      <c r="E509" s="2"/>
      <c r="F509" s="2"/>
      <c r="G509" s="2"/>
      <c r="H509" s="2"/>
      <c r="AA509" s="33" t="str">
        <f t="shared" si="22"/>
        <v/>
      </c>
      <c r="AC509" s="33">
        <f t="shared" si="21"/>
        <v>1048540</v>
      </c>
      <c r="AD509" s="33" t="str">
        <f t="shared" si="23"/>
        <v/>
      </c>
      <c r="AE509" s="33" t="str" cm="1">
        <f t="array" ref="AE509">LOOKUP(2,1/($AB$2:$AB$1000=AB509),$AD$2:$AD$1000)</f>
        <v/>
      </c>
      <c r="AM509" s="39" t="str" cm="1">
        <f t="array" ref="AM509">IFERROR(IF(LOOKUP(2,1/($AA$2:$AA$1000=AK509),$AD$2:$AD$1000)=0,"",
LOOKUP(2,1/($AA$2:$AA$1000=AK509),$AD$2:$AD$1000)),"")</f>
        <v/>
      </c>
      <c r="AO509" s="33" t="str" cm="1">
        <f t="array" ref="AO509">IFERROR(INDEX($AA$2:$AA$282,MATCH(0,COUNTIF('Paste Here'!$AK$1:AK508,$AA$2:$AA$282),0)),"")</f>
        <v/>
      </c>
      <c r="AP509" s="33" t="str">
        <f>IF(COUNTIF('Paste Here'!$AK$2:AK509,'Paste Here'!AK509)=1,VALUE('Paste Here'!AK509),"")</f>
        <v/>
      </c>
    </row>
    <row r="510" spans="1:42" x14ac:dyDescent="0.3">
      <c r="A510" s="2"/>
      <c r="B510" s="2"/>
      <c r="C510" s="2"/>
      <c r="D510" s="3"/>
      <c r="E510" s="2"/>
      <c r="F510" s="2"/>
      <c r="G510" s="2"/>
      <c r="H510" s="2"/>
      <c r="AA510" s="33" t="str">
        <f t="shared" si="22"/>
        <v/>
      </c>
      <c r="AC510" s="33">
        <f t="shared" si="21"/>
        <v>1048540</v>
      </c>
      <c r="AD510" s="33" t="str">
        <f t="shared" si="23"/>
        <v/>
      </c>
      <c r="AE510" s="33" t="str" cm="1">
        <f t="array" ref="AE510">LOOKUP(2,1/($AB$2:$AB$1000=AB510),$AD$2:$AD$1000)</f>
        <v/>
      </c>
      <c r="AM510" s="39" t="str" cm="1">
        <f t="array" ref="AM510">IFERROR(IF(LOOKUP(2,1/($AA$2:$AA$1000=AK510),$AD$2:$AD$1000)=0,"",
LOOKUP(2,1/($AA$2:$AA$1000=AK510),$AD$2:$AD$1000)),"")</f>
        <v/>
      </c>
      <c r="AO510" s="33" t="str" cm="1">
        <f t="array" ref="AO510">IFERROR(INDEX($AA$2:$AA$282,MATCH(0,COUNTIF('Paste Here'!$AK$1:AK509,$AA$2:$AA$282),0)),"")</f>
        <v/>
      </c>
      <c r="AP510" s="33" t="str">
        <f>IF(COUNTIF('Paste Here'!$AK$2:AK510,'Paste Here'!AK510)=1,VALUE('Paste Here'!AK510),"")</f>
        <v/>
      </c>
    </row>
    <row r="511" spans="1:42" x14ac:dyDescent="0.3">
      <c r="A511" s="2"/>
      <c r="B511" s="2"/>
      <c r="C511" s="2"/>
      <c r="D511" s="3"/>
      <c r="E511" s="2"/>
      <c r="F511" s="2"/>
      <c r="G511" s="2"/>
      <c r="H511" s="2"/>
      <c r="AA511" s="33" t="str">
        <f t="shared" si="22"/>
        <v/>
      </c>
      <c r="AC511" s="33">
        <f t="shared" si="21"/>
        <v>1048540</v>
      </c>
      <c r="AD511" s="33" t="str">
        <f t="shared" si="23"/>
        <v/>
      </c>
      <c r="AE511" s="33" t="str" cm="1">
        <f t="array" ref="AE511">LOOKUP(2,1/($AB$2:$AB$1000=AB511),$AD$2:$AD$1000)</f>
        <v/>
      </c>
      <c r="AM511" s="39" t="str" cm="1">
        <f t="array" ref="AM511">IFERROR(IF(LOOKUP(2,1/($AA$2:$AA$1000=AK511),$AD$2:$AD$1000)=0,"",
LOOKUP(2,1/($AA$2:$AA$1000=AK511),$AD$2:$AD$1000)),"")</f>
        <v/>
      </c>
      <c r="AO511" s="33" t="str" cm="1">
        <f t="array" ref="AO511">IFERROR(INDEX($AA$2:$AA$282,MATCH(0,COUNTIF('Paste Here'!$AK$1:AK510,$AA$2:$AA$282),0)),"")</f>
        <v/>
      </c>
      <c r="AP511" s="33" t="str">
        <f>IF(COUNTIF('Paste Here'!$AK$2:AK511,'Paste Here'!AK511)=1,VALUE('Paste Here'!AK511),"")</f>
        <v/>
      </c>
    </row>
    <row r="512" spans="1:42" x14ac:dyDescent="0.3">
      <c r="A512" s="2"/>
      <c r="B512" s="2"/>
      <c r="C512" s="2"/>
      <c r="D512" s="3"/>
      <c r="E512" s="2"/>
      <c r="F512" s="2"/>
      <c r="G512" s="2"/>
      <c r="H512" s="2"/>
      <c r="AA512" s="33" t="str">
        <f t="shared" si="22"/>
        <v/>
      </c>
      <c r="AC512" s="33">
        <f t="shared" si="21"/>
        <v>1048540</v>
      </c>
      <c r="AD512" s="33" t="str">
        <f t="shared" si="23"/>
        <v/>
      </c>
      <c r="AE512" s="33" t="str" cm="1">
        <f t="array" ref="AE512">LOOKUP(2,1/($AB$2:$AB$1000=AB512),$AD$2:$AD$1000)</f>
        <v/>
      </c>
      <c r="AM512" s="39" t="str" cm="1">
        <f t="array" ref="AM512">IFERROR(IF(LOOKUP(2,1/($AA$2:$AA$1000=AK512),$AD$2:$AD$1000)=0,"",
LOOKUP(2,1/($AA$2:$AA$1000=AK512),$AD$2:$AD$1000)),"")</f>
        <v/>
      </c>
      <c r="AO512" s="33" t="str" cm="1">
        <f t="array" ref="AO512">IFERROR(INDEX($AA$2:$AA$282,MATCH(0,COUNTIF('Paste Here'!$AK$1:AK511,$AA$2:$AA$282),0)),"")</f>
        <v/>
      </c>
      <c r="AP512" s="33" t="str">
        <f>IF(COUNTIF('Paste Here'!$AK$2:AK512,'Paste Here'!AK512)=1,VALUE('Paste Here'!AK512),"")</f>
        <v/>
      </c>
    </row>
    <row r="513" spans="1:42" x14ac:dyDescent="0.3">
      <c r="A513" s="2"/>
      <c r="B513" s="2"/>
      <c r="C513" s="2"/>
      <c r="D513" s="3"/>
      <c r="E513" s="2"/>
      <c r="F513" s="2"/>
      <c r="G513" s="2"/>
      <c r="H513" s="2"/>
      <c r="AA513" s="33" t="str">
        <f t="shared" si="22"/>
        <v/>
      </c>
      <c r="AC513" s="33">
        <f t="shared" si="21"/>
        <v>1048540</v>
      </c>
      <c r="AD513" s="33" t="str">
        <f t="shared" si="23"/>
        <v/>
      </c>
      <c r="AE513" s="33" t="str" cm="1">
        <f t="array" ref="AE513">LOOKUP(2,1/($AB$2:$AB$1000=AB513),$AD$2:$AD$1000)</f>
        <v/>
      </c>
      <c r="AM513" s="39" t="str" cm="1">
        <f t="array" ref="AM513">IFERROR(IF(LOOKUP(2,1/($AA$2:$AA$1000=AK513),$AD$2:$AD$1000)=0,"",
LOOKUP(2,1/($AA$2:$AA$1000=AK513),$AD$2:$AD$1000)),"")</f>
        <v/>
      </c>
      <c r="AO513" s="33" t="str" cm="1">
        <f t="array" ref="AO513">IFERROR(INDEX($AA$2:$AA$282,MATCH(0,COUNTIF('Paste Here'!$AK$1:AK512,$AA$2:$AA$282),0)),"")</f>
        <v/>
      </c>
      <c r="AP513" s="33" t="str">
        <f>IF(COUNTIF('Paste Here'!$AK$2:AK513,'Paste Here'!AK513)=1,VALUE('Paste Here'!AK513),"")</f>
        <v/>
      </c>
    </row>
    <row r="514" spans="1:42" x14ac:dyDescent="0.3">
      <c r="A514" s="2"/>
      <c r="B514" s="2"/>
      <c r="C514" s="2"/>
      <c r="D514" s="3"/>
      <c r="E514" s="2"/>
      <c r="F514" s="2"/>
      <c r="G514" s="2"/>
      <c r="H514" s="2"/>
      <c r="AA514" s="33" t="str">
        <f t="shared" si="22"/>
        <v/>
      </c>
      <c r="AC514" s="33">
        <f t="shared" ref="AC514:AC577" si="24">COUNTIF($AA:$AA,AA514)</f>
        <v>1048540</v>
      </c>
      <c r="AD514" s="33" t="str">
        <f t="shared" si="23"/>
        <v/>
      </c>
      <c r="AE514" s="33" t="str" cm="1">
        <f t="array" ref="AE514">LOOKUP(2,1/($AB$2:$AB$1000=AB514),$AD$2:$AD$1000)</f>
        <v/>
      </c>
      <c r="AM514" s="39" t="str" cm="1">
        <f t="array" ref="AM514">IFERROR(IF(LOOKUP(2,1/($AA$2:$AA$1000=AK514),$AD$2:$AD$1000)=0,"",
LOOKUP(2,1/($AA$2:$AA$1000=AK514),$AD$2:$AD$1000)),"")</f>
        <v/>
      </c>
      <c r="AO514" s="33" t="str" cm="1">
        <f t="array" ref="AO514">IFERROR(INDEX($AA$2:$AA$282,MATCH(0,COUNTIF('Paste Here'!$AK$1:AK513,$AA$2:$AA$282),0)),"")</f>
        <v/>
      </c>
      <c r="AP514" s="33" t="str">
        <f>IF(COUNTIF('Paste Here'!$AK$2:AK514,'Paste Here'!AK514)=1,VALUE('Paste Here'!AK514),"")</f>
        <v/>
      </c>
    </row>
    <row r="515" spans="1:42" x14ac:dyDescent="0.3">
      <c r="A515" s="2"/>
      <c r="B515" s="2"/>
      <c r="C515" s="2"/>
      <c r="D515" s="3"/>
      <c r="E515" s="2"/>
      <c r="F515" s="2"/>
      <c r="G515" s="2"/>
      <c r="H515" s="2"/>
      <c r="AA515" s="33" t="str">
        <f t="shared" ref="AA515:AA578" si="25">IFERROR(MID(G515,FIND("LR-",G515)+3,FIND("-",G515,FIND("LR-",G515)+3)-FIND("LR-",G515)-3),"")</f>
        <v/>
      </c>
      <c r="AC515" s="33">
        <f t="shared" si="24"/>
        <v>1048540</v>
      </c>
      <c r="AD515" s="33" t="str">
        <f t="shared" ref="AD515:AD578" si="26">IF(F515=0,"",F515)</f>
        <v/>
      </c>
      <c r="AE515" s="33" t="str" cm="1">
        <f t="array" ref="AE515">LOOKUP(2,1/($AB$2:$AB$1000=AB515),$AD$2:$AD$1000)</f>
        <v/>
      </c>
      <c r="AM515" s="39" t="str" cm="1">
        <f t="array" ref="AM515">IFERROR(IF(LOOKUP(2,1/($AA$2:$AA$1000=AK515),$AD$2:$AD$1000)=0,"",
LOOKUP(2,1/($AA$2:$AA$1000=AK515),$AD$2:$AD$1000)),"")</f>
        <v/>
      </c>
      <c r="AO515" s="33" t="str" cm="1">
        <f t="array" ref="AO515">IFERROR(INDEX($AA$2:$AA$282,MATCH(0,COUNTIF('Paste Here'!$AK$1:AK514,$AA$2:$AA$282),0)),"")</f>
        <v/>
      </c>
      <c r="AP515" s="33" t="str">
        <f>IF(COUNTIF('Paste Here'!$AK$2:AK515,'Paste Here'!AK515)=1,VALUE('Paste Here'!AK515),"")</f>
        <v/>
      </c>
    </row>
    <row r="516" spans="1:42" x14ac:dyDescent="0.3">
      <c r="A516" s="2"/>
      <c r="B516" s="2"/>
      <c r="C516" s="2"/>
      <c r="D516" s="3"/>
      <c r="E516" s="2"/>
      <c r="F516" s="2"/>
      <c r="G516" s="2"/>
      <c r="H516" s="2"/>
      <c r="AA516" s="33" t="str">
        <f t="shared" si="25"/>
        <v/>
      </c>
      <c r="AC516" s="33">
        <f t="shared" si="24"/>
        <v>1048540</v>
      </c>
      <c r="AD516" s="33" t="str">
        <f t="shared" si="26"/>
        <v/>
      </c>
      <c r="AE516" s="33" t="str" cm="1">
        <f t="array" ref="AE516">LOOKUP(2,1/($AB$2:$AB$1000=AB516),$AD$2:$AD$1000)</f>
        <v/>
      </c>
      <c r="AM516" s="39" t="str" cm="1">
        <f t="array" ref="AM516">IFERROR(IF(LOOKUP(2,1/($AA$2:$AA$1000=AK516),$AD$2:$AD$1000)=0,"",
LOOKUP(2,1/($AA$2:$AA$1000=AK516),$AD$2:$AD$1000)),"")</f>
        <v/>
      </c>
      <c r="AO516" s="33" t="str" cm="1">
        <f t="array" ref="AO516">IFERROR(INDEX($AA$2:$AA$282,MATCH(0,COUNTIF('Paste Here'!$AK$1:AK515,$AA$2:$AA$282),0)),"")</f>
        <v/>
      </c>
      <c r="AP516" s="33" t="str">
        <f>IF(COUNTIF('Paste Here'!$AK$2:AK516,'Paste Here'!AK516)=1,VALUE('Paste Here'!AK516),"")</f>
        <v/>
      </c>
    </row>
    <row r="517" spans="1:42" x14ac:dyDescent="0.3">
      <c r="A517" s="2"/>
      <c r="B517" s="2"/>
      <c r="C517" s="2"/>
      <c r="D517" s="3"/>
      <c r="E517" s="2"/>
      <c r="F517" s="2"/>
      <c r="G517" s="2"/>
      <c r="H517" s="2"/>
      <c r="AA517" s="33" t="str">
        <f t="shared" si="25"/>
        <v/>
      </c>
      <c r="AC517" s="33">
        <f t="shared" si="24"/>
        <v>1048540</v>
      </c>
      <c r="AD517" s="33" t="str">
        <f t="shared" si="26"/>
        <v/>
      </c>
      <c r="AE517" s="33" t="str" cm="1">
        <f t="array" ref="AE517">LOOKUP(2,1/($AB$2:$AB$1000=AB517),$AD$2:$AD$1000)</f>
        <v/>
      </c>
      <c r="AM517" s="39" t="str" cm="1">
        <f t="array" ref="AM517">IFERROR(IF(LOOKUP(2,1/($AA$2:$AA$1000=AK517),$AD$2:$AD$1000)=0,"",
LOOKUP(2,1/($AA$2:$AA$1000=AK517),$AD$2:$AD$1000)),"")</f>
        <v/>
      </c>
      <c r="AO517" s="33" t="str" cm="1">
        <f t="array" ref="AO517">IFERROR(INDEX($AA$2:$AA$282,MATCH(0,COUNTIF('Paste Here'!$AK$1:AK516,$AA$2:$AA$282),0)),"")</f>
        <v/>
      </c>
      <c r="AP517" s="33" t="str">
        <f>IF(COUNTIF('Paste Here'!$AK$2:AK517,'Paste Here'!AK517)=1,VALUE('Paste Here'!AK517),"")</f>
        <v/>
      </c>
    </row>
    <row r="518" spans="1:42" x14ac:dyDescent="0.3">
      <c r="A518"/>
      <c r="B518"/>
      <c r="C518"/>
      <c r="D518" s="4"/>
      <c r="E518"/>
      <c r="F518"/>
      <c r="G518"/>
      <c r="H518"/>
      <c r="AA518" s="33" t="str">
        <f t="shared" si="25"/>
        <v/>
      </c>
      <c r="AC518" s="33">
        <f t="shared" si="24"/>
        <v>1048540</v>
      </c>
      <c r="AD518" s="33" t="str">
        <f t="shared" si="26"/>
        <v/>
      </c>
      <c r="AE518" s="33" t="str" cm="1">
        <f t="array" ref="AE518">LOOKUP(2,1/($AB$2:$AB$1000=AB518),$AD$2:$AD$1000)</f>
        <v/>
      </c>
      <c r="AM518" s="39" t="str" cm="1">
        <f t="array" ref="AM518">IFERROR(IF(LOOKUP(2,1/($AA$2:$AA$1000=AK518),$AD$2:$AD$1000)=0,"",
LOOKUP(2,1/($AA$2:$AA$1000=AK518),$AD$2:$AD$1000)),"")</f>
        <v/>
      </c>
      <c r="AO518" s="33" t="str" cm="1">
        <f t="array" ref="AO518">IFERROR(INDEX($AA$2:$AA$282,MATCH(0,COUNTIF('Paste Here'!$AK$1:AK517,$AA$2:$AA$282),0)),"")</f>
        <v/>
      </c>
      <c r="AP518" s="33" t="str">
        <f>IF(COUNTIF('Paste Here'!$AK$2:AK518,'Paste Here'!AK518)=1,VALUE('Paste Here'!AK518),"")</f>
        <v/>
      </c>
    </row>
    <row r="519" spans="1:42" x14ac:dyDescent="0.3">
      <c r="A519"/>
      <c r="B519"/>
      <c r="C519"/>
      <c r="D519" s="4"/>
      <c r="E519"/>
      <c r="F519"/>
      <c r="G519"/>
      <c r="H519"/>
      <c r="AA519" s="33" t="str">
        <f t="shared" si="25"/>
        <v/>
      </c>
      <c r="AC519" s="33">
        <f t="shared" si="24"/>
        <v>1048540</v>
      </c>
      <c r="AD519" s="33" t="str">
        <f t="shared" si="26"/>
        <v/>
      </c>
      <c r="AE519" s="33" t="str" cm="1">
        <f t="array" ref="AE519">LOOKUP(2,1/($AB$2:$AB$1000=AB519),$AD$2:$AD$1000)</f>
        <v/>
      </c>
      <c r="AM519" s="39" t="str" cm="1">
        <f t="array" ref="AM519">IFERROR(IF(LOOKUP(2,1/($AA$2:$AA$1000=AK519),$AD$2:$AD$1000)=0,"",
LOOKUP(2,1/($AA$2:$AA$1000=AK519),$AD$2:$AD$1000)),"")</f>
        <v/>
      </c>
      <c r="AO519" s="33" t="str" cm="1">
        <f t="array" ref="AO519">IFERROR(INDEX($AA$2:$AA$282,MATCH(0,COUNTIF('Paste Here'!$AK$1:AK518,$AA$2:$AA$282),0)),"")</f>
        <v/>
      </c>
      <c r="AP519" s="33" t="str">
        <f>IF(COUNTIF('Paste Here'!$AK$2:AK519,'Paste Here'!AK519)=1,VALUE('Paste Here'!AK519),"")</f>
        <v/>
      </c>
    </row>
    <row r="520" spans="1:42" x14ac:dyDescent="0.3">
      <c r="A520"/>
      <c r="B520"/>
      <c r="C520"/>
      <c r="D520" s="4"/>
      <c r="E520"/>
      <c r="F520"/>
      <c r="G520"/>
      <c r="H520"/>
      <c r="AA520" s="33" t="str">
        <f t="shared" si="25"/>
        <v/>
      </c>
      <c r="AC520" s="33">
        <f t="shared" si="24"/>
        <v>1048540</v>
      </c>
      <c r="AD520" s="33" t="str">
        <f t="shared" si="26"/>
        <v/>
      </c>
      <c r="AE520" s="33" t="str" cm="1">
        <f t="array" ref="AE520">LOOKUP(2,1/($AB$2:$AB$1000=AB520),$AD$2:$AD$1000)</f>
        <v/>
      </c>
      <c r="AM520" s="39" t="str" cm="1">
        <f t="array" ref="AM520">IFERROR(IF(LOOKUP(2,1/($AA$2:$AA$1000=AK520),$AD$2:$AD$1000)=0,"",
LOOKUP(2,1/($AA$2:$AA$1000=AK520),$AD$2:$AD$1000)),"")</f>
        <v/>
      </c>
      <c r="AO520" s="33" t="str" cm="1">
        <f t="array" ref="AO520">IFERROR(INDEX($AA$2:$AA$282,MATCH(0,COUNTIF('Paste Here'!$AK$1:AK519,$AA$2:$AA$282),0)),"")</f>
        <v/>
      </c>
      <c r="AP520" s="33" t="str">
        <f>IF(COUNTIF('Paste Here'!$AK$2:AK520,'Paste Here'!AK520)=1,VALUE('Paste Here'!AK520),"")</f>
        <v/>
      </c>
    </row>
    <row r="521" spans="1:42" x14ac:dyDescent="0.3">
      <c r="A521"/>
      <c r="B521"/>
      <c r="C521"/>
      <c r="D521" s="4"/>
      <c r="E521"/>
      <c r="F521"/>
      <c r="G521"/>
      <c r="H521"/>
      <c r="AA521" s="33" t="str">
        <f t="shared" si="25"/>
        <v/>
      </c>
      <c r="AC521" s="33">
        <f t="shared" si="24"/>
        <v>1048540</v>
      </c>
      <c r="AD521" s="33" t="str">
        <f t="shared" si="26"/>
        <v/>
      </c>
      <c r="AE521" s="33" t="str" cm="1">
        <f t="array" ref="AE521">LOOKUP(2,1/($AB$2:$AB$1000=AB521),$AD$2:$AD$1000)</f>
        <v/>
      </c>
      <c r="AM521" s="39" t="str" cm="1">
        <f t="array" ref="AM521">IFERROR(IF(LOOKUP(2,1/($AA$2:$AA$1000=AK521),$AD$2:$AD$1000)=0,"",
LOOKUP(2,1/($AA$2:$AA$1000=AK521),$AD$2:$AD$1000)),"")</f>
        <v/>
      </c>
      <c r="AO521" s="33" t="str" cm="1">
        <f t="array" ref="AO521">IFERROR(INDEX($AA$2:$AA$282,MATCH(0,COUNTIF('Paste Here'!$AK$1:AK520,$AA$2:$AA$282),0)),"")</f>
        <v/>
      </c>
      <c r="AP521" s="33" t="str">
        <f>IF(COUNTIF('Paste Here'!$AK$2:AK521,'Paste Here'!AK521)=1,VALUE('Paste Here'!AK521),"")</f>
        <v/>
      </c>
    </row>
    <row r="522" spans="1:42" x14ac:dyDescent="0.3">
      <c r="A522"/>
      <c r="B522"/>
      <c r="C522"/>
      <c r="D522" s="4"/>
      <c r="E522"/>
      <c r="F522"/>
      <c r="G522"/>
      <c r="H522"/>
      <c r="AA522" s="33" t="str">
        <f t="shared" si="25"/>
        <v/>
      </c>
      <c r="AC522" s="33">
        <f t="shared" si="24"/>
        <v>1048540</v>
      </c>
      <c r="AD522" s="33" t="str">
        <f t="shared" si="26"/>
        <v/>
      </c>
      <c r="AE522" s="33" t="str" cm="1">
        <f t="array" ref="AE522">LOOKUP(2,1/($AB$2:$AB$1000=AB522),$AD$2:$AD$1000)</f>
        <v/>
      </c>
      <c r="AM522" s="39" t="str" cm="1">
        <f t="array" ref="AM522">IFERROR(IF(LOOKUP(2,1/($AA$2:$AA$1000=AK522),$AD$2:$AD$1000)=0,"",
LOOKUP(2,1/($AA$2:$AA$1000=AK522),$AD$2:$AD$1000)),"")</f>
        <v/>
      </c>
      <c r="AO522" s="33" t="str" cm="1">
        <f t="array" ref="AO522">IFERROR(INDEX($AA$2:$AA$282,MATCH(0,COUNTIF('Paste Here'!$AK$1:AK521,$AA$2:$AA$282),0)),"")</f>
        <v/>
      </c>
      <c r="AP522" s="33" t="str">
        <f>IF(COUNTIF('Paste Here'!$AK$2:AK522,'Paste Here'!AK522)=1,VALUE('Paste Here'!AK522),"")</f>
        <v/>
      </c>
    </row>
    <row r="523" spans="1:42" x14ac:dyDescent="0.3">
      <c r="A523"/>
      <c r="B523"/>
      <c r="C523"/>
      <c r="D523" s="4"/>
      <c r="E523"/>
      <c r="F523"/>
      <c r="G523"/>
      <c r="H523"/>
      <c r="AA523" s="33" t="str">
        <f t="shared" si="25"/>
        <v/>
      </c>
      <c r="AC523" s="33">
        <f t="shared" si="24"/>
        <v>1048540</v>
      </c>
      <c r="AD523" s="33" t="str">
        <f t="shared" si="26"/>
        <v/>
      </c>
      <c r="AE523" s="33" t="str" cm="1">
        <f t="array" ref="AE523">LOOKUP(2,1/($AB$2:$AB$1000=AB523),$AD$2:$AD$1000)</f>
        <v/>
      </c>
      <c r="AM523" s="39" t="str" cm="1">
        <f t="array" ref="AM523">IFERROR(IF(LOOKUP(2,1/($AA$2:$AA$1000=AK523),$AD$2:$AD$1000)=0,"",
LOOKUP(2,1/($AA$2:$AA$1000=AK523),$AD$2:$AD$1000)),"")</f>
        <v/>
      </c>
      <c r="AO523" s="33" t="str" cm="1">
        <f t="array" ref="AO523">IFERROR(INDEX($AA$2:$AA$282,MATCH(0,COUNTIF('Paste Here'!$AK$1:AK522,$AA$2:$AA$282),0)),"")</f>
        <v/>
      </c>
      <c r="AP523" s="33" t="str">
        <f>IF(COUNTIF('Paste Here'!$AK$2:AK523,'Paste Here'!AK523)=1,VALUE('Paste Here'!AK523),"")</f>
        <v/>
      </c>
    </row>
    <row r="524" spans="1:42" x14ac:dyDescent="0.3">
      <c r="A524"/>
      <c r="B524"/>
      <c r="C524"/>
      <c r="D524" s="4"/>
      <c r="E524"/>
      <c r="F524"/>
      <c r="G524"/>
      <c r="H524"/>
      <c r="AA524" s="33" t="str">
        <f t="shared" si="25"/>
        <v/>
      </c>
      <c r="AC524" s="33">
        <f t="shared" si="24"/>
        <v>1048540</v>
      </c>
      <c r="AD524" s="33" t="str">
        <f t="shared" si="26"/>
        <v/>
      </c>
      <c r="AE524" s="33" t="str" cm="1">
        <f t="array" ref="AE524">LOOKUP(2,1/($AB$2:$AB$1000=AB524),$AD$2:$AD$1000)</f>
        <v/>
      </c>
      <c r="AM524" s="39" t="str" cm="1">
        <f t="array" ref="AM524">IFERROR(IF(LOOKUP(2,1/($AA$2:$AA$1000=AK524),$AD$2:$AD$1000)=0,"",
LOOKUP(2,1/($AA$2:$AA$1000=AK524),$AD$2:$AD$1000)),"")</f>
        <v/>
      </c>
      <c r="AO524" s="33" t="str" cm="1">
        <f t="array" ref="AO524">IFERROR(INDEX($AA$2:$AA$282,MATCH(0,COUNTIF('Paste Here'!$AK$1:AK523,$AA$2:$AA$282),0)),"")</f>
        <v/>
      </c>
      <c r="AP524" s="33" t="str">
        <f>IF(COUNTIF('Paste Here'!$AK$2:AK524,'Paste Here'!AK524)=1,VALUE('Paste Here'!AK524),"")</f>
        <v/>
      </c>
    </row>
    <row r="525" spans="1:42" x14ac:dyDescent="0.3">
      <c r="A525"/>
      <c r="B525"/>
      <c r="C525"/>
      <c r="D525" s="4"/>
      <c r="E525"/>
      <c r="F525"/>
      <c r="G525"/>
      <c r="H525"/>
      <c r="AA525" s="33" t="str">
        <f t="shared" si="25"/>
        <v/>
      </c>
      <c r="AC525" s="33">
        <f t="shared" si="24"/>
        <v>1048540</v>
      </c>
      <c r="AD525" s="33" t="str">
        <f t="shared" si="26"/>
        <v/>
      </c>
      <c r="AE525" s="33" t="str" cm="1">
        <f t="array" ref="AE525">LOOKUP(2,1/($AB$2:$AB$1000=AB525),$AD$2:$AD$1000)</f>
        <v/>
      </c>
      <c r="AM525" s="39" t="str" cm="1">
        <f t="array" ref="AM525">IFERROR(IF(LOOKUP(2,1/($AA$2:$AA$1000=AK525),$AD$2:$AD$1000)=0,"",
LOOKUP(2,1/($AA$2:$AA$1000=AK525),$AD$2:$AD$1000)),"")</f>
        <v/>
      </c>
      <c r="AO525" s="33" t="str" cm="1">
        <f t="array" ref="AO525">IFERROR(INDEX($AA$2:$AA$282,MATCH(0,COUNTIF('Paste Here'!$AK$1:AK524,$AA$2:$AA$282),0)),"")</f>
        <v/>
      </c>
      <c r="AP525" s="33" t="str">
        <f>IF(COUNTIF('Paste Here'!$AK$2:AK525,'Paste Here'!AK525)=1,VALUE('Paste Here'!AK525),"")</f>
        <v/>
      </c>
    </row>
    <row r="526" spans="1:42" x14ac:dyDescent="0.3">
      <c r="A526"/>
      <c r="B526"/>
      <c r="C526"/>
      <c r="D526" s="4"/>
      <c r="E526"/>
      <c r="F526"/>
      <c r="G526"/>
      <c r="H526"/>
      <c r="AA526" s="33" t="str">
        <f t="shared" si="25"/>
        <v/>
      </c>
      <c r="AC526" s="33">
        <f t="shared" si="24"/>
        <v>1048540</v>
      </c>
      <c r="AD526" s="33" t="str">
        <f t="shared" si="26"/>
        <v/>
      </c>
      <c r="AE526" s="33" t="str" cm="1">
        <f t="array" ref="AE526">LOOKUP(2,1/($AB$2:$AB$1000=AB526),$AD$2:$AD$1000)</f>
        <v/>
      </c>
      <c r="AM526" s="39" t="str" cm="1">
        <f t="array" ref="AM526">IFERROR(IF(LOOKUP(2,1/($AA$2:$AA$1000=AK526),$AD$2:$AD$1000)=0,"",
LOOKUP(2,1/($AA$2:$AA$1000=AK526),$AD$2:$AD$1000)),"")</f>
        <v/>
      </c>
      <c r="AO526" s="33" t="str" cm="1">
        <f t="array" ref="AO526">IFERROR(INDEX($AA$2:$AA$282,MATCH(0,COUNTIF('Paste Here'!$AK$1:AK525,$AA$2:$AA$282),0)),"")</f>
        <v/>
      </c>
      <c r="AP526" s="33" t="str">
        <f>IF(COUNTIF('Paste Here'!$AK$2:AK526,'Paste Here'!AK526)=1,VALUE('Paste Here'!AK526),"")</f>
        <v/>
      </c>
    </row>
    <row r="527" spans="1:42" x14ac:dyDescent="0.3">
      <c r="A527"/>
      <c r="B527"/>
      <c r="C527"/>
      <c r="D527" s="4"/>
      <c r="E527"/>
      <c r="F527"/>
      <c r="G527"/>
      <c r="H527"/>
      <c r="AA527" s="33" t="str">
        <f t="shared" si="25"/>
        <v/>
      </c>
      <c r="AC527" s="33">
        <f t="shared" si="24"/>
        <v>1048540</v>
      </c>
      <c r="AD527" s="33" t="str">
        <f t="shared" si="26"/>
        <v/>
      </c>
      <c r="AE527" s="33" t="str" cm="1">
        <f t="array" ref="AE527">LOOKUP(2,1/($AB$2:$AB$1000=AB527),$AD$2:$AD$1000)</f>
        <v/>
      </c>
      <c r="AM527" s="39" t="str" cm="1">
        <f t="array" ref="AM527">IFERROR(IF(LOOKUP(2,1/($AA$2:$AA$1000=AK527),$AD$2:$AD$1000)=0,"",
LOOKUP(2,1/($AA$2:$AA$1000=AK527),$AD$2:$AD$1000)),"")</f>
        <v/>
      </c>
      <c r="AO527" s="33" t="str" cm="1">
        <f t="array" ref="AO527">IFERROR(INDEX($AA$2:$AA$282,MATCH(0,COUNTIF('Paste Here'!$AK$1:AK526,$AA$2:$AA$282),0)),"")</f>
        <v/>
      </c>
      <c r="AP527" s="33" t="str">
        <f>IF(COUNTIF('Paste Here'!$AK$2:AK527,'Paste Here'!AK527)=1,VALUE('Paste Here'!AK527),"")</f>
        <v/>
      </c>
    </row>
    <row r="528" spans="1:42" x14ac:dyDescent="0.3">
      <c r="A528"/>
      <c r="B528"/>
      <c r="C528"/>
      <c r="D528" s="4"/>
      <c r="E528"/>
      <c r="F528"/>
      <c r="G528"/>
      <c r="H528"/>
      <c r="AA528" s="33" t="str">
        <f t="shared" si="25"/>
        <v/>
      </c>
      <c r="AC528" s="33">
        <f t="shared" si="24"/>
        <v>1048540</v>
      </c>
      <c r="AD528" s="33" t="str">
        <f t="shared" si="26"/>
        <v/>
      </c>
      <c r="AE528" s="33" t="str" cm="1">
        <f t="array" ref="AE528">LOOKUP(2,1/($AB$2:$AB$1000=AB528),$AD$2:$AD$1000)</f>
        <v/>
      </c>
      <c r="AM528" s="39" t="str" cm="1">
        <f t="array" ref="AM528">IFERROR(IF(LOOKUP(2,1/($AA$2:$AA$1000=AK528),$AD$2:$AD$1000)=0,"",
LOOKUP(2,1/($AA$2:$AA$1000=AK528),$AD$2:$AD$1000)),"")</f>
        <v/>
      </c>
      <c r="AO528" s="33" t="str" cm="1">
        <f t="array" ref="AO528">IFERROR(INDEX($AA$2:$AA$282,MATCH(0,COUNTIF('Paste Here'!$AK$1:AK527,$AA$2:$AA$282),0)),"")</f>
        <v/>
      </c>
      <c r="AP528" s="33" t="str">
        <f>IF(COUNTIF('Paste Here'!$AK$2:AK528,'Paste Here'!AK528)=1,VALUE('Paste Here'!AK528),"")</f>
        <v/>
      </c>
    </row>
    <row r="529" spans="1:42" x14ac:dyDescent="0.3">
      <c r="A529"/>
      <c r="B529"/>
      <c r="C529"/>
      <c r="D529" s="4"/>
      <c r="E529"/>
      <c r="F529"/>
      <c r="G529"/>
      <c r="H529"/>
      <c r="AA529" s="33" t="str">
        <f t="shared" si="25"/>
        <v/>
      </c>
      <c r="AC529" s="33">
        <f t="shared" si="24"/>
        <v>1048540</v>
      </c>
      <c r="AD529" s="33" t="str">
        <f t="shared" si="26"/>
        <v/>
      </c>
      <c r="AE529" s="33" t="str" cm="1">
        <f t="array" ref="AE529">LOOKUP(2,1/($AB$2:$AB$1000=AB529),$AD$2:$AD$1000)</f>
        <v/>
      </c>
      <c r="AM529" s="39" t="str" cm="1">
        <f t="array" ref="AM529">IFERROR(IF(LOOKUP(2,1/($AA$2:$AA$1000=AK529),$AD$2:$AD$1000)=0,"",
LOOKUP(2,1/($AA$2:$AA$1000=AK529),$AD$2:$AD$1000)),"")</f>
        <v/>
      </c>
      <c r="AO529" s="33" t="str" cm="1">
        <f t="array" ref="AO529">IFERROR(INDEX($AA$2:$AA$282,MATCH(0,COUNTIF('Paste Here'!$AK$1:AK528,$AA$2:$AA$282),0)),"")</f>
        <v/>
      </c>
      <c r="AP529" s="33" t="str">
        <f>IF(COUNTIF('Paste Here'!$AK$2:AK529,'Paste Here'!AK529)=1,VALUE('Paste Here'!AK529),"")</f>
        <v/>
      </c>
    </row>
    <row r="530" spans="1:42" x14ac:dyDescent="0.3">
      <c r="A530"/>
      <c r="B530"/>
      <c r="C530"/>
      <c r="D530" s="4"/>
      <c r="E530"/>
      <c r="F530"/>
      <c r="G530"/>
      <c r="H530"/>
      <c r="AA530" s="33" t="str">
        <f t="shared" si="25"/>
        <v/>
      </c>
      <c r="AC530" s="33">
        <f t="shared" si="24"/>
        <v>1048540</v>
      </c>
      <c r="AD530" s="33" t="str">
        <f t="shared" si="26"/>
        <v/>
      </c>
      <c r="AE530" s="33" t="str" cm="1">
        <f t="array" ref="AE530">LOOKUP(2,1/($AB$2:$AB$1000=AB530),$AD$2:$AD$1000)</f>
        <v/>
      </c>
      <c r="AM530" s="39" t="str" cm="1">
        <f t="array" ref="AM530">IFERROR(IF(LOOKUP(2,1/($AA$2:$AA$1000=AK530),$AD$2:$AD$1000)=0,"",
LOOKUP(2,1/($AA$2:$AA$1000=AK530),$AD$2:$AD$1000)),"")</f>
        <v/>
      </c>
      <c r="AO530" s="33" t="str" cm="1">
        <f t="array" ref="AO530">IFERROR(INDEX($AA$2:$AA$282,MATCH(0,COUNTIF('Paste Here'!$AK$1:AK529,$AA$2:$AA$282),0)),"")</f>
        <v/>
      </c>
      <c r="AP530" s="33" t="str">
        <f>IF(COUNTIF('Paste Here'!$AK$2:AK530,'Paste Here'!AK530)=1,VALUE('Paste Here'!AK530),"")</f>
        <v/>
      </c>
    </row>
    <row r="531" spans="1:42" x14ac:dyDescent="0.3">
      <c r="A531"/>
      <c r="B531"/>
      <c r="C531"/>
      <c r="D531" s="4"/>
      <c r="E531"/>
      <c r="F531"/>
      <c r="G531"/>
      <c r="H531"/>
      <c r="AA531" s="33" t="str">
        <f t="shared" si="25"/>
        <v/>
      </c>
      <c r="AC531" s="33">
        <f t="shared" si="24"/>
        <v>1048540</v>
      </c>
      <c r="AD531" s="33" t="str">
        <f t="shared" si="26"/>
        <v/>
      </c>
      <c r="AE531" s="33" t="str" cm="1">
        <f t="array" ref="AE531">LOOKUP(2,1/($AB$2:$AB$1000=AB531),$AD$2:$AD$1000)</f>
        <v/>
      </c>
      <c r="AM531" s="39" t="str" cm="1">
        <f t="array" ref="AM531">IFERROR(IF(LOOKUP(2,1/($AA$2:$AA$1000=AK531),$AD$2:$AD$1000)=0,"",
LOOKUP(2,1/($AA$2:$AA$1000=AK531),$AD$2:$AD$1000)),"")</f>
        <v/>
      </c>
      <c r="AO531" s="33" t="str" cm="1">
        <f t="array" ref="AO531">IFERROR(INDEX($AA$2:$AA$282,MATCH(0,COUNTIF('Paste Here'!$AK$1:AK530,$AA$2:$AA$282),0)),"")</f>
        <v/>
      </c>
      <c r="AP531" s="33" t="str">
        <f>IF(COUNTIF('Paste Here'!$AK$2:AK531,'Paste Here'!AK531)=1,VALUE('Paste Here'!AK531),"")</f>
        <v/>
      </c>
    </row>
    <row r="532" spans="1:42" x14ac:dyDescent="0.3">
      <c r="A532"/>
      <c r="B532"/>
      <c r="C532"/>
      <c r="D532" s="4"/>
      <c r="E532"/>
      <c r="F532"/>
      <c r="G532"/>
      <c r="H532"/>
      <c r="AA532" s="33" t="str">
        <f t="shared" si="25"/>
        <v/>
      </c>
      <c r="AC532" s="33">
        <f t="shared" si="24"/>
        <v>1048540</v>
      </c>
      <c r="AD532" s="33" t="str">
        <f t="shared" si="26"/>
        <v/>
      </c>
      <c r="AE532" s="33" t="str" cm="1">
        <f t="array" ref="AE532">LOOKUP(2,1/($AB$2:$AB$1000=AB532),$AD$2:$AD$1000)</f>
        <v/>
      </c>
      <c r="AM532" s="39" t="str" cm="1">
        <f t="array" ref="AM532">IFERROR(IF(LOOKUP(2,1/($AA$2:$AA$1000=AK532),$AD$2:$AD$1000)=0,"",
LOOKUP(2,1/($AA$2:$AA$1000=AK532),$AD$2:$AD$1000)),"")</f>
        <v/>
      </c>
      <c r="AO532" s="33" t="str" cm="1">
        <f t="array" ref="AO532">IFERROR(INDEX($AA$2:$AA$282,MATCH(0,COUNTIF('Paste Here'!$AK$1:AK531,$AA$2:$AA$282),0)),"")</f>
        <v/>
      </c>
      <c r="AP532" s="33" t="str">
        <f>IF(COUNTIF('Paste Here'!$AK$2:AK532,'Paste Here'!AK532)=1,VALUE('Paste Here'!AK532),"")</f>
        <v/>
      </c>
    </row>
    <row r="533" spans="1:42" x14ac:dyDescent="0.3">
      <c r="A533"/>
      <c r="B533"/>
      <c r="C533"/>
      <c r="D533" s="4"/>
      <c r="E533"/>
      <c r="F533"/>
      <c r="G533"/>
      <c r="H533"/>
      <c r="AA533" s="33" t="str">
        <f t="shared" si="25"/>
        <v/>
      </c>
      <c r="AC533" s="33">
        <f t="shared" si="24"/>
        <v>1048540</v>
      </c>
      <c r="AD533" s="33" t="str">
        <f t="shared" si="26"/>
        <v/>
      </c>
      <c r="AE533" s="33" t="str" cm="1">
        <f t="array" ref="AE533">LOOKUP(2,1/($AB$2:$AB$1000=AB533),$AD$2:$AD$1000)</f>
        <v/>
      </c>
      <c r="AM533" s="39" t="str" cm="1">
        <f t="array" ref="AM533">IFERROR(IF(LOOKUP(2,1/($AA$2:$AA$1000=AK533),$AD$2:$AD$1000)=0,"",
LOOKUP(2,1/($AA$2:$AA$1000=AK533),$AD$2:$AD$1000)),"")</f>
        <v/>
      </c>
      <c r="AO533" s="33" t="str" cm="1">
        <f t="array" ref="AO533">IFERROR(INDEX($AA$2:$AA$282,MATCH(0,COUNTIF('Paste Here'!$AK$1:AK532,$AA$2:$AA$282),0)),"")</f>
        <v/>
      </c>
      <c r="AP533" s="33" t="str">
        <f>IF(COUNTIF('Paste Here'!$AK$2:AK533,'Paste Here'!AK533)=1,VALUE('Paste Here'!AK533),"")</f>
        <v/>
      </c>
    </row>
    <row r="534" spans="1:42" x14ac:dyDescent="0.3">
      <c r="A534"/>
      <c r="B534"/>
      <c r="C534"/>
      <c r="D534" s="4"/>
      <c r="E534"/>
      <c r="F534"/>
      <c r="G534"/>
      <c r="H534"/>
      <c r="AA534" s="33" t="str">
        <f t="shared" si="25"/>
        <v/>
      </c>
      <c r="AC534" s="33">
        <f t="shared" si="24"/>
        <v>1048540</v>
      </c>
      <c r="AD534" s="33" t="str">
        <f t="shared" si="26"/>
        <v/>
      </c>
      <c r="AE534" s="33" t="str" cm="1">
        <f t="array" ref="AE534">LOOKUP(2,1/($AB$2:$AB$1000=AB534),$AD$2:$AD$1000)</f>
        <v/>
      </c>
      <c r="AM534" s="39" t="str" cm="1">
        <f t="array" ref="AM534">IFERROR(IF(LOOKUP(2,1/($AA$2:$AA$1000=AK534),$AD$2:$AD$1000)=0,"",
LOOKUP(2,1/($AA$2:$AA$1000=AK534),$AD$2:$AD$1000)),"")</f>
        <v/>
      </c>
      <c r="AO534" s="33" t="str" cm="1">
        <f t="array" ref="AO534">IFERROR(INDEX($AA$2:$AA$282,MATCH(0,COUNTIF('Paste Here'!$AK$1:AK533,$AA$2:$AA$282),0)),"")</f>
        <v/>
      </c>
      <c r="AP534" s="33" t="str">
        <f>IF(COUNTIF('Paste Here'!$AK$2:AK534,'Paste Here'!AK534)=1,VALUE('Paste Here'!AK534),"")</f>
        <v/>
      </c>
    </row>
    <row r="535" spans="1:42" x14ac:dyDescent="0.3">
      <c r="A535"/>
      <c r="B535"/>
      <c r="C535"/>
      <c r="D535" s="4"/>
      <c r="E535"/>
      <c r="F535"/>
      <c r="G535"/>
      <c r="H535"/>
      <c r="AA535" s="33" t="str">
        <f t="shared" si="25"/>
        <v/>
      </c>
      <c r="AC535" s="33">
        <f t="shared" si="24"/>
        <v>1048540</v>
      </c>
      <c r="AD535" s="33" t="str">
        <f t="shared" si="26"/>
        <v/>
      </c>
      <c r="AE535" s="33" t="str" cm="1">
        <f t="array" ref="AE535">LOOKUP(2,1/($AB$2:$AB$1000=AB535),$AD$2:$AD$1000)</f>
        <v/>
      </c>
      <c r="AM535" s="39" t="str" cm="1">
        <f t="array" ref="AM535">IFERROR(IF(LOOKUP(2,1/($AA$2:$AA$1000=AK535),$AD$2:$AD$1000)=0,"",
LOOKUP(2,1/($AA$2:$AA$1000=AK535),$AD$2:$AD$1000)),"")</f>
        <v/>
      </c>
      <c r="AO535" s="33" t="str" cm="1">
        <f t="array" ref="AO535">IFERROR(INDEX($AA$2:$AA$282,MATCH(0,COUNTIF('Paste Here'!$AK$1:AK534,$AA$2:$AA$282),0)),"")</f>
        <v/>
      </c>
      <c r="AP535" s="33" t="str">
        <f>IF(COUNTIF('Paste Here'!$AK$2:AK535,'Paste Here'!AK535)=1,VALUE('Paste Here'!AK535),"")</f>
        <v/>
      </c>
    </row>
    <row r="536" spans="1:42" x14ac:dyDescent="0.3">
      <c r="A536"/>
      <c r="B536"/>
      <c r="C536"/>
      <c r="D536" s="4"/>
      <c r="E536"/>
      <c r="F536"/>
      <c r="G536"/>
      <c r="H536"/>
      <c r="AA536" s="33" t="str">
        <f t="shared" si="25"/>
        <v/>
      </c>
      <c r="AC536" s="33">
        <f t="shared" si="24"/>
        <v>1048540</v>
      </c>
      <c r="AD536" s="33" t="str">
        <f t="shared" si="26"/>
        <v/>
      </c>
      <c r="AE536" s="33" t="str" cm="1">
        <f t="array" ref="AE536">LOOKUP(2,1/($AB$2:$AB$1000=AB536),$AD$2:$AD$1000)</f>
        <v/>
      </c>
      <c r="AM536" s="39" t="str" cm="1">
        <f t="array" ref="AM536">IFERROR(IF(LOOKUP(2,1/($AA$2:$AA$1000=AK536),$AD$2:$AD$1000)=0,"",
LOOKUP(2,1/($AA$2:$AA$1000=AK536),$AD$2:$AD$1000)),"")</f>
        <v/>
      </c>
      <c r="AO536" s="33" t="str" cm="1">
        <f t="array" ref="AO536">IFERROR(INDEX($AA$2:$AA$282,MATCH(0,COUNTIF('Paste Here'!$AK$1:AK535,$AA$2:$AA$282),0)),"")</f>
        <v/>
      </c>
      <c r="AP536" s="33" t="str">
        <f>IF(COUNTIF('Paste Here'!$AK$2:AK536,'Paste Here'!AK536)=1,VALUE('Paste Here'!AK536),"")</f>
        <v/>
      </c>
    </row>
    <row r="537" spans="1:42" x14ac:dyDescent="0.3">
      <c r="A537"/>
      <c r="B537"/>
      <c r="C537"/>
      <c r="D537" s="4"/>
      <c r="E537"/>
      <c r="F537"/>
      <c r="G537"/>
      <c r="H537"/>
      <c r="AA537" s="33" t="str">
        <f t="shared" si="25"/>
        <v/>
      </c>
      <c r="AC537" s="33">
        <f t="shared" si="24"/>
        <v>1048540</v>
      </c>
      <c r="AD537" s="33" t="str">
        <f t="shared" si="26"/>
        <v/>
      </c>
      <c r="AE537" s="33" t="str" cm="1">
        <f t="array" ref="AE537">LOOKUP(2,1/($AB$2:$AB$1000=AB537),$AD$2:$AD$1000)</f>
        <v/>
      </c>
      <c r="AM537" s="39" t="str" cm="1">
        <f t="array" ref="AM537">IFERROR(IF(LOOKUP(2,1/($AA$2:$AA$1000=AK537),$AD$2:$AD$1000)=0,"",
LOOKUP(2,1/($AA$2:$AA$1000=AK537),$AD$2:$AD$1000)),"")</f>
        <v/>
      </c>
      <c r="AO537" s="33" t="str" cm="1">
        <f t="array" ref="AO537">IFERROR(INDEX($AA$2:$AA$282,MATCH(0,COUNTIF('Paste Here'!$AK$1:AK536,$AA$2:$AA$282),0)),"")</f>
        <v/>
      </c>
      <c r="AP537" s="33" t="str">
        <f>IF(COUNTIF('Paste Here'!$AK$2:AK537,'Paste Here'!AK537)=1,VALUE('Paste Here'!AK537),"")</f>
        <v/>
      </c>
    </row>
    <row r="538" spans="1:42" x14ac:dyDescent="0.3">
      <c r="A538"/>
      <c r="B538"/>
      <c r="C538"/>
      <c r="D538" s="4"/>
      <c r="E538"/>
      <c r="F538"/>
      <c r="G538"/>
      <c r="H538"/>
      <c r="AA538" s="33" t="str">
        <f t="shared" si="25"/>
        <v/>
      </c>
      <c r="AC538" s="33">
        <f t="shared" si="24"/>
        <v>1048540</v>
      </c>
      <c r="AD538" s="33" t="str">
        <f t="shared" si="26"/>
        <v/>
      </c>
      <c r="AE538" s="33" t="str" cm="1">
        <f t="array" ref="AE538">LOOKUP(2,1/($AB$2:$AB$1000=AB538),$AD$2:$AD$1000)</f>
        <v/>
      </c>
      <c r="AM538" s="39" t="str" cm="1">
        <f t="array" ref="AM538">IFERROR(IF(LOOKUP(2,1/($AA$2:$AA$1000=AK538),$AD$2:$AD$1000)=0,"",
LOOKUP(2,1/($AA$2:$AA$1000=AK538),$AD$2:$AD$1000)),"")</f>
        <v/>
      </c>
      <c r="AO538" s="33" t="str" cm="1">
        <f t="array" ref="AO538">IFERROR(INDEX($AA$2:$AA$282,MATCH(0,COUNTIF('Paste Here'!$AK$1:AK537,$AA$2:$AA$282),0)),"")</f>
        <v/>
      </c>
      <c r="AP538" s="33" t="str">
        <f>IF(COUNTIF('Paste Here'!$AK$2:AK538,'Paste Here'!AK538)=1,VALUE('Paste Here'!AK538),"")</f>
        <v/>
      </c>
    </row>
    <row r="539" spans="1:42" x14ac:dyDescent="0.3">
      <c r="A539"/>
      <c r="B539"/>
      <c r="C539"/>
      <c r="D539" s="4"/>
      <c r="E539"/>
      <c r="F539"/>
      <c r="G539"/>
      <c r="H539"/>
      <c r="AA539" s="33" t="str">
        <f t="shared" si="25"/>
        <v/>
      </c>
      <c r="AC539" s="33">
        <f t="shared" si="24"/>
        <v>1048540</v>
      </c>
      <c r="AD539" s="33" t="str">
        <f t="shared" si="26"/>
        <v/>
      </c>
      <c r="AE539" s="33" t="str" cm="1">
        <f t="array" ref="AE539">LOOKUP(2,1/($AB$2:$AB$1000=AB539),$AD$2:$AD$1000)</f>
        <v/>
      </c>
      <c r="AM539" s="39" t="str" cm="1">
        <f t="array" ref="AM539">IFERROR(IF(LOOKUP(2,1/($AA$2:$AA$1000=AK539),$AD$2:$AD$1000)=0,"",
LOOKUP(2,1/($AA$2:$AA$1000=AK539),$AD$2:$AD$1000)),"")</f>
        <v/>
      </c>
      <c r="AO539" s="33" t="str" cm="1">
        <f t="array" ref="AO539">IFERROR(INDEX($AA$2:$AA$282,MATCH(0,COUNTIF('Paste Here'!$AK$1:AK538,$AA$2:$AA$282),0)),"")</f>
        <v/>
      </c>
      <c r="AP539" s="33" t="str">
        <f>IF(COUNTIF('Paste Here'!$AK$2:AK539,'Paste Here'!AK539)=1,VALUE('Paste Here'!AK539),"")</f>
        <v/>
      </c>
    </row>
    <row r="540" spans="1:42" x14ac:dyDescent="0.3">
      <c r="A540" s="2"/>
      <c r="B540" s="2"/>
      <c r="C540" s="2"/>
      <c r="D540" s="3"/>
      <c r="E540" s="2"/>
      <c r="F540" s="2"/>
      <c r="G540" s="2"/>
      <c r="H540" s="2"/>
      <c r="AA540" s="33" t="str">
        <f t="shared" si="25"/>
        <v/>
      </c>
      <c r="AC540" s="33">
        <f t="shared" si="24"/>
        <v>1048540</v>
      </c>
      <c r="AD540" s="33" t="str">
        <f t="shared" si="26"/>
        <v/>
      </c>
      <c r="AE540" s="33" t="str" cm="1">
        <f t="array" ref="AE540">LOOKUP(2,1/($AB$2:$AB$1000=AB540),$AD$2:$AD$1000)</f>
        <v/>
      </c>
      <c r="AM540" s="39" t="str" cm="1">
        <f t="array" ref="AM540">IFERROR(IF(LOOKUP(2,1/($AA$2:$AA$1000=AK540),$AD$2:$AD$1000)=0,"",
LOOKUP(2,1/($AA$2:$AA$1000=AK540),$AD$2:$AD$1000)),"")</f>
        <v/>
      </c>
      <c r="AO540" s="33" t="str" cm="1">
        <f t="array" ref="AO540">IFERROR(INDEX($AA$2:$AA$282,MATCH(0,COUNTIF('Paste Here'!$AK$1:AK539,$AA$2:$AA$282),0)),"")</f>
        <v/>
      </c>
      <c r="AP540" s="33" t="str">
        <f>IF(COUNTIF('Paste Here'!$AK$2:AK540,'Paste Here'!AK540)=1,VALUE('Paste Here'!AK540),"")</f>
        <v/>
      </c>
    </row>
    <row r="541" spans="1:42" x14ac:dyDescent="0.3">
      <c r="A541" s="2"/>
      <c r="B541" s="2"/>
      <c r="C541" s="2"/>
      <c r="D541" s="3"/>
      <c r="E541" s="2"/>
      <c r="F541" s="2"/>
      <c r="G541" s="2"/>
      <c r="H541" s="2"/>
      <c r="AA541" s="33" t="str">
        <f t="shared" si="25"/>
        <v/>
      </c>
      <c r="AC541" s="33">
        <f t="shared" si="24"/>
        <v>1048540</v>
      </c>
      <c r="AD541" s="33" t="str">
        <f t="shared" si="26"/>
        <v/>
      </c>
      <c r="AE541" s="33" t="str" cm="1">
        <f t="array" ref="AE541">LOOKUP(2,1/($AB$2:$AB$1000=AB541),$AD$2:$AD$1000)</f>
        <v/>
      </c>
      <c r="AM541" s="39" t="str" cm="1">
        <f t="array" ref="AM541">IFERROR(IF(LOOKUP(2,1/($AA$2:$AA$1000=AK541),$AD$2:$AD$1000)=0,"",
LOOKUP(2,1/($AA$2:$AA$1000=AK541),$AD$2:$AD$1000)),"")</f>
        <v/>
      </c>
      <c r="AO541" s="33" t="str" cm="1">
        <f t="array" ref="AO541">IFERROR(INDEX($AA$2:$AA$282,MATCH(0,COUNTIF('Paste Here'!$AK$1:AK540,$AA$2:$AA$282),0)),"")</f>
        <v/>
      </c>
      <c r="AP541" s="33" t="str">
        <f>IF(COUNTIF('Paste Here'!$AK$2:AK541,'Paste Here'!AK541)=1,VALUE('Paste Here'!AK541),"")</f>
        <v/>
      </c>
    </row>
    <row r="542" spans="1:42" x14ac:dyDescent="0.3">
      <c r="A542" s="2"/>
      <c r="B542" s="2"/>
      <c r="C542" s="2"/>
      <c r="D542" s="3"/>
      <c r="E542" s="2"/>
      <c r="F542" s="2"/>
      <c r="G542" s="2"/>
      <c r="H542" s="2"/>
      <c r="AA542" s="33" t="str">
        <f t="shared" si="25"/>
        <v/>
      </c>
      <c r="AC542" s="33">
        <f t="shared" si="24"/>
        <v>1048540</v>
      </c>
      <c r="AD542" s="33" t="str">
        <f t="shared" si="26"/>
        <v/>
      </c>
      <c r="AE542" s="33" t="str" cm="1">
        <f t="array" ref="AE542">LOOKUP(2,1/($AB$2:$AB$1000=AB542),$AD$2:$AD$1000)</f>
        <v/>
      </c>
      <c r="AM542" s="39" t="str" cm="1">
        <f t="array" ref="AM542">IFERROR(IF(LOOKUP(2,1/($AA$2:$AA$1000=AK542),$AD$2:$AD$1000)=0,"",
LOOKUP(2,1/($AA$2:$AA$1000=AK542),$AD$2:$AD$1000)),"")</f>
        <v/>
      </c>
      <c r="AO542" s="33" t="str" cm="1">
        <f t="array" ref="AO542">IFERROR(INDEX($AA$2:$AA$282,MATCH(0,COUNTIF('Paste Here'!$AK$1:AK541,$AA$2:$AA$282),0)),"")</f>
        <v/>
      </c>
      <c r="AP542" s="33" t="str">
        <f>IF(COUNTIF('Paste Here'!$AK$2:AK542,'Paste Here'!AK542)=1,VALUE('Paste Here'!AK542),"")</f>
        <v/>
      </c>
    </row>
    <row r="543" spans="1:42" x14ac:dyDescent="0.3">
      <c r="A543" s="2"/>
      <c r="B543" s="2"/>
      <c r="C543" s="2"/>
      <c r="D543" s="3"/>
      <c r="E543" s="2"/>
      <c r="F543" s="2"/>
      <c r="G543" s="2"/>
      <c r="H543" s="2"/>
      <c r="AA543" s="33" t="str">
        <f t="shared" si="25"/>
        <v/>
      </c>
      <c r="AC543" s="33">
        <f t="shared" si="24"/>
        <v>1048540</v>
      </c>
      <c r="AD543" s="33" t="str">
        <f t="shared" si="26"/>
        <v/>
      </c>
      <c r="AE543" s="33" t="str" cm="1">
        <f t="array" ref="AE543">LOOKUP(2,1/($AB$2:$AB$1000=AB543),$AD$2:$AD$1000)</f>
        <v/>
      </c>
      <c r="AM543" s="39" t="str" cm="1">
        <f t="array" ref="AM543">IFERROR(IF(LOOKUP(2,1/($AA$2:$AA$1000=AK543),$AD$2:$AD$1000)=0,"",
LOOKUP(2,1/($AA$2:$AA$1000=AK543),$AD$2:$AD$1000)),"")</f>
        <v/>
      </c>
      <c r="AO543" s="33" t="str" cm="1">
        <f t="array" ref="AO543">IFERROR(INDEX($AA$2:$AA$282,MATCH(0,COUNTIF('Paste Here'!$AK$1:AK542,$AA$2:$AA$282),0)),"")</f>
        <v/>
      </c>
      <c r="AP543" s="33" t="str">
        <f>IF(COUNTIF('Paste Here'!$AK$2:AK543,'Paste Here'!AK543)=1,VALUE('Paste Here'!AK543),"")</f>
        <v/>
      </c>
    </row>
    <row r="544" spans="1:42" x14ac:dyDescent="0.3">
      <c r="A544" s="2"/>
      <c r="B544" s="2"/>
      <c r="C544" s="2"/>
      <c r="D544" s="3"/>
      <c r="E544" s="2"/>
      <c r="F544" s="2"/>
      <c r="G544" s="2"/>
      <c r="H544" s="2"/>
      <c r="AA544" s="33" t="str">
        <f t="shared" si="25"/>
        <v/>
      </c>
      <c r="AC544" s="33">
        <f t="shared" si="24"/>
        <v>1048540</v>
      </c>
      <c r="AD544" s="33" t="str">
        <f t="shared" si="26"/>
        <v/>
      </c>
      <c r="AE544" s="33" t="str" cm="1">
        <f t="array" ref="AE544">LOOKUP(2,1/($AB$2:$AB$1000=AB544),$AD$2:$AD$1000)</f>
        <v/>
      </c>
      <c r="AM544" s="39" t="str" cm="1">
        <f t="array" ref="AM544">IFERROR(IF(LOOKUP(2,1/($AA$2:$AA$1000=AK544),$AD$2:$AD$1000)=0,"",
LOOKUP(2,1/($AA$2:$AA$1000=AK544),$AD$2:$AD$1000)),"")</f>
        <v/>
      </c>
      <c r="AO544" s="33" t="str" cm="1">
        <f t="array" ref="AO544">IFERROR(INDEX($AA$2:$AA$282,MATCH(0,COUNTIF('Paste Here'!$AK$1:AK543,$AA$2:$AA$282),0)),"")</f>
        <v/>
      </c>
      <c r="AP544" s="33" t="str">
        <f>IF(COUNTIF('Paste Here'!$AK$2:AK544,'Paste Here'!AK544)=1,VALUE('Paste Here'!AK544),"")</f>
        <v/>
      </c>
    </row>
    <row r="545" spans="1:42" x14ac:dyDescent="0.3">
      <c r="A545" s="2"/>
      <c r="B545" s="2"/>
      <c r="C545" s="2"/>
      <c r="D545" s="3"/>
      <c r="E545" s="2"/>
      <c r="F545" s="2"/>
      <c r="G545" s="2"/>
      <c r="H545" s="2"/>
      <c r="AA545" s="33" t="str">
        <f t="shared" si="25"/>
        <v/>
      </c>
      <c r="AC545" s="33">
        <f t="shared" si="24"/>
        <v>1048540</v>
      </c>
      <c r="AD545" s="33" t="str">
        <f t="shared" si="26"/>
        <v/>
      </c>
      <c r="AE545" s="33" t="str" cm="1">
        <f t="array" ref="AE545">LOOKUP(2,1/($AB$2:$AB$1000=AB545),$AD$2:$AD$1000)</f>
        <v/>
      </c>
      <c r="AM545" s="39" t="str" cm="1">
        <f t="array" ref="AM545">IFERROR(IF(LOOKUP(2,1/($AA$2:$AA$1000=AK545),$AD$2:$AD$1000)=0,"",
LOOKUP(2,1/($AA$2:$AA$1000=AK545),$AD$2:$AD$1000)),"")</f>
        <v/>
      </c>
      <c r="AO545" s="33" t="str" cm="1">
        <f t="array" ref="AO545">IFERROR(INDEX($AA$2:$AA$282,MATCH(0,COUNTIF('Paste Here'!$AK$1:AK544,$AA$2:$AA$282),0)),"")</f>
        <v/>
      </c>
      <c r="AP545" s="33" t="str">
        <f>IF(COUNTIF('Paste Here'!$AK$2:AK545,'Paste Here'!AK545)=1,VALUE('Paste Here'!AK545),"")</f>
        <v/>
      </c>
    </row>
    <row r="546" spans="1:42" x14ac:dyDescent="0.3">
      <c r="A546" s="2"/>
      <c r="B546" s="2"/>
      <c r="C546" s="2"/>
      <c r="D546" s="3"/>
      <c r="E546" s="2"/>
      <c r="F546" s="2"/>
      <c r="G546" s="2"/>
      <c r="H546" s="2"/>
      <c r="AA546" s="33" t="str">
        <f t="shared" si="25"/>
        <v/>
      </c>
      <c r="AC546" s="33">
        <f t="shared" si="24"/>
        <v>1048540</v>
      </c>
      <c r="AD546" s="33" t="str">
        <f t="shared" si="26"/>
        <v/>
      </c>
      <c r="AE546" s="33" t="str" cm="1">
        <f t="array" ref="AE546">LOOKUP(2,1/($AB$2:$AB$1000=AB546),$AD$2:$AD$1000)</f>
        <v/>
      </c>
      <c r="AM546" s="39" t="str" cm="1">
        <f t="array" ref="AM546">IFERROR(IF(LOOKUP(2,1/($AA$2:$AA$1000=AK546),$AD$2:$AD$1000)=0,"",
LOOKUP(2,1/($AA$2:$AA$1000=AK546),$AD$2:$AD$1000)),"")</f>
        <v/>
      </c>
      <c r="AO546" s="33" t="str" cm="1">
        <f t="array" ref="AO546">IFERROR(INDEX($AA$2:$AA$282,MATCH(0,COUNTIF('Paste Here'!$AK$1:AK545,$AA$2:$AA$282),0)),"")</f>
        <v/>
      </c>
      <c r="AP546" s="33" t="str">
        <f>IF(COUNTIF('Paste Here'!$AK$2:AK546,'Paste Here'!AK546)=1,VALUE('Paste Here'!AK546),"")</f>
        <v/>
      </c>
    </row>
    <row r="547" spans="1:42" x14ac:dyDescent="0.3">
      <c r="A547" s="2"/>
      <c r="B547" s="2"/>
      <c r="C547" s="2"/>
      <c r="D547" s="3"/>
      <c r="E547" s="2"/>
      <c r="F547" s="2"/>
      <c r="G547" s="2"/>
      <c r="H547" s="2"/>
      <c r="AA547" s="33" t="str">
        <f t="shared" si="25"/>
        <v/>
      </c>
      <c r="AC547" s="33">
        <f t="shared" si="24"/>
        <v>1048540</v>
      </c>
      <c r="AD547" s="33" t="str">
        <f t="shared" si="26"/>
        <v/>
      </c>
      <c r="AE547" s="33" t="str" cm="1">
        <f t="array" ref="AE547">LOOKUP(2,1/($AB$2:$AB$1000=AB547),$AD$2:$AD$1000)</f>
        <v/>
      </c>
      <c r="AM547" s="39" t="str" cm="1">
        <f t="array" ref="AM547">IFERROR(IF(LOOKUP(2,1/($AA$2:$AA$1000=AK547),$AD$2:$AD$1000)=0,"",
LOOKUP(2,1/($AA$2:$AA$1000=AK547),$AD$2:$AD$1000)),"")</f>
        <v/>
      </c>
      <c r="AO547" s="33" t="str" cm="1">
        <f t="array" ref="AO547">IFERROR(INDEX($AA$2:$AA$282,MATCH(0,COUNTIF('Paste Here'!$AK$1:AK546,$AA$2:$AA$282),0)),"")</f>
        <v/>
      </c>
      <c r="AP547" s="33" t="str">
        <f>IF(COUNTIF('Paste Here'!$AK$2:AK547,'Paste Here'!AK547)=1,VALUE('Paste Here'!AK547),"")</f>
        <v/>
      </c>
    </row>
    <row r="548" spans="1:42" x14ac:dyDescent="0.3">
      <c r="A548" s="2"/>
      <c r="B548" s="2"/>
      <c r="C548" s="2"/>
      <c r="D548" s="3"/>
      <c r="E548" s="2"/>
      <c r="F548" s="2"/>
      <c r="G548" s="2"/>
      <c r="H548" s="2"/>
      <c r="AA548" s="33" t="str">
        <f t="shared" si="25"/>
        <v/>
      </c>
      <c r="AC548" s="33">
        <f t="shared" si="24"/>
        <v>1048540</v>
      </c>
      <c r="AD548" s="33" t="str">
        <f t="shared" si="26"/>
        <v/>
      </c>
      <c r="AE548" s="33" t="str" cm="1">
        <f t="array" ref="AE548">LOOKUP(2,1/($AB$2:$AB$1000=AB548),$AD$2:$AD$1000)</f>
        <v/>
      </c>
      <c r="AM548" s="39" t="str" cm="1">
        <f t="array" ref="AM548">IFERROR(IF(LOOKUP(2,1/($AA$2:$AA$1000=AK548),$AD$2:$AD$1000)=0,"",
LOOKUP(2,1/($AA$2:$AA$1000=AK548),$AD$2:$AD$1000)),"")</f>
        <v/>
      </c>
      <c r="AO548" s="33" t="str" cm="1">
        <f t="array" ref="AO548">IFERROR(INDEX($AA$2:$AA$282,MATCH(0,COUNTIF('Paste Here'!$AK$1:AK547,$AA$2:$AA$282),0)),"")</f>
        <v/>
      </c>
      <c r="AP548" s="33" t="str">
        <f>IF(COUNTIF('Paste Here'!$AK$2:AK548,'Paste Here'!AK548)=1,VALUE('Paste Here'!AK548),"")</f>
        <v/>
      </c>
    </row>
    <row r="549" spans="1:42" x14ac:dyDescent="0.3">
      <c r="A549" s="2"/>
      <c r="B549" s="2"/>
      <c r="C549" s="2"/>
      <c r="D549" s="3"/>
      <c r="E549" s="2"/>
      <c r="F549" s="2"/>
      <c r="G549" s="2"/>
      <c r="H549" s="2"/>
      <c r="AA549" s="33" t="str">
        <f t="shared" si="25"/>
        <v/>
      </c>
      <c r="AC549" s="33">
        <f t="shared" si="24"/>
        <v>1048540</v>
      </c>
      <c r="AD549" s="33" t="str">
        <f t="shared" si="26"/>
        <v/>
      </c>
      <c r="AE549" s="33" t="str" cm="1">
        <f t="array" ref="AE549">LOOKUP(2,1/($AB$2:$AB$1000=AB549),$AD$2:$AD$1000)</f>
        <v/>
      </c>
      <c r="AM549" s="39" t="str" cm="1">
        <f t="array" ref="AM549">IFERROR(IF(LOOKUP(2,1/($AA$2:$AA$1000=AK549),$AD$2:$AD$1000)=0,"",
LOOKUP(2,1/($AA$2:$AA$1000=AK549),$AD$2:$AD$1000)),"")</f>
        <v/>
      </c>
      <c r="AO549" s="33" t="str" cm="1">
        <f t="array" ref="AO549">IFERROR(INDEX($AA$2:$AA$282,MATCH(0,COUNTIF('Paste Here'!$AK$1:AK548,$AA$2:$AA$282),0)),"")</f>
        <v/>
      </c>
      <c r="AP549" s="33" t="str">
        <f>IF(COUNTIF('Paste Here'!$AK$2:AK549,'Paste Here'!AK549)=1,VALUE('Paste Here'!AK549),"")</f>
        <v/>
      </c>
    </row>
    <row r="550" spans="1:42" x14ac:dyDescent="0.3">
      <c r="A550" s="2"/>
      <c r="B550" s="2"/>
      <c r="C550" s="2"/>
      <c r="D550" s="3"/>
      <c r="E550" s="2"/>
      <c r="F550" s="2"/>
      <c r="G550" s="2"/>
      <c r="H550" s="2"/>
      <c r="AA550" s="33" t="str">
        <f t="shared" si="25"/>
        <v/>
      </c>
      <c r="AC550" s="33">
        <f t="shared" si="24"/>
        <v>1048540</v>
      </c>
      <c r="AD550" s="33" t="str">
        <f t="shared" si="26"/>
        <v/>
      </c>
      <c r="AE550" s="33" t="str" cm="1">
        <f t="array" ref="AE550">LOOKUP(2,1/($AB$2:$AB$1000=AB550),$AD$2:$AD$1000)</f>
        <v/>
      </c>
      <c r="AM550" s="39" t="str" cm="1">
        <f t="array" ref="AM550">IFERROR(IF(LOOKUP(2,1/($AA$2:$AA$1000=AK550),$AD$2:$AD$1000)=0,"",
LOOKUP(2,1/($AA$2:$AA$1000=AK550),$AD$2:$AD$1000)),"")</f>
        <v/>
      </c>
      <c r="AO550" s="33" t="str" cm="1">
        <f t="array" ref="AO550">IFERROR(INDEX($AA$2:$AA$282,MATCH(0,COUNTIF('Paste Here'!$AK$1:AK549,$AA$2:$AA$282),0)),"")</f>
        <v/>
      </c>
      <c r="AP550" s="33" t="str">
        <f>IF(COUNTIF('Paste Here'!$AK$2:AK550,'Paste Here'!AK550)=1,VALUE('Paste Here'!AK550),"")</f>
        <v/>
      </c>
    </row>
    <row r="551" spans="1:42" x14ac:dyDescent="0.3">
      <c r="A551" s="2"/>
      <c r="B551" s="2"/>
      <c r="C551" s="2"/>
      <c r="D551" s="3"/>
      <c r="E551" s="2"/>
      <c r="F551" s="2"/>
      <c r="G551" s="2"/>
      <c r="H551" s="2"/>
      <c r="AA551" s="33" t="str">
        <f t="shared" si="25"/>
        <v/>
      </c>
      <c r="AC551" s="33">
        <f t="shared" si="24"/>
        <v>1048540</v>
      </c>
      <c r="AD551" s="33" t="str">
        <f t="shared" si="26"/>
        <v/>
      </c>
      <c r="AE551" s="33" t="str" cm="1">
        <f t="array" ref="AE551">LOOKUP(2,1/($AB$2:$AB$1000=AB551),$AD$2:$AD$1000)</f>
        <v/>
      </c>
      <c r="AM551" s="39" t="str" cm="1">
        <f t="array" ref="AM551">IFERROR(IF(LOOKUP(2,1/($AA$2:$AA$1000=AK551),$AD$2:$AD$1000)=0,"",
LOOKUP(2,1/($AA$2:$AA$1000=AK551),$AD$2:$AD$1000)),"")</f>
        <v/>
      </c>
      <c r="AO551" s="33" t="str" cm="1">
        <f t="array" ref="AO551">IFERROR(INDEX($AA$2:$AA$282,MATCH(0,COUNTIF('Paste Here'!$AK$1:AK550,$AA$2:$AA$282),0)),"")</f>
        <v/>
      </c>
      <c r="AP551" s="33" t="str">
        <f>IF(COUNTIF('Paste Here'!$AK$2:AK551,'Paste Here'!AK551)=1,VALUE('Paste Here'!AK551),"")</f>
        <v/>
      </c>
    </row>
    <row r="552" spans="1:42" x14ac:dyDescent="0.3">
      <c r="A552" s="2"/>
      <c r="B552" s="2"/>
      <c r="C552" s="2"/>
      <c r="D552" s="3"/>
      <c r="E552" s="2"/>
      <c r="F552" s="2"/>
      <c r="G552" s="2"/>
      <c r="H552" s="2"/>
      <c r="AA552" s="33" t="str">
        <f t="shared" si="25"/>
        <v/>
      </c>
      <c r="AC552" s="33">
        <f t="shared" si="24"/>
        <v>1048540</v>
      </c>
      <c r="AD552" s="33" t="str">
        <f t="shared" si="26"/>
        <v/>
      </c>
      <c r="AE552" s="33" t="str" cm="1">
        <f t="array" ref="AE552">LOOKUP(2,1/($AB$2:$AB$1000=AB552),$AD$2:$AD$1000)</f>
        <v/>
      </c>
      <c r="AM552" s="39" t="str" cm="1">
        <f t="array" ref="AM552">IFERROR(IF(LOOKUP(2,1/($AA$2:$AA$1000=AK552),$AD$2:$AD$1000)=0,"",
LOOKUP(2,1/($AA$2:$AA$1000=AK552),$AD$2:$AD$1000)),"")</f>
        <v/>
      </c>
      <c r="AO552" s="33" t="str" cm="1">
        <f t="array" ref="AO552">IFERROR(INDEX($AA$2:$AA$282,MATCH(0,COUNTIF('Paste Here'!$AK$1:AK551,$AA$2:$AA$282),0)),"")</f>
        <v/>
      </c>
      <c r="AP552" s="33" t="str">
        <f>IF(COUNTIF('Paste Here'!$AK$2:AK552,'Paste Here'!AK552)=1,VALUE('Paste Here'!AK552),"")</f>
        <v/>
      </c>
    </row>
    <row r="553" spans="1:42" x14ac:dyDescent="0.3">
      <c r="A553" s="2"/>
      <c r="B553" s="2"/>
      <c r="C553" s="2"/>
      <c r="D553" s="3"/>
      <c r="E553" s="2"/>
      <c r="F553" s="2"/>
      <c r="G553" s="2"/>
      <c r="H553" s="2"/>
      <c r="AA553" s="33" t="str">
        <f t="shared" si="25"/>
        <v/>
      </c>
      <c r="AC553" s="33">
        <f t="shared" si="24"/>
        <v>1048540</v>
      </c>
      <c r="AD553" s="33" t="str">
        <f t="shared" si="26"/>
        <v/>
      </c>
      <c r="AE553" s="33" t="str" cm="1">
        <f t="array" ref="AE553">LOOKUP(2,1/($AB$2:$AB$1000=AB553),$AD$2:$AD$1000)</f>
        <v/>
      </c>
      <c r="AM553" s="39" t="str" cm="1">
        <f t="array" ref="AM553">IFERROR(IF(LOOKUP(2,1/($AA$2:$AA$1000=AK553),$AD$2:$AD$1000)=0,"",
LOOKUP(2,1/($AA$2:$AA$1000=AK553),$AD$2:$AD$1000)),"")</f>
        <v/>
      </c>
      <c r="AO553" s="33" t="str" cm="1">
        <f t="array" ref="AO553">IFERROR(INDEX($AA$2:$AA$282,MATCH(0,COUNTIF('Paste Here'!$AK$1:AK552,$AA$2:$AA$282),0)),"")</f>
        <v/>
      </c>
      <c r="AP553" s="33" t="str">
        <f>IF(COUNTIF('Paste Here'!$AK$2:AK553,'Paste Here'!AK553)=1,VALUE('Paste Here'!AK553),"")</f>
        <v/>
      </c>
    </row>
    <row r="554" spans="1:42" x14ac:dyDescent="0.3">
      <c r="A554" s="2"/>
      <c r="B554" s="2"/>
      <c r="C554" s="2"/>
      <c r="D554" s="3"/>
      <c r="E554" s="2"/>
      <c r="F554" s="2"/>
      <c r="G554" s="2"/>
      <c r="H554" s="2"/>
      <c r="AA554" s="33" t="str">
        <f t="shared" si="25"/>
        <v/>
      </c>
      <c r="AC554" s="33">
        <f t="shared" si="24"/>
        <v>1048540</v>
      </c>
      <c r="AD554" s="33" t="str">
        <f t="shared" si="26"/>
        <v/>
      </c>
      <c r="AE554" s="33" t="str" cm="1">
        <f t="array" ref="AE554">LOOKUP(2,1/($AB$2:$AB$1000=AB554),$AD$2:$AD$1000)</f>
        <v/>
      </c>
      <c r="AM554" s="39" t="str" cm="1">
        <f t="array" ref="AM554">IFERROR(IF(LOOKUP(2,1/($AA$2:$AA$1000=AK554),$AD$2:$AD$1000)=0,"",
LOOKUP(2,1/($AA$2:$AA$1000=AK554),$AD$2:$AD$1000)),"")</f>
        <v/>
      </c>
      <c r="AO554" s="33" t="str" cm="1">
        <f t="array" ref="AO554">IFERROR(INDEX($AA$2:$AA$282,MATCH(0,COUNTIF('Paste Here'!$AK$1:AK553,$AA$2:$AA$282),0)),"")</f>
        <v/>
      </c>
      <c r="AP554" s="33" t="str">
        <f>IF(COUNTIF('Paste Here'!$AK$2:AK554,'Paste Here'!AK554)=1,VALUE('Paste Here'!AK554),"")</f>
        <v/>
      </c>
    </row>
    <row r="555" spans="1:42" x14ac:dyDescent="0.3">
      <c r="A555" s="2"/>
      <c r="B555" s="2"/>
      <c r="C555" s="2"/>
      <c r="D555" s="3"/>
      <c r="E555" s="2"/>
      <c r="F555" s="2"/>
      <c r="G555" s="2"/>
      <c r="H555" s="2"/>
      <c r="AA555" s="33" t="str">
        <f t="shared" si="25"/>
        <v/>
      </c>
      <c r="AC555" s="33">
        <f t="shared" si="24"/>
        <v>1048540</v>
      </c>
      <c r="AD555" s="33" t="str">
        <f t="shared" si="26"/>
        <v/>
      </c>
      <c r="AE555" s="33" t="str" cm="1">
        <f t="array" ref="AE555">LOOKUP(2,1/($AB$2:$AB$1000=AB555),$AD$2:$AD$1000)</f>
        <v/>
      </c>
      <c r="AM555" s="39" t="str" cm="1">
        <f t="array" ref="AM555">IFERROR(IF(LOOKUP(2,1/($AA$2:$AA$1000=AK555),$AD$2:$AD$1000)=0,"",
LOOKUP(2,1/($AA$2:$AA$1000=AK555),$AD$2:$AD$1000)),"")</f>
        <v/>
      </c>
      <c r="AO555" s="33" t="str" cm="1">
        <f t="array" ref="AO555">IFERROR(INDEX($AA$2:$AA$282,MATCH(0,COUNTIF('Paste Here'!$AK$1:AK554,$AA$2:$AA$282),0)),"")</f>
        <v/>
      </c>
      <c r="AP555" s="33" t="str">
        <f>IF(COUNTIF('Paste Here'!$AK$2:AK555,'Paste Here'!AK555)=1,VALUE('Paste Here'!AK555),"")</f>
        <v/>
      </c>
    </row>
    <row r="556" spans="1:42" x14ac:dyDescent="0.3">
      <c r="A556" s="2"/>
      <c r="B556" s="2"/>
      <c r="C556" s="2"/>
      <c r="D556" s="3"/>
      <c r="E556" s="2"/>
      <c r="F556" s="2"/>
      <c r="G556" s="2"/>
      <c r="H556" s="2"/>
      <c r="AA556" s="33" t="str">
        <f t="shared" si="25"/>
        <v/>
      </c>
      <c r="AC556" s="33">
        <f t="shared" si="24"/>
        <v>1048540</v>
      </c>
      <c r="AD556" s="33" t="str">
        <f t="shared" si="26"/>
        <v/>
      </c>
      <c r="AE556" s="33" t="str" cm="1">
        <f t="array" ref="AE556">LOOKUP(2,1/($AB$2:$AB$1000=AB556),$AD$2:$AD$1000)</f>
        <v/>
      </c>
      <c r="AM556" s="39" t="str" cm="1">
        <f t="array" ref="AM556">IFERROR(IF(LOOKUP(2,1/($AA$2:$AA$1000=AK556),$AD$2:$AD$1000)=0,"",
LOOKUP(2,1/($AA$2:$AA$1000=AK556),$AD$2:$AD$1000)),"")</f>
        <v/>
      </c>
      <c r="AO556" s="33" t="str" cm="1">
        <f t="array" ref="AO556">IFERROR(INDEX($AA$2:$AA$282,MATCH(0,COUNTIF('Paste Here'!$AK$1:AK555,$AA$2:$AA$282),0)),"")</f>
        <v/>
      </c>
      <c r="AP556" s="33" t="str">
        <f>IF(COUNTIF('Paste Here'!$AK$2:AK556,'Paste Here'!AK556)=1,VALUE('Paste Here'!AK556),"")</f>
        <v/>
      </c>
    </row>
    <row r="557" spans="1:42" x14ac:dyDescent="0.3">
      <c r="A557" s="2"/>
      <c r="B557" s="2"/>
      <c r="C557" s="2"/>
      <c r="D557" s="3"/>
      <c r="E557" s="2"/>
      <c r="F557" s="2"/>
      <c r="G557" s="2"/>
      <c r="H557" s="2"/>
      <c r="AA557" s="33" t="str">
        <f t="shared" si="25"/>
        <v/>
      </c>
      <c r="AC557" s="33">
        <f t="shared" si="24"/>
        <v>1048540</v>
      </c>
      <c r="AD557" s="33" t="str">
        <f t="shared" si="26"/>
        <v/>
      </c>
      <c r="AE557" s="33" t="str" cm="1">
        <f t="array" ref="AE557">LOOKUP(2,1/($AB$2:$AB$1000=AB557),$AD$2:$AD$1000)</f>
        <v/>
      </c>
      <c r="AM557" s="39" t="str" cm="1">
        <f t="array" ref="AM557">IFERROR(IF(LOOKUP(2,1/($AA$2:$AA$1000=AK557),$AD$2:$AD$1000)=0,"",
LOOKUP(2,1/($AA$2:$AA$1000=AK557),$AD$2:$AD$1000)),"")</f>
        <v/>
      </c>
      <c r="AO557" s="33" t="str" cm="1">
        <f t="array" ref="AO557">IFERROR(INDEX($AA$2:$AA$282,MATCH(0,COUNTIF('Paste Here'!$AK$1:AK556,$AA$2:$AA$282),0)),"")</f>
        <v/>
      </c>
      <c r="AP557" s="33" t="str">
        <f>IF(COUNTIF('Paste Here'!$AK$2:AK557,'Paste Here'!AK557)=1,VALUE('Paste Here'!AK557),"")</f>
        <v/>
      </c>
    </row>
    <row r="558" spans="1:42" x14ac:dyDescent="0.3">
      <c r="A558" s="2"/>
      <c r="B558" s="2"/>
      <c r="C558" s="2"/>
      <c r="D558" s="3"/>
      <c r="E558" s="2"/>
      <c r="F558" s="2"/>
      <c r="G558" s="2"/>
      <c r="H558" s="2"/>
      <c r="AA558" s="33" t="str">
        <f t="shared" si="25"/>
        <v/>
      </c>
      <c r="AC558" s="33">
        <f t="shared" si="24"/>
        <v>1048540</v>
      </c>
      <c r="AD558" s="33" t="str">
        <f t="shared" si="26"/>
        <v/>
      </c>
      <c r="AE558" s="33" t="str" cm="1">
        <f t="array" ref="AE558">LOOKUP(2,1/($AB$2:$AB$1000=AB558),$AD$2:$AD$1000)</f>
        <v/>
      </c>
      <c r="AM558" s="39" t="str" cm="1">
        <f t="array" ref="AM558">IFERROR(IF(LOOKUP(2,1/($AA$2:$AA$1000=AK558),$AD$2:$AD$1000)=0,"",
LOOKUP(2,1/($AA$2:$AA$1000=AK558),$AD$2:$AD$1000)),"")</f>
        <v/>
      </c>
      <c r="AO558" s="33" t="str" cm="1">
        <f t="array" ref="AO558">IFERROR(INDEX($AA$2:$AA$282,MATCH(0,COUNTIF('Paste Here'!$AK$1:AK557,$AA$2:$AA$282),0)),"")</f>
        <v/>
      </c>
      <c r="AP558" s="33" t="str">
        <f>IF(COUNTIF('Paste Here'!$AK$2:AK558,'Paste Here'!AK558)=1,VALUE('Paste Here'!AK558),"")</f>
        <v/>
      </c>
    </row>
    <row r="559" spans="1:42" x14ac:dyDescent="0.3">
      <c r="A559" s="2"/>
      <c r="B559" s="2"/>
      <c r="C559" s="2"/>
      <c r="D559" s="3"/>
      <c r="E559" s="2"/>
      <c r="F559" s="2"/>
      <c r="G559" s="2"/>
      <c r="H559" s="2"/>
      <c r="AA559" s="33" t="str">
        <f t="shared" si="25"/>
        <v/>
      </c>
      <c r="AC559" s="33">
        <f t="shared" si="24"/>
        <v>1048540</v>
      </c>
      <c r="AD559" s="33" t="str">
        <f t="shared" si="26"/>
        <v/>
      </c>
      <c r="AE559" s="33" t="str" cm="1">
        <f t="array" ref="AE559">LOOKUP(2,1/($AB$2:$AB$1000=AB559),$AD$2:$AD$1000)</f>
        <v/>
      </c>
      <c r="AM559" s="39" t="str" cm="1">
        <f t="array" ref="AM559">IFERROR(IF(LOOKUP(2,1/($AA$2:$AA$1000=AK559),$AD$2:$AD$1000)=0,"",
LOOKUP(2,1/($AA$2:$AA$1000=AK559),$AD$2:$AD$1000)),"")</f>
        <v/>
      </c>
      <c r="AO559" s="33" t="str" cm="1">
        <f t="array" ref="AO559">IFERROR(INDEX($AA$2:$AA$282,MATCH(0,COUNTIF('Paste Here'!$AK$1:AK558,$AA$2:$AA$282),0)),"")</f>
        <v/>
      </c>
      <c r="AP559" s="33" t="str">
        <f>IF(COUNTIF('Paste Here'!$AK$2:AK559,'Paste Here'!AK559)=1,VALUE('Paste Here'!AK559),"")</f>
        <v/>
      </c>
    </row>
    <row r="560" spans="1:42" x14ac:dyDescent="0.3">
      <c r="A560" s="2"/>
      <c r="B560" s="2"/>
      <c r="C560" s="2"/>
      <c r="D560" s="3"/>
      <c r="E560" s="2"/>
      <c r="F560" s="2"/>
      <c r="G560" s="2"/>
      <c r="H560" s="2"/>
      <c r="AA560" s="33" t="str">
        <f t="shared" si="25"/>
        <v/>
      </c>
      <c r="AC560" s="33">
        <f t="shared" si="24"/>
        <v>1048540</v>
      </c>
      <c r="AD560" s="33" t="str">
        <f t="shared" si="26"/>
        <v/>
      </c>
      <c r="AE560" s="33" t="str" cm="1">
        <f t="array" ref="AE560">LOOKUP(2,1/($AB$2:$AB$1000=AB560),$AD$2:$AD$1000)</f>
        <v/>
      </c>
      <c r="AM560" s="39" t="str" cm="1">
        <f t="array" ref="AM560">IFERROR(IF(LOOKUP(2,1/($AA$2:$AA$1000=AK560),$AD$2:$AD$1000)=0,"",
LOOKUP(2,1/($AA$2:$AA$1000=AK560),$AD$2:$AD$1000)),"")</f>
        <v/>
      </c>
      <c r="AO560" s="33" t="str" cm="1">
        <f t="array" ref="AO560">IFERROR(INDEX($AA$2:$AA$282,MATCH(0,COUNTIF('Paste Here'!$AK$1:AK559,$AA$2:$AA$282),0)),"")</f>
        <v/>
      </c>
      <c r="AP560" s="33" t="str">
        <f>IF(COUNTIF('Paste Here'!$AK$2:AK560,'Paste Here'!AK560)=1,VALUE('Paste Here'!AK560),"")</f>
        <v/>
      </c>
    </row>
    <row r="561" spans="1:42" x14ac:dyDescent="0.3">
      <c r="A561" s="2"/>
      <c r="B561" s="2"/>
      <c r="C561" s="2"/>
      <c r="D561" s="3"/>
      <c r="E561" s="2"/>
      <c r="F561" s="2"/>
      <c r="G561" s="2"/>
      <c r="H561" s="2"/>
      <c r="AA561" s="33" t="str">
        <f t="shared" si="25"/>
        <v/>
      </c>
      <c r="AC561" s="33">
        <f t="shared" si="24"/>
        <v>1048540</v>
      </c>
      <c r="AD561" s="33" t="str">
        <f t="shared" si="26"/>
        <v/>
      </c>
      <c r="AE561" s="33" t="str" cm="1">
        <f t="array" ref="AE561">LOOKUP(2,1/($AB$2:$AB$1000=AB561),$AD$2:$AD$1000)</f>
        <v/>
      </c>
      <c r="AM561" s="39" t="str" cm="1">
        <f t="array" ref="AM561">IFERROR(IF(LOOKUP(2,1/($AA$2:$AA$1000=AK561),$AD$2:$AD$1000)=0,"",
LOOKUP(2,1/($AA$2:$AA$1000=AK561),$AD$2:$AD$1000)),"")</f>
        <v/>
      </c>
      <c r="AO561" s="33" t="str" cm="1">
        <f t="array" ref="AO561">IFERROR(INDEX($AA$2:$AA$282,MATCH(0,COUNTIF('Paste Here'!$AK$1:AK560,$AA$2:$AA$282),0)),"")</f>
        <v/>
      </c>
      <c r="AP561" s="33" t="str">
        <f>IF(COUNTIF('Paste Here'!$AK$2:AK561,'Paste Here'!AK561)=1,VALUE('Paste Here'!AK561),"")</f>
        <v/>
      </c>
    </row>
    <row r="562" spans="1:42" x14ac:dyDescent="0.3">
      <c r="A562"/>
      <c r="B562"/>
      <c r="C562"/>
      <c r="D562" s="4"/>
      <c r="E562"/>
      <c r="F562"/>
      <c r="G562"/>
      <c r="H562"/>
      <c r="AA562" s="33" t="str">
        <f t="shared" si="25"/>
        <v/>
      </c>
      <c r="AC562" s="33">
        <f t="shared" si="24"/>
        <v>1048540</v>
      </c>
      <c r="AD562" s="33" t="str">
        <f t="shared" si="26"/>
        <v/>
      </c>
      <c r="AE562" s="33" t="str" cm="1">
        <f t="array" ref="AE562">LOOKUP(2,1/($AB$2:$AB$1000=AB562),$AD$2:$AD$1000)</f>
        <v/>
      </c>
      <c r="AM562" s="39" t="str" cm="1">
        <f t="array" ref="AM562">IFERROR(IF(LOOKUP(2,1/($AA$2:$AA$1000=AK562),$AD$2:$AD$1000)=0,"",
LOOKUP(2,1/($AA$2:$AA$1000=AK562),$AD$2:$AD$1000)),"")</f>
        <v/>
      </c>
      <c r="AO562" s="33" t="str" cm="1">
        <f t="array" ref="AO562">IFERROR(INDEX($AA$2:$AA$282,MATCH(0,COUNTIF('Paste Here'!$AK$1:AK561,$AA$2:$AA$282),0)),"")</f>
        <v/>
      </c>
      <c r="AP562" s="33" t="str">
        <f>IF(COUNTIF('Paste Here'!$AK$2:AK562,'Paste Here'!AK562)=1,VALUE('Paste Here'!AK562),"")</f>
        <v/>
      </c>
    </row>
    <row r="563" spans="1:42" x14ac:dyDescent="0.3">
      <c r="A563"/>
      <c r="B563"/>
      <c r="C563"/>
      <c r="D563" s="4"/>
      <c r="E563"/>
      <c r="F563"/>
      <c r="G563"/>
      <c r="H563"/>
      <c r="AA563" s="33" t="str">
        <f t="shared" si="25"/>
        <v/>
      </c>
      <c r="AC563" s="33">
        <f t="shared" si="24"/>
        <v>1048540</v>
      </c>
      <c r="AD563" s="33" t="str">
        <f t="shared" si="26"/>
        <v/>
      </c>
      <c r="AE563" s="33" t="str" cm="1">
        <f t="array" ref="AE563">LOOKUP(2,1/($AB$2:$AB$1000=AB563),$AD$2:$AD$1000)</f>
        <v/>
      </c>
      <c r="AM563" s="39" t="str" cm="1">
        <f t="array" ref="AM563">IFERROR(IF(LOOKUP(2,1/($AA$2:$AA$1000=AK563),$AD$2:$AD$1000)=0,"",
LOOKUP(2,1/($AA$2:$AA$1000=AK563),$AD$2:$AD$1000)),"")</f>
        <v/>
      </c>
      <c r="AO563" s="33" t="str" cm="1">
        <f t="array" ref="AO563">IFERROR(INDEX($AA$2:$AA$282,MATCH(0,COUNTIF('Paste Here'!$AK$1:AK562,$AA$2:$AA$282),0)),"")</f>
        <v/>
      </c>
      <c r="AP563" s="33" t="str">
        <f>IF(COUNTIF('Paste Here'!$AK$2:AK563,'Paste Here'!AK563)=1,VALUE('Paste Here'!AK563),"")</f>
        <v/>
      </c>
    </row>
    <row r="564" spans="1:42" x14ac:dyDescent="0.3">
      <c r="A564"/>
      <c r="B564"/>
      <c r="C564"/>
      <c r="D564" s="4"/>
      <c r="E564"/>
      <c r="F564"/>
      <c r="G564"/>
      <c r="H564"/>
      <c r="AA564" s="33" t="str">
        <f t="shared" si="25"/>
        <v/>
      </c>
      <c r="AC564" s="33">
        <f t="shared" si="24"/>
        <v>1048540</v>
      </c>
      <c r="AD564" s="33" t="str">
        <f t="shared" si="26"/>
        <v/>
      </c>
      <c r="AE564" s="33" t="str" cm="1">
        <f t="array" ref="AE564">LOOKUP(2,1/($AB$2:$AB$1000=AB564),$AD$2:$AD$1000)</f>
        <v/>
      </c>
      <c r="AM564" s="39" t="str" cm="1">
        <f t="array" ref="AM564">IFERROR(IF(LOOKUP(2,1/($AA$2:$AA$1000=AK564),$AD$2:$AD$1000)=0,"",
LOOKUP(2,1/($AA$2:$AA$1000=AK564),$AD$2:$AD$1000)),"")</f>
        <v/>
      </c>
      <c r="AO564" s="33" t="str" cm="1">
        <f t="array" ref="AO564">IFERROR(INDEX($AA$2:$AA$282,MATCH(0,COUNTIF('Paste Here'!$AK$1:AK563,$AA$2:$AA$282),0)),"")</f>
        <v/>
      </c>
      <c r="AP564" s="33" t="str">
        <f>IF(COUNTIF('Paste Here'!$AK$2:AK564,'Paste Here'!AK564)=1,VALUE('Paste Here'!AK564),"")</f>
        <v/>
      </c>
    </row>
    <row r="565" spans="1:42" x14ac:dyDescent="0.3">
      <c r="A565"/>
      <c r="B565"/>
      <c r="C565"/>
      <c r="D565" s="4"/>
      <c r="E565"/>
      <c r="F565"/>
      <c r="G565"/>
      <c r="H565"/>
      <c r="AA565" s="33" t="str">
        <f t="shared" si="25"/>
        <v/>
      </c>
      <c r="AC565" s="33">
        <f t="shared" si="24"/>
        <v>1048540</v>
      </c>
      <c r="AD565" s="33" t="str">
        <f t="shared" si="26"/>
        <v/>
      </c>
      <c r="AE565" s="33" t="str" cm="1">
        <f t="array" ref="AE565">LOOKUP(2,1/($AB$2:$AB$1000=AB565),$AD$2:$AD$1000)</f>
        <v/>
      </c>
      <c r="AM565" s="39" t="str" cm="1">
        <f t="array" ref="AM565">IFERROR(IF(LOOKUP(2,1/($AA$2:$AA$1000=AK565),$AD$2:$AD$1000)=0,"",
LOOKUP(2,1/($AA$2:$AA$1000=AK565),$AD$2:$AD$1000)),"")</f>
        <v/>
      </c>
      <c r="AO565" s="33" t="str" cm="1">
        <f t="array" ref="AO565">IFERROR(INDEX($AA$2:$AA$282,MATCH(0,COUNTIF('Paste Here'!$AK$1:AK564,$AA$2:$AA$282),0)),"")</f>
        <v/>
      </c>
      <c r="AP565" s="33" t="str">
        <f>IF(COUNTIF('Paste Here'!$AK$2:AK565,'Paste Here'!AK565)=1,VALUE('Paste Here'!AK565),"")</f>
        <v/>
      </c>
    </row>
    <row r="566" spans="1:42" x14ac:dyDescent="0.3">
      <c r="A566" s="2"/>
      <c r="B566" s="2"/>
      <c r="C566" s="2"/>
      <c r="D566" s="3"/>
      <c r="E566" s="2"/>
      <c r="F566" s="2"/>
      <c r="G566" s="2"/>
      <c r="H566" s="2"/>
      <c r="AA566" s="33" t="str">
        <f t="shared" si="25"/>
        <v/>
      </c>
      <c r="AC566" s="33">
        <f t="shared" si="24"/>
        <v>1048540</v>
      </c>
      <c r="AD566" s="33" t="str">
        <f t="shared" si="26"/>
        <v/>
      </c>
      <c r="AE566" s="33" t="str" cm="1">
        <f t="array" ref="AE566">LOOKUP(2,1/($AB$2:$AB$1000=AB566),$AD$2:$AD$1000)</f>
        <v/>
      </c>
      <c r="AM566" s="39" t="str" cm="1">
        <f t="array" ref="AM566">IFERROR(IF(LOOKUP(2,1/($AA$2:$AA$1000=AK566),$AD$2:$AD$1000)=0,"",
LOOKUP(2,1/($AA$2:$AA$1000=AK566),$AD$2:$AD$1000)),"")</f>
        <v/>
      </c>
      <c r="AO566" s="33" t="str" cm="1">
        <f t="array" ref="AO566">IFERROR(INDEX($AA$2:$AA$282,MATCH(0,COUNTIF('Paste Here'!$AK$1:AK565,$AA$2:$AA$282),0)),"")</f>
        <v/>
      </c>
      <c r="AP566" s="33" t="str">
        <f>IF(COUNTIF('Paste Here'!$AK$2:AK566,'Paste Here'!AK566)=1,VALUE('Paste Here'!AK566),"")</f>
        <v/>
      </c>
    </row>
    <row r="567" spans="1:42" x14ac:dyDescent="0.3">
      <c r="A567" s="2"/>
      <c r="B567" s="2"/>
      <c r="C567" s="2"/>
      <c r="D567" s="3"/>
      <c r="E567" s="2"/>
      <c r="F567" s="2"/>
      <c r="G567" s="2"/>
      <c r="H567" s="2"/>
      <c r="AA567" s="33" t="str">
        <f t="shared" si="25"/>
        <v/>
      </c>
      <c r="AC567" s="33">
        <f t="shared" si="24"/>
        <v>1048540</v>
      </c>
      <c r="AD567" s="33" t="str">
        <f t="shared" si="26"/>
        <v/>
      </c>
      <c r="AE567" s="33" t="str" cm="1">
        <f t="array" ref="AE567">LOOKUP(2,1/($AB$2:$AB$1000=AB567),$AD$2:$AD$1000)</f>
        <v/>
      </c>
      <c r="AM567" s="39" t="str" cm="1">
        <f t="array" ref="AM567">IFERROR(IF(LOOKUP(2,1/($AA$2:$AA$1000=AK567),$AD$2:$AD$1000)=0,"",
LOOKUP(2,1/($AA$2:$AA$1000=AK567),$AD$2:$AD$1000)),"")</f>
        <v/>
      </c>
      <c r="AO567" s="33" t="str" cm="1">
        <f t="array" ref="AO567">IFERROR(INDEX($AA$2:$AA$282,MATCH(0,COUNTIF('Paste Here'!$AK$1:AK566,$AA$2:$AA$282),0)),"")</f>
        <v/>
      </c>
      <c r="AP567" s="33" t="str">
        <f>IF(COUNTIF('Paste Here'!$AK$2:AK567,'Paste Here'!AK567)=1,VALUE('Paste Here'!AK567),"")</f>
        <v/>
      </c>
    </row>
    <row r="568" spans="1:42" x14ac:dyDescent="0.3">
      <c r="A568" s="2"/>
      <c r="B568" s="2"/>
      <c r="C568" s="2"/>
      <c r="D568" s="3"/>
      <c r="E568" s="2"/>
      <c r="F568" s="2"/>
      <c r="G568" s="2"/>
      <c r="H568" s="2"/>
      <c r="AA568" s="33" t="str">
        <f t="shared" si="25"/>
        <v/>
      </c>
      <c r="AC568" s="33">
        <f t="shared" si="24"/>
        <v>1048540</v>
      </c>
      <c r="AD568" s="33" t="str">
        <f t="shared" si="26"/>
        <v/>
      </c>
      <c r="AE568" s="33" t="str" cm="1">
        <f t="array" ref="AE568">LOOKUP(2,1/($AB$2:$AB$1000=AB568),$AD$2:$AD$1000)</f>
        <v/>
      </c>
      <c r="AM568" s="39" t="str" cm="1">
        <f t="array" ref="AM568">IFERROR(IF(LOOKUP(2,1/($AA$2:$AA$1000=AK568),$AD$2:$AD$1000)=0,"",
LOOKUP(2,1/($AA$2:$AA$1000=AK568),$AD$2:$AD$1000)),"")</f>
        <v/>
      </c>
      <c r="AO568" s="33" t="str" cm="1">
        <f t="array" ref="AO568">IFERROR(INDEX($AA$2:$AA$282,MATCH(0,COUNTIF('Paste Here'!$AK$1:AK567,$AA$2:$AA$282),0)),"")</f>
        <v/>
      </c>
      <c r="AP568" s="33" t="str">
        <f>IF(COUNTIF('Paste Here'!$AK$2:AK568,'Paste Here'!AK568)=1,VALUE('Paste Here'!AK568),"")</f>
        <v/>
      </c>
    </row>
    <row r="569" spans="1:42" x14ac:dyDescent="0.3">
      <c r="A569" s="2"/>
      <c r="B569" s="2"/>
      <c r="C569" s="2"/>
      <c r="D569" s="3"/>
      <c r="E569" s="2"/>
      <c r="F569" s="2"/>
      <c r="G569" s="2"/>
      <c r="H569" s="2"/>
      <c r="AA569" s="33" t="str">
        <f t="shared" si="25"/>
        <v/>
      </c>
      <c r="AC569" s="33">
        <f t="shared" si="24"/>
        <v>1048540</v>
      </c>
      <c r="AD569" s="33" t="str">
        <f t="shared" si="26"/>
        <v/>
      </c>
      <c r="AE569" s="33" t="str" cm="1">
        <f t="array" ref="AE569">LOOKUP(2,1/($AB$2:$AB$1000=AB569),$AD$2:$AD$1000)</f>
        <v/>
      </c>
      <c r="AM569" s="39" t="str" cm="1">
        <f t="array" ref="AM569">IFERROR(IF(LOOKUP(2,1/($AA$2:$AA$1000=AK569),$AD$2:$AD$1000)=0,"",
LOOKUP(2,1/($AA$2:$AA$1000=AK569),$AD$2:$AD$1000)),"")</f>
        <v/>
      </c>
      <c r="AO569" s="33" t="str" cm="1">
        <f t="array" ref="AO569">IFERROR(INDEX($AA$2:$AA$282,MATCH(0,COUNTIF('Paste Here'!$AK$1:AK568,$AA$2:$AA$282),0)),"")</f>
        <v/>
      </c>
      <c r="AP569" s="33" t="str">
        <f>IF(COUNTIF('Paste Here'!$AK$2:AK569,'Paste Here'!AK569)=1,VALUE('Paste Here'!AK569),"")</f>
        <v/>
      </c>
    </row>
    <row r="570" spans="1:42" x14ac:dyDescent="0.3">
      <c r="A570"/>
      <c r="B570"/>
      <c r="C570"/>
      <c r="D570" s="4"/>
      <c r="E570"/>
      <c r="F570"/>
      <c r="G570"/>
      <c r="H570"/>
      <c r="AA570" s="33" t="str">
        <f t="shared" si="25"/>
        <v/>
      </c>
      <c r="AC570" s="33">
        <f t="shared" si="24"/>
        <v>1048540</v>
      </c>
      <c r="AD570" s="33" t="str">
        <f t="shared" si="26"/>
        <v/>
      </c>
      <c r="AE570" s="33" t="str" cm="1">
        <f t="array" ref="AE570">LOOKUP(2,1/($AB$2:$AB$1000=AB570),$AD$2:$AD$1000)</f>
        <v/>
      </c>
      <c r="AM570" s="39" t="str" cm="1">
        <f t="array" ref="AM570">IFERROR(IF(LOOKUP(2,1/($AA$2:$AA$1000=AK570),$AD$2:$AD$1000)=0,"",
LOOKUP(2,1/($AA$2:$AA$1000=AK570),$AD$2:$AD$1000)),"")</f>
        <v/>
      </c>
      <c r="AO570" s="33" t="str" cm="1">
        <f t="array" ref="AO570">IFERROR(INDEX($AA$2:$AA$282,MATCH(0,COUNTIF('Paste Here'!$AK$1:AK569,$AA$2:$AA$282),0)),"")</f>
        <v/>
      </c>
      <c r="AP570" s="33" t="str">
        <f>IF(COUNTIF('Paste Here'!$AK$2:AK570,'Paste Here'!AK570)=1,VALUE('Paste Here'!AK570),"")</f>
        <v/>
      </c>
    </row>
    <row r="571" spans="1:42" x14ac:dyDescent="0.3">
      <c r="A571"/>
      <c r="B571"/>
      <c r="C571"/>
      <c r="D571" s="4"/>
      <c r="E571"/>
      <c r="F571"/>
      <c r="G571"/>
      <c r="H571"/>
      <c r="AA571" s="33" t="str">
        <f t="shared" si="25"/>
        <v/>
      </c>
      <c r="AC571" s="33">
        <f t="shared" si="24"/>
        <v>1048540</v>
      </c>
      <c r="AD571" s="33" t="str">
        <f t="shared" si="26"/>
        <v/>
      </c>
      <c r="AE571" s="33" t="str" cm="1">
        <f t="array" ref="AE571">LOOKUP(2,1/($AB$2:$AB$1000=AB571),$AD$2:$AD$1000)</f>
        <v/>
      </c>
      <c r="AM571" s="39" t="str" cm="1">
        <f t="array" ref="AM571">IFERROR(IF(LOOKUP(2,1/($AA$2:$AA$1000=AK571),$AD$2:$AD$1000)=0,"",
LOOKUP(2,1/($AA$2:$AA$1000=AK571),$AD$2:$AD$1000)),"")</f>
        <v/>
      </c>
      <c r="AO571" s="33" t="str" cm="1">
        <f t="array" ref="AO571">IFERROR(INDEX($AA$2:$AA$282,MATCH(0,COUNTIF('Paste Here'!$AK$1:AK570,$AA$2:$AA$282),0)),"")</f>
        <v/>
      </c>
      <c r="AP571" s="33" t="str">
        <f>IF(COUNTIF('Paste Here'!$AK$2:AK571,'Paste Here'!AK571)=1,VALUE('Paste Here'!AK571),"")</f>
        <v/>
      </c>
    </row>
    <row r="572" spans="1:42" x14ac:dyDescent="0.3">
      <c r="A572"/>
      <c r="B572"/>
      <c r="C572"/>
      <c r="D572" s="4"/>
      <c r="E572"/>
      <c r="F572"/>
      <c r="G572"/>
      <c r="H572"/>
      <c r="AA572" s="33" t="str">
        <f t="shared" si="25"/>
        <v/>
      </c>
      <c r="AC572" s="33">
        <f t="shared" si="24"/>
        <v>1048540</v>
      </c>
      <c r="AD572" s="33" t="str">
        <f t="shared" si="26"/>
        <v/>
      </c>
      <c r="AE572" s="33" t="str" cm="1">
        <f t="array" ref="AE572">LOOKUP(2,1/($AB$2:$AB$1000=AB572),$AD$2:$AD$1000)</f>
        <v/>
      </c>
      <c r="AM572" s="39" t="str" cm="1">
        <f t="array" ref="AM572">IFERROR(IF(LOOKUP(2,1/($AA$2:$AA$1000=AK572),$AD$2:$AD$1000)=0,"",
LOOKUP(2,1/($AA$2:$AA$1000=AK572),$AD$2:$AD$1000)),"")</f>
        <v/>
      </c>
      <c r="AO572" s="33" t="str" cm="1">
        <f t="array" ref="AO572">IFERROR(INDEX($AA$2:$AA$282,MATCH(0,COUNTIF('Paste Here'!$AK$1:AK571,$AA$2:$AA$282),0)),"")</f>
        <v/>
      </c>
      <c r="AP572" s="33" t="str">
        <f>IF(COUNTIF('Paste Here'!$AK$2:AK572,'Paste Here'!AK572)=1,VALUE('Paste Here'!AK572),"")</f>
        <v/>
      </c>
    </row>
    <row r="573" spans="1:42" x14ac:dyDescent="0.3">
      <c r="A573"/>
      <c r="B573"/>
      <c r="C573"/>
      <c r="D573" s="4"/>
      <c r="E573"/>
      <c r="F573"/>
      <c r="G573"/>
      <c r="H573"/>
      <c r="AA573" s="33" t="str">
        <f t="shared" si="25"/>
        <v/>
      </c>
      <c r="AC573" s="33">
        <f t="shared" si="24"/>
        <v>1048540</v>
      </c>
      <c r="AD573" s="33" t="str">
        <f t="shared" si="26"/>
        <v/>
      </c>
      <c r="AE573" s="33" t="str" cm="1">
        <f t="array" ref="AE573">LOOKUP(2,1/($AB$2:$AB$1000=AB573),$AD$2:$AD$1000)</f>
        <v/>
      </c>
      <c r="AM573" s="39" t="str" cm="1">
        <f t="array" ref="AM573">IFERROR(IF(LOOKUP(2,1/($AA$2:$AA$1000=AK573),$AD$2:$AD$1000)=0,"",
LOOKUP(2,1/($AA$2:$AA$1000=AK573),$AD$2:$AD$1000)),"")</f>
        <v/>
      </c>
      <c r="AO573" s="33" t="str" cm="1">
        <f t="array" ref="AO573">IFERROR(INDEX($AA$2:$AA$282,MATCH(0,COUNTIF('Paste Here'!$AK$1:AK572,$AA$2:$AA$282),0)),"")</f>
        <v/>
      </c>
      <c r="AP573" s="33" t="str">
        <f>IF(COUNTIF('Paste Here'!$AK$2:AK573,'Paste Here'!AK573)=1,VALUE('Paste Here'!AK573),"")</f>
        <v/>
      </c>
    </row>
    <row r="574" spans="1:42" x14ac:dyDescent="0.3">
      <c r="A574"/>
      <c r="B574"/>
      <c r="C574"/>
      <c r="D574" s="4"/>
      <c r="E574"/>
      <c r="F574"/>
      <c r="G574"/>
      <c r="H574"/>
      <c r="AA574" s="33" t="str">
        <f t="shared" si="25"/>
        <v/>
      </c>
      <c r="AC574" s="33">
        <f t="shared" si="24"/>
        <v>1048540</v>
      </c>
      <c r="AD574" s="33" t="str">
        <f t="shared" si="26"/>
        <v/>
      </c>
      <c r="AE574" s="33" t="str" cm="1">
        <f t="array" ref="AE574">LOOKUP(2,1/($AB$2:$AB$1000=AB574),$AD$2:$AD$1000)</f>
        <v/>
      </c>
      <c r="AM574" s="39" t="str" cm="1">
        <f t="array" ref="AM574">IFERROR(IF(LOOKUP(2,1/($AA$2:$AA$1000=AK574),$AD$2:$AD$1000)=0,"",
LOOKUP(2,1/($AA$2:$AA$1000=AK574),$AD$2:$AD$1000)),"")</f>
        <v/>
      </c>
      <c r="AO574" s="33" t="str" cm="1">
        <f t="array" ref="AO574">IFERROR(INDEX($AA$2:$AA$282,MATCH(0,COUNTIF('Paste Here'!$AK$1:AK573,$AA$2:$AA$282),0)),"")</f>
        <v/>
      </c>
      <c r="AP574" s="33" t="str">
        <f>IF(COUNTIF('Paste Here'!$AK$2:AK574,'Paste Here'!AK574)=1,VALUE('Paste Here'!AK574),"")</f>
        <v/>
      </c>
    </row>
    <row r="575" spans="1:42" x14ac:dyDescent="0.3">
      <c r="A575"/>
      <c r="B575"/>
      <c r="C575"/>
      <c r="D575" s="4"/>
      <c r="E575"/>
      <c r="F575"/>
      <c r="G575"/>
      <c r="H575"/>
      <c r="AA575" s="33" t="str">
        <f t="shared" si="25"/>
        <v/>
      </c>
      <c r="AC575" s="33">
        <f t="shared" si="24"/>
        <v>1048540</v>
      </c>
      <c r="AD575" s="33" t="str">
        <f t="shared" si="26"/>
        <v/>
      </c>
      <c r="AE575" s="33" t="str" cm="1">
        <f t="array" ref="AE575">LOOKUP(2,1/($AB$2:$AB$1000=AB575),$AD$2:$AD$1000)</f>
        <v/>
      </c>
      <c r="AM575" s="39" t="str" cm="1">
        <f t="array" ref="AM575">IFERROR(IF(LOOKUP(2,1/($AA$2:$AA$1000=AK575),$AD$2:$AD$1000)=0,"",
LOOKUP(2,1/($AA$2:$AA$1000=AK575),$AD$2:$AD$1000)),"")</f>
        <v/>
      </c>
      <c r="AO575" s="33" t="str" cm="1">
        <f t="array" ref="AO575">IFERROR(INDEX($AA$2:$AA$282,MATCH(0,COUNTIF('Paste Here'!$AK$1:AK574,$AA$2:$AA$282),0)),"")</f>
        <v/>
      </c>
      <c r="AP575" s="33" t="str">
        <f>IF(COUNTIF('Paste Here'!$AK$2:AK575,'Paste Here'!AK575)=1,VALUE('Paste Here'!AK575),"")</f>
        <v/>
      </c>
    </row>
    <row r="576" spans="1:42" x14ac:dyDescent="0.3">
      <c r="A576"/>
      <c r="B576"/>
      <c r="C576"/>
      <c r="D576" s="4"/>
      <c r="E576"/>
      <c r="F576"/>
      <c r="G576"/>
      <c r="H576"/>
      <c r="AA576" s="33" t="str">
        <f t="shared" si="25"/>
        <v/>
      </c>
      <c r="AC576" s="33">
        <f t="shared" si="24"/>
        <v>1048540</v>
      </c>
      <c r="AD576" s="33" t="str">
        <f t="shared" si="26"/>
        <v/>
      </c>
      <c r="AE576" s="33" t="str" cm="1">
        <f t="array" ref="AE576">LOOKUP(2,1/($AB$2:$AB$1000=AB576),$AD$2:$AD$1000)</f>
        <v/>
      </c>
      <c r="AM576" s="39" t="str" cm="1">
        <f t="array" ref="AM576">IFERROR(IF(LOOKUP(2,1/($AA$2:$AA$1000=AK576),$AD$2:$AD$1000)=0,"",
LOOKUP(2,1/($AA$2:$AA$1000=AK576),$AD$2:$AD$1000)),"")</f>
        <v/>
      </c>
      <c r="AO576" s="33" t="str" cm="1">
        <f t="array" ref="AO576">IFERROR(INDEX($AA$2:$AA$282,MATCH(0,COUNTIF('Paste Here'!$AK$1:AK575,$AA$2:$AA$282),0)),"")</f>
        <v/>
      </c>
      <c r="AP576" s="33" t="str">
        <f>IF(COUNTIF('Paste Here'!$AK$2:AK576,'Paste Here'!AK576)=1,VALUE('Paste Here'!AK576),"")</f>
        <v/>
      </c>
    </row>
    <row r="577" spans="1:42" x14ac:dyDescent="0.3">
      <c r="A577"/>
      <c r="B577"/>
      <c r="C577"/>
      <c r="D577" s="4"/>
      <c r="E577"/>
      <c r="F577"/>
      <c r="G577"/>
      <c r="H577"/>
      <c r="AA577" s="33" t="str">
        <f t="shared" si="25"/>
        <v/>
      </c>
      <c r="AC577" s="33">
        <f t="shared" si="24"/>
        <v>1048540</v>
      </c>
      <c r="AD577" s="33" t="str">
        <f t="shared" si="26"/>
        <v/>
      </c>
      <c r="AE577" s="33" t="str" cm="1">
        <f t="array" ref="AE577">LOOKUP(2,1/($AB$2:$AB$1000=AB577),$AD$2:$AD$1000)</f>
        <v/>
      </c>
      <c r="AM577" s="39" t="str" cm="1">
        <f t="array" ref="AM577">IFERROR(IF(LOOKUP(2,1/($AA$2:$AA$1000=AK577),$AD$2:$AD$1000)=0,"",
LOOKUP(2,1/($AA$2:$AA$1000=AK577),$AD$2:$AD$1000)),"")</f>
        <v/>
      </c>
      <c r="AO577" s="33" t="str" cm="1">
        <f t="array" ref="AO577">IFERROR(INDEX($AA$2:$AA$282,MATCH(0,COUNTIF('Paste Here'!$AK$1:AK576,$AA$2:$AA$282),0)),"")</f>
        <v/>
      </c>
      <c r="AP577" s="33" t="str">
        <f>IF(COUNTIF('Paste Here'!$AK$2:AK577,'Paste Here'!AK577)=1,VALUE('Paste Here'!AK577),"")</f>
        <v/>
      </c>
    </row>
    <row r="578" spans="1:42" x14ac:dyDescent="0.3">
      <c r="A578"/>
      <c r="B578"/>
      <c r="C578"/>
      <c r="D578" s="4"/>
      <c r="E578"/>
      <c r="F578"/>
      <c r="G578"/>
      <c r="H578"/>
      <c r="AA578" s="33" t="str">
        <f t="shared" si="25"/>
        <v/>
      </c>
      <c r="AC578" s="33">
        <f t="shared" ref="AC578:AC641" si="27">COUNTIF($AA:$AA,AA578)</f>
        <v>1048540</v>
      </c>
      <c r="AD578" s="33" t="str">
        <f t="shared" si="26"/>
        <v/>
      </c>
      <c r="AE578" s="33" t="str" cm="1">
        <f t="array" ref="AE578">LOOKUP(2,1/($AB$2:$AB$1000=AB578),$AD$2:$AD$1000)</f>
        <v/>
      </c>
      <c r="AM578" s="39" t="str" cm="1">
        <f t="array" ref="AM578">IFERROR(IF(LOOKUP(2,1/($AA$2:$AA$1000=AK578),$AD$2:$AD$1000)=0,"",
LOOKUP(2,1/($AA$2:$AA$1000=AK578),$AD$2:$AD$1000)),"")</f>
        <v/>
      </c>
      <c r="AO578" s="33" t="str" cm="1">
        <f t="array" ref="AO578">IFERROR(INDEX($AA$2:$AA$282,MATCH(0,COUNTIF('Paste Here'!$AK$1:AK577,$AA$2:$AA$282),0)),"")</f>
        <v/>
      </c>
      <c r="AP578" s="33" t="str">
        <f>IF(COUNTIF('Paste Here'!$AK$2:AK578,'Paste Here'!AK578)=1,VALUE('Paste Here'!AK578),"")</f>
        <v/>
      </c>
    </row>
    <row r="579" spans="1:42" x14ac:dyDescent="0.3">
      <c r="A579"/>
      <c r="B579"/>
      <c r="C579"/>
      <c r="D579" s="4"/>
      <c r="E579"/>
      <c r="F579"/>
      <c r="G579"/>
      <c r="H579"/>
      <c r="AA579" s="33" t="str">
        <f t="shared" ref="AA579:AA642" si="28">IFERROR(MID(G579,FIND("LR-",G579)+3,FIND("-",G579,FIND("LR-",G579)+3)-FIND("LR-",G579)-3),"")</f>
        <v/>
      </c>
      <c r="AC579" s="33">
        <f t="shared" si="27"/>
        <v>1048540</v>
      </c>
      <c r="AD579" s="33" t="str">
        <f t="shared" ref="AD579:AD642" si="29">IF(F579=0,"",F579)</f>
        <v/>
      </c>
      <c r="AE579" s="33" t="str" cm="1">
        <f t="array" ref="AE579">LOOKUP(2,1/($AB$2:$AB$1000=AB579),$AD$2:$AD$1000)</f>
        <v/>
      </c>
      <c r="AM579" s="39" t="str" cm="1">
        <f t="array" ref="AM579">IFERROR(IF(LOOKUP(2,1/($AA$2:$AA$1000=AK579),$AD$2:$AD$1000)=0,"",
LOOKUP(2,1/($AA$2:$AA$1000=AK579),$AD$2:$AD$1000)),"")</f>
        <v/>
      </c>
      <c r="AO579" s="33" t="str" cm="1">
        <f t="array" ref="AO579">IFERROR(INDEX($AA$2:$AA$282,MATCH(0,COUNTIF('Paste Here'!$AK$1:AK578,$AA$2:$AA$282),0)),"")</f>
        <v/>
      </c>
      <c r="AP579" s="33" t="str">
        <f>IF(COUNTIF('Paste Here'!$AK$2:AK579,'Paste Here'!AK579)=1,VALUE('Paste Here'!AK579),"")</f>
        <v/>
      </c>
    </row>
    <row r="580" spans="1:42" x14ac:dyDescent="0.3">
      <c r="A580"/>
      <c r="B580"/>
      <c r="C580"/>
      <c r="D580" s="4"/>
      <c r="E580"/>
      <c r="F580"/>
      <c r="G580"/>
      <c r="H580"/>
      <c r="AA580" s="33" t="str">
        <f t="shared" si="28"/>
        <v/>
      </c>
      <c r="AC580" s="33">
        <f t="shared" si="27"/>
        <v>1048540</v>
      </c>
      <c r="AD580" s="33" t="str">
        <f t="shared" si="29"/>
        <v/>
      </c>
      <c r="AE580" s="33" t="str" cm="1">
        <f t="array" ref="AE580">LOOKUP(2,1/($AB$2:$AB$1000=AB580),$AD$2:$AD$1000)</f>
        <v/>
      </c>
      <c r="AM580" s="39" t="str" cm="1">
        <f t="array" ref="AM580">IFERROR(IF(LOOKUP(2,1/($AA$2:$AA$1000=AK580),$AD$2:$AD$1000)=0,"",
LOOKUP(2,1/($AA$2:$AA$1000=AK580),$AD$2:$AD$1000)),"")</f>
        <v/>
      </c>
      <c r="AO580" s="33" t="str" cm="1">
        <f t="array" ref="AO580">IFERROR(INDEX($AA$2:$AA$282,MATCH(0,COUNTIF('Paste Here'!$AK$1:AK579,$AA$2:$AA$282),0)),"")</f>
        <v/>
      </c>
      <c r="AP580" s="33" t="str">
        <f>IF(COUNTIF('Paste Here'!$AK$2:AK580,'Paste Here'!AK580)=1,VALUE('Paste Here'!AK580),"")</f>
        <v/>
      </c>
    </row>
    <row r="581" spans="1:42" x14ac:dyDescent="0.3">
      <c r="A581"/>
      <c r="B581"/>
      <c r="C581"/>
      <c r="D581" s="4"/>
      <c r="E581"/>
      <c r="F581"/>
      <c r="G581"/>
      <c r="H581"/>
      <c r="AA581" s="33" t="str">
        <f t="shared" si="28"/>
        <v/>
      </c>
      <c r="AC581" s="33">
        <f t="shared" si="27"/>
        <v>1048540</v>
      </c>
      <c r="AD581" s="33" t="str">
        <f t="shared" si="29"/>
        <v/>
      </c>
      <c r="AE581" s="33" t="str" cm="1">
        <f t="array" ref="AE581">LOOKUP(2,1/($AB$2:$AB$1000=AB581),$AD$2:$AD$1000)</f>
        <v/>
      </c>
      <c r="AM581" s="39" t="str" cm="1">
        <f t="array" ref="AM581">IFERROR(IF(LOOKUP(2,1/($AA$2:$AA$1000=AK581),$AD$2:$AD$1000)=0,"",
LOOKUP(2,1/($AA$2:$AA$1000=AK581),$AD$2:$AD$1000)),"")</f>
        <v/>
      </c>
      <c r="AO581" s="33" t="str" cm="1">
        <f t="array" ref="AO581">IFERROR(INDEX($AA$2:$AA$282,MATCH(0,COUNTIF('Paste Here'!$AK$1:AK580,$AA$2:$AA$282),0)),"")</f>
        <v/>
      </c>
      <c r="AP581" s="33" t="str">
        <f>IF(COUNTIF('Paste Here'!$AK$2:AK581,'Paste Here'!AK581)=1,VALUE('Paste Here'!AK581),"")</f>
        <v/>
      </c>
    </row>
    <row r="582" spans="1:42" x14ac:dyDescent="0.3">
      <c r="A582"/>
      <c r="B582"/>
      <c r="C582"/>
      <c r="D582" s="4"/>
      <c r="E582"/>
      <c r="F582"/>
      <c r="G582"/>
      <c r="H582"/>
      <c r="AA582" s="33" t="str">
        <f t="shared" si="28"/>
        <v/>
      </c>
      <c r="AC582" s="33">
        <f t="shared" si="27"/>
        <v>1048540</v>
      </c>
      <c r="AD582" s="33" t="str">
        <f t="shared" si="29"/>
        <v/>
      </c>
      <c r="AE582" s="33" t="str" cm="1">
        <f t="array" ref="AE582">LOOKUP(2,1/($AB$2:$AB$1000=AB582),$AD$2:$AD$1000)</f>
        <v/>
      </c>
      <c r="AM582" s="39" t="str" cm="1">
        <f t="array" ref="AM582">IFERROR(IF(LOOKUP(2,1/($AA$2:$AA$1000=AK582),$AD$2:$AD$1000)=0,"",
LOOKUP(2,1/($AA$2:$AA$1000=AK582),$AD$2:$AD$1000)),"")</f>
        <v/>
      </c>
      <c r="AO582" s="33" t="str" cm="1">
        <f t="array" ref="AO582">IFERROR(INDEX($AA$2:$AA$282,MATCH(0,COUNTIF('Paste Here'!$AK$1:AK581,$AA$2:$AA$282),0)),"")</f>
        <v/>
      </c>
      <c r="AP582" s="33" t="str">
        <f>IF(COUNTIF('Paste Here'!$AK$2:AK582,'Paste Here'!AK582)=1,VALUE('Paste Here'!AK582),"")</f>
        <v/>
      </c>
    </row>
    <row r="583" spans="1:42" x14ac:dyDescent="0.3">
      <c r="A583"/>
      <c r="B583"/>
      <c r="C583"/>
      <c r="D583" s="4"/>
      <c r="E583"/>
      <c r="F583"/>
      <c r="G583"/>
      <c r="H583"/>
      <c r="AA583" s="33" t="str">
        <f t="shared" si="28"/>
        <v/>
      </c>
      <c r="AC583" s="33">
        <f t="shared" si="27"/>
        <v>1048540</v>
      </c>
      <c r="AD583" s="33" t="str">
        <f t="shared" si="29"/>
        <v/>
      </c>
      <c r="AE583" s="33" t="str" cm="1">
        <f t="array" ref="AE583">LOOKUP(2,1/($AB$2:$AB$1000=AB583),$AD$2:$AD$1000)</f>
        <v/>
      </c>
      <c r="AM583" s="39" t="str" cm="1">
        <f t="array" ref="AM583">IFERROR(IF(LOOKUP(2,1/($AA$2:$AA$1000=AK583),$AD$2:$AD$1000)=0,"",
LOOKUP(2,1/($AA$2:$AA$1000=AK583),$AD$2:$AD$1000)),"")</f>
        <v/>
      </c>
      <c r="AO583" s="33" t="str" cm="1">
        <f t="array" ref="AO583">IFERROR(INDEX($AA$2:$AA$282,MATCH(0,COUNTIF('Paste Here'!$AK$1:AK582,$AA$2:$AA$282),0)),"")</f>
        <v/>
      </c>
      <c r="AP583" s="33" t="str">
        <f>IF(COUNTIF('Paste Here'!$AK$2:AK583,'Paste Here'!AK583)=1,VALUE('Paste Here'!AK583),"")</f>
        <v/>
      </c>
    </row>
    <row r="584" spans="1:42" x14ac:dyDescent="0.3">
      <c r="A584"/>
      <c r="B584"/>
      <c r="C584"/>
      <c r="D584" s="4"/>
      <c r="E584"/>
      <c r="F584"/>
      <c r="G584"/>
      <c r="H584"/>
      <c r="AA584" s="33" t="str">
        <f t="shared" si="28"/>
        <v/>
      </c>
      <c r="AC584" s="33">
        <f t="shared" si="27"/>
        <v>1048540</v>
      </c>
      <c r="AD584" s="33" t="str">
        <f t="shared" si="29"/>
        <v/>
      </c>
      <c r="AE584" s="33" t="str" cm="1">
        <f t="array" ref="AE584">LOOKUP(2,1/($AB$2:$AB$1000=AB584),$AD$2:$AD$1000)</f>
        <v/>
      </c>
      <c r="AM584" s="39" t="str" cm="1">
        <f t="array" ref="AM584">IFERROR(IF(LOOKUP(2,1/($AA$2:$AA$1000=AK584),$AD$2:$AD$1000)=0,"",
LOOKUP(2,1/($AA$2:$AA$1000=AK584),$AD$2:$AD$1000)),"")</f>
        <v/>
      </c>
      <c r="AO584" s="33" t="str" cm="1">
        <f t="array" ref="AO584">IFERROR(INDEX($AA$2:$AA$282,MATCH(0,COUNTIF('Paste Here'!$AK$1:AK583,$AA$2:$AA$282),0)),"")</f>
        <v/>
      </c>
      <c r="AP584" s="33" t="str">
        <f>IF(COUNTIF('Paste Here'!$AK$2:AK584,'Paste Here'!AK584)=1,VALUE('Paste Here'!AK584),"")</f>
        <v/>
      </c>
    </row>
    <row r="585" spans="1:42" x14ac:dyDescent="0.3">
      <c r="A585"/>
      <c r="B585"/>
      <c r="C585"/>
      <c r="D585" s="4"/>
      <c r="E585"/>
      <c r="F585"/>
      <c r="G585"/>
      <c r="H585"/>
      <c r="AA585" s="33" t="str">
        <f t="shared" si="28"/>
        <v/>
      </c>
      <c r="AC585" s="33">
        <f t="shared" si="27"/>
        <v>1048540</v>
      </c>
      <c r="AD585" s="33" t="str">
        <f t="shared" si="29"/>
        <v/>
      </c>
      <c r="AE585" s="33" t="str" cm="1">
        <f t="array" ref="AE585">LOOKUP(2,1/($AB$2:$AB$1000=AB585),$AD$2:$AD$1000)</f>
        <v/>
      </c>
      <c r="AM585" s="39" t="str" cm="1">
        <f t="array" ref="AM585">IFERROR(IF(LOOKUP(2,1/($AA$2:$AA$1000=AK585),$AD$2:$AD$1000)=0,"",
LOOKUP(2,1/($AA$2:$AA$1000=AK585),$AD$2:$AD$1000)),"")</f>
        <v/>
      </c>
      <c r="AO585" s="33" t="str" cm="1">
        <f t="array" ref="AO585">IFERROR(INDEX($AA$2:$AA$282,MATCH(0,COUNTIF('Paste Here'!$AK$1:AK584,$AA$2:$AA$282),0)),"")</f>
        <v/>
      </c>
      <c r="AP585" s="33" t="str">
        <f>IF(COUNTIF('Paste Here'!$AK$2:AK585,'Paste Here'!AK585)=1,VALUE('Paste Here'!AK585),"")</f>
        <v/>
      </c>
    </row>
    <row r="586" spans="1:42" x14ac:dyDescent="0.3">
      <c r="A586"/>
      <c r="B586"/>
      <c r="C586"/>
      <c r="D586" s="4"/>
      <c r="E586"/>
      <c r="F586"/>
      <c r="G586"/>
      <c r="H586"/>
      <c r="AA586" s="33" t="str">
        <f t="shared" si="28"/>
        <v/>
      </c>
      <c r="AC586" s="33">
        <f t="shared" si="27"/>
        <v>1048540</v>
      </c>
      <c r="AD586" s="33" t="str">
        <f t="shared" si="29"/>
        <v/>
      </c>
      <c r="AE586" s="33" t="str" cm="1">
        <f t="array" ref="AE586">LOOKUP(2,1/($AB$2:$AB$1000=AB586),$AD$2:$AD$1000)</f>
        <v/>
      </c>
      <c r="AM586" s="39" t="str" cm="1">
        <f t="array" ref="AM586">IFERROR(IF(LOOKUP(2,1/($AA$2:$AA$1000=AK586),$AD$2:$AD$1000)=0,"",
LOOKUP(2,1/($AA$2:$AA$1000=AK586),$AD$2:$AD$1000)),"")</f>
        <v/>
      </c>
      <c r="AO586" s="33" t="str" cm="1">
        <f t="array" ref="AO586">IFERROR(INDEX($AA$2:$AA$282,MATCH(0,COUNTIF('Paste Here'!$AK$1:AK585,$AA$2:$AA$282),0)),"")</f>
        <v/>
      </c>
      <c r="AP586" s="33" t="str">
        <f>IF(COUNTIF('Paste Here'!$AK$2:AK586,'Paste Here'!AK586)=1,VALUE('Paste Here'!AK586),"")</f>
        <v/>
      </c>
    </row>
    <row r="587" spans="1:42" x14ac:dyDescent="0.3">
      <c r="A587" s="2"/>
      <c r="B587" s="2"/>
      <c r="C587" s="2"/>
      <c r="D587" s="3"/>
      <c r="E587" s="2"/>
      <c r="F587" s="2"/>
      <c r="G587" s="2"/>
      <c r="H587" s="2"/>
      <c r="AA587" s="33" t="str">
        <f t="shared" si="28"/>
        <v/>
      </c>
      <c r="AC587" s="33">
        <f t="shared" si="27"/>
        <v>1048540</v>
      </c>
      <c r="AD587" s="33" t="str">
        <f t="shared" si="29"/>
        <v/>
      </c>
      <c r="AE587" s="33" t="str" cm="1">
        <f t="array" ref="AE587">LOOKUP(2,1/($AB$2:$AB$1000=AB587),$AD$2:$AD$1000)</f>
        <v/>
      </c>
      <c r="AM587" s="39" t="str" cm="1">
        <f t="array" ref="AM587">IFERROR(IF(LOOKUP(2,1/($AA$2:$AA$1000=AK587),$AD$2:$AD$1000)=0,"",
LOOKUP(2,1/($AA$2:$AA$1000=AK587),$AD$2:$AD$1000)),"")</f>
        <v/>
      </c>
      <c r="AO587" s="33" t="str" cm="1">
        <f t="array" ref="AO587">IFERROR(INDEX($AA$2:$AA$282,MATCH(0,COUNTIF('Paste Here'!$AK$1:AK586,$AA$2:$AA$282),0)),"")</f>
        <v/>
      </c>
      <c r="AP587" s="33" t="str">
        <f>IF(COUNTIF('Paste Here'!$AK$2:AK587,'Paste Here'!AK587)=1,VALUE('Paste Here'!AK587),"")</f>
        <v/>
      </c>
    </row>
    <row r="588" spans="1:42" x14ac:dyDescent="0.3">
      <c r="A588" s="2"/>
      <c r="B588" s="2"/>
      <c r="C588" s="2"/>
      <c r="D588" s="3"/>
      <c r="E588" s="2"/>
      <c r="F588" s="2"/>
      <c r="G588" s="2"/>
      <c r="H588" s="2"/>
      <c r="AA588" s="33" t="str">
        <f t="shared" si="28"/>
        <v/>
      </c>
      <c r="AC588" s="33">
        <f t="shared" si="27"/>
        <v>1048540</v>
      </c>
      <c r="AD588" s="33" t="str">
        <f t="shared" si="29"/>
        <v/>
      </c>
      <c r="AE588" s="33" t="str" cm="1">
        <f t="array" ref="AE588">LOOKUP(2,1/($AB$2:$AB$1000=AB588),$AD$2:$AD$1000)</f>
        <v/>
      </c>
      <c r="AM588" s="39" t="str" cm="1">
        <f t="array" ref="AM588">IFERROR(IF(LOOKUP(2,1/($AA$2:$AA$1000=AK588),$AD$2:$AD$1000)=0,"",
LOOKUP(2,1/($AA$2:$AA$1000=AK588),$AD$2:$AD$1000)),"")</f>
        <v/>
      </c>
      <c r="AO588" s="33" t="str" cm="1">
        <f t="array" ref="AO588">IFERROR(INDEX($AA$2:$AA$282,MATCH(0,COUNTIF('Paste Here'!$AK$1:AK587,$AA$2:$AA$282),0)),"")</f>
        <v/>
      </c>
      <c r="AP588" s="33" t="str">
        <f>IF(COUNTIF('Paste Here'!$AK$2:AK588,'Paste Here'!AK588)=1,VALUE('Paste Here'!AK588),"")</f>
        <v/>
      </c>
    </row>
    <row r="589" spans="1:42" x14ac:dyDescent="0.3">
      <c r="A589" s="2"/>
      <c r="B589" s="2"/>
      <c r="C589" s="2"/>
      <c r="D589" s="3"/>
      <c r="E589" s="2"/>
      <c r="F589" s="2"/>
      <c r="G589" s="2"/>
      <c r="H589" s="2"/>
      <c r="AA589" s="33" t="str">
        <f t="shared" si="28"/>
        <v/>
      </c>
      <c r="AC589" s="33">
        <f t="shared" si="27"/>
        <v>1048540</v>
      </c>
      <c r="AD589" s="33" t="str">
        <f t="shared" si="29"/>
        <v/>
      </c>
      <c r="AE589" s="33" t="str" cm="1">
        <f t="array" ref="AE589">LOOKUP(2,1/($AB$2:$AB$1000=AB589),$AD$2:$AD$1000)</f>
        <v/>
      </c>
      <c r="AM589" s="39" t="str" cm="1">
        <f t="array" ref="AM589">IFERROR(IF(LOOKUP(2,1/($AA$2:$AA$1000=AK589),$AD$2:$AD$1000)=0,"",
LOOKUP(2,1/($AA$2:$AA$1000=AK589),$AD$2:$AD$1000)),"")</f>
        <v/>
      </c>
      <c r="AO589" s="33" t="str" cm="1">
        <f t="array" ref="AO589">IFERROR(INDEX($AA$2:$AA$282,MATCH(0,COUNTIF('Paste Here'!$AK$1:AK588,$AA$2:$AA$282),0)),"")</f>
        <v/>
      </c>
      <c r="AP589" s="33" t="str">
        <f>IF(COUNTIF('Paste Here'!$AK$2:AK589,'Paste Here'!AK589)=1,VALUE('Paste Here'!AK589),"")</f>
        <v/>
      </c>
    </row>
    <row r="590" spans="1:42" x14ac:dyDescent="0.3">
      <c r="A590" s="2"/>
      <c r="B590" s="2"/>
      <c r="C590" s="2"/>
      <c r="D590" s="3"/>
      <c r="E590" s="2"/>
      <c r="F590" s="2"/>
      <c r="G590" s="2"/>
      <c r="H590" s="2"/>
      <c r="AA590" s="33" t="str">
        <f t="shared" si="28"/>
        <v/>
      </c>
      <c r="AC590" s="33">
        <f t="shared" si="27"/>
        <v>1048540</v>
      </c>
      <c r="AD590" s="33" t="str">
        <f t="shared" si="29"/>
        <v/>
      </c>
      <c r="AE590" s="33" t="str" cm="1">
        <f t="array" ref="AE590">LOOKUP(2,1/($AB$2:$AB$1000=AB590),$AD$2:$AD$1000)</f>
        <v/>
      </c>
      <c r="AM590" s="39" t="str" cm="1">
        <f t="array" ref="AM590">IFERROR(IF(LOOKUP(2,1/($AA$2:$AA$1000=AK590),$AD$2:$AD$1000)=0,"",
LOOKUP(2,1/($AA$2:$AA$1000=AK590),$AD$2:$AD$1000)),"")</f>
        <v/>
      </c>
      <c r="AO590" s="33" t="str" cm="1">
        <f t="array" ref="AO590">IFERROR(INDEX($AA$2:$AA$282,MATCH(0,COUNTIF('Paste Here'!$AK$1:AK589,$AA$2:$AA$282),0)),"")</f>
        <v/>
      </c>
      <c r="AP590" s="33" t="str">
        <f>IF(COUNTIF('Paste Here'!$AK$2:AK590,'Paste Here'!AK590)=1,VALUE('Paste Here'!AK590),"")</f>
        <v/>
      </c>
    </row>
    <row r="591" spans="1:42" x14ac:dyDescent="0.3">
      <c r="A591" s="2"/>
      <c r="B591" s="2"/>
      <c r="C591" s="2"/>
      <c r="D591" s="3"/>
      <c r="E591" s="2"/>
      <c r="F591" s="2"/>
      <c r="G591" s="2"/>
      <c r="H591" s="2"/>
      <c r="AA591" s="33" t="str">
        <f t="shared" si="28"/>
        <v/>
      </c>
      <c r="AC591" s="33">
        <f t="shared" si="27"/>
        <v>1048540</v>
      </c>
      <c r="AD591" s="33" t="str">
        <f t="shared" si="29"/>
        <v/>
      </c>
      <c r="AE591" s="33" t="str" cm="1">
        <f t="array" ref="AE591">LOOKUP(2,1/($AB$2:$AB$1000=AB591),$AD$2:$AD$1000)</f>
        <v/>
      </c>
      <c r="AM591" s="39" t="str" cm="1">
        <f t="array" ref="AM591">IFERROR(IF(LOOKUP(2,1/($AA$2:$AA$1000=AK591),$AD$2:$AD$1000)=0,"",
LOOKUP(2,1/($AA$2:$AA$1000=AK591),$AD$2:$AD$1000)),"")</f>
        <v/>
      </c>
      <c r="AO591" s="33" t="str" cm="1">
        <f t="array" ref="AO591">IFERROR(INDEX($AA$2:$AA$282,MATCH(0,COUNTIF('Paste Here'!$AK$1:AK590,$AA$2:$AA$282),0)),"")</f>
        <v/>
      </c>
      <c r="AP591" s="33" t="str">
        <f>IF(COUNTIF('Paste Here'!$AK$2:AK591,'Paste Here'!AK591)=1,VALUE('Paste Here'!AK591),"")</f>
        <v/>
      </c>
    </row>
    <row r="592" spans="1:42" x14ac:dyDescent="0.3">
      <c r="A592" s="2"/>
      <c r="B592" s="2"/>
      <c r="C592" s="2"/>
      <c r="D592" s="3"/>
      <c r="E592" s="2"/>
      <c r="F592" s="2"/>
      <c r="G592" s="2"/>
      <c r="H592" s="2"/>
      <c r="AA592" s="33" t="str">
        <f t="shared" si="28"/>
        <v/>
      </c>
      <c r="AC592" s="33">
        <f t="shared" si="27"/>
        <v>1048540</v>
      </c>
      <c r="AD592" s="33" t="str">
        <f t="shared" si="29"/>
        <v/>
      </c>
      <c r="AE592" s="33" t="str" cm="1">
        <f t="array" ref="AE592">LOOKUP(2,1/($AB$2:$AB$1000=AB592),$AD$2:$AD$1000)</f>
        <v/>
      </c>
      <c r="AM592" s="39" t="str" cm="1">
        <f t="array" ref="AM592">IFERROR(IF(LOOKUP(2,1/($AA$2:$AA$1000=AK592),$AD$2:$AD$1000)=0,"",
LOOKUP(2,1/($AA$2:$AA$1000=AK592),$AD$2:$AD$1000)),"")</f>
        <v/>
      </c>
      <c r="AO592" s="33" t="str" cm="1">
        <f t="array" ref="AO592">IFERROR(INDEX($AA$2:$AA$282,MATCH(0,COUNTIF('Paste Here'!$AK$1:AK591,$AA$2:$AA$282),0)),"")</f>
        <v/>
      </c>
      <c r="AP592" s="33" t="str">
        <f>IF(COUNTIF('Paste Here'!$AK$2:AK592,'Paste Here'!AK592)=1,VALUE('Paste Here'!AK592),"")</f>
        <v/>
      </c>
    </row>
    <row r="593" spans="1:42" x14ac:dyDescent="0.3">
      <c r="A593" s="2"/>
      <c r="B593" s="2"/>
      <c r="C593" s="2"/>
      <c r="D593" s="3"/>
      <c r="E593" s="2"/>
      <c r="F593" s="2"/>
      <c r="G593" s="2"/>
      <c r="H593" s="2"/>
      <c r="AA593" s="33" t="str">
        <f t="shared" si="28"/>
        <v/>
      </c>
      <c r="AC593" s="33">
        <f t="shared" si="27"/>
        <v>1048540</v>
      </c>
      <c r="AD593" s="33" t="str">
        <f t="shared" si="29"/>
        <v/>
      </c>
      <c r="AE593" s="33" t="str" cm="1">
        <f t="array" ref="AE593">LOOKUP(2,1/($AB$2:$AB$1000=AB593),$AD$2:$AD$1000)</f>
        <v/>
      </c>
      <c r="AM593" s="39" t="str" cm="1">
        <f t="array" ref="AM593">IFERROR(IF(LOOKUP(2,1/($AA$2:$AA$1000=AK593),$AD$2:$AD$1000)=0,"",
LOOKUP(2,1/($AA$2:$AA$1000=AK593),$AD$2:$AD$1000)),"")</f>
        <v/>
      </c>
      <c r="AO593" s="33" t="str" cm="1">
        <f t="array" ref="AO593">IFERROR(INDEX($AA$2:$AA$282,MATCH(0,COUNTIF('Paste Here'!$AK$1:AK592,$AA$2:$AA$282),0)),"")</f>
        <v/>
      </c>
      <c r="AP593" s="33" t="str">
        <f>IF(COUNTIF('Paste Here'!$AK$2:AK593,'Paste Here'!AK593)=1,VALUE('Paste Here'!AK593),"")</f>
        <v/>
      </c>
    </row>
    <row r="594" spans="1:42" x14ac:dyDescent="0.3">
      <c r="A594" s="2"/>
      <c r="B594" s="2"/>
      <c r="C594" s="2"/>
      <c r="D594" s="3"/>
      <c r="E594" s="2"/>
      <c r="F594" s="2"/>
      <c r="G594" s="2"/>
      <c r="H594" s="2"/>
      <c r="AA594" s="33" t="str">
        <f t="shared" si="28"/>
        <v/>
      </c>
      <c r="AC594" s="33">
        <f t="shared" si="27"/>
        <v>1048540</v>
      </c>
      <c r="AD594" s="33" t="str">
        <f t="shared" si="29"/>
        <v/>
      </c>
      <c r="AE594" s="33" t="str" cm="1">
        <f t="array" ref="AE594">LOOKUP(2,1/($AB$2:$AB$1000=AB594),$AD$2:$AD$1000)</f>
        <v/>
      </c>
      <c r="AM594" s="39" t="str" cm="1">
        <f t="array" ref="AM594">IFERROR(IF(LOOKUP(2,1/($AA$2:$AA$1000=AK594),$AD$2:$AD$1000)=0,"",
LOOKUP(2,1/($AA$2:$AA$1000=AK594),$AD$2:$AD$1000)),"")</f>
        <v/>
      </c>
      <c r="AO594" s="33" t="str" cm="1">
        <f t="array" ref="AO594">IFERROR(INDEX($AA$2:$AA$282,MATCH(0,COUNTIF('Paste Here'!$AK$1:AK593,$AA$2:$AA$282),0)),"")</f>
        <v/>
      </c>
      <c r="AP594" s="33" t="str">
        <f>IF(COUNTIF('Paste Here'!$AK$2:AK594,'Paste Here'!AK594)=1,VALUE('Paste Here'!AK594),"")</f>
        <v/>
      </c>
    </row>
    <row r="595" spans="1:42" x14ac:dyDescent="0.3">
      <c r="A595" s="2"/>
      <c r="B595" s="2"/>
      <c r="C595" s="2"/>
      <c r="D595" s="3"/>
      <c r="E595" s="2"/>
      <c r="F595" s="2"/>
      <c r="G595" s="2"/>
      <c r="H595" s="2"/>
      <c r="AA595" s="33" t="str">
        <f t="shared" si="28"/>
        <v/>
      </c>
      <c r="AC595" s="33">
        <f t="shared" si="27"/>
        <v>1048540</v>
      </c>
      <c r="AD595" s="33" t="str">
        <f t="shared" si="29"/>
        <v/>
      </c>
      <c r="AE595" s="33" t="str" cm="1">
        <f t="array" ref="AE595">LOOKUP(2,1/($AB$2:$AB$1000=AB595),$AD$2:$AD$1000)</f>
        <v/>
      </c>
      <c r="AM595" s="39" t="str" cm="1">
        <f t="array" ref="AM595">IFERROR(IF(LOOKUP(2,1/($AA$2:$AA$1000=AK595),$AD$2:$AD$1000)=0,"",
LOOKUP(2,1/($AA$2:$AA$1000=AK595),$AD$2:$AD$1000)),"")</f>
        <v/>
      </c>
      <c r="AO595" s="33" t="str" cm="1">
        <f t="array" ref="AO595">IFERROR(INDEX($AA$2:$AA$282,MATCH(0,COUNTIF('Paste Here'!$AK$1:AK594,$AA$2:$AA$282),0)),"")</f>
        <v/>
      </c>
      <c r="AP595" s="33" t="str">
        <f>IF(COUNTIF('Paste Here'!$AK$2:AK595,'Paste Here'!AK595)=1,VALUE('Paste Here'!AK595),"")</f>
        <v/>
      </c>
    </row>
    <row r="596" spans="1:42" x14ac:dyDescent="0.3">
      <c r="A596" s="2"/>
      <c r="B596" s="2"/>
      <c r="C596" s="2"/>
      <c r="D596" s="3"/>
      <c r="E596" s="2"/>
      <c r="F596" s="2"/>
      <c r="G596" s="2"/>
      <c r="H596" s="2"/>
      <c r="AA596" s="33" t="str">
        <f t="shared" si="28"/>
        <v/>
      </c>
      <c r="AC596" s="33">
        <f t="shared" si="27"/>
        <v>1048540</v>
      </c>
      <c r="AD596" s="33" t="str">
        <f t="shared" si="29"/>
        <v/>
      </c>
      <c r="AE596" s="33" t="str" cm="1">
        <f t="array" ref="AE596">LOOKUP(2,1/($AB$2:$AB$1000=AB596),$AD$2:$AD$1000)</f>
        <v/>
      </c>
      <c r="AM596" s="39" t="str" cm="1">
        <f t="array" ref="AM596">IFERROR(IF(LOOKUP(2,1/($AA$2:$AA$1000=AK596),$AD$2:$AD$1000)=0,"",
LOOKUP(2,1/($AA$2:$AA$1000=AK596),$AD$2:$AD$1000)),"")</f>
        <v/>
      </c>
      <c r="AO596" s="33" t="str" cm="1">
        <f t="array" ref="AO596">IFERROR(INDEX($AA$2:$AA$282,MATCH(0,COUNTIF('Paste Here'!$AK$1:AK595,$AA$2:$AA$282),0)),"")</f>
        <v/>
      </c>
      <c r="AP596" s="33" t="str">
        <f>IF(COUNTIF('Paste Here'!$AK$2:AK596,'Paste Here'!AK596)=1,VALUE('Paste Here'!AK596),"")</f>
        <v/>
      </c>
    </row>
    <row r="597" spans="1:42" x14ac:dyDescent="0.3">
      <c r="A597" s="2"/>
      <c r="B597" s="2"/>
      <c r="C597" s="2"/>
      <c r="D597" s="3"/>
      <c r="E597" s="2"/>
      <c r="F597" s="2"/>
      <c r="G597" s="2"/>
      <c r="H597" s="2"/>
      <c r="AA597" s="33" t="str">
        <f t="shared" si="28"/>
        <v/>
      </c>
      <c r="AC597" s="33">
        <f t="shared" si="27"/>
        <v>1048540</v>
      </c>
      <c r="AD597" s="33" t="str">
        <f t="shared" si="29"/>
        <v/>
      </c>
      <c r="AE597" s="33" t="str" cm="1">
        <f t="array" ref="AE597">LOOKUP(2,1/($AB$2:$AB$1000=AB597),$AD$2:$AD$1000)</f>
        <v/>
      </c>
      <c r="AM597" s="39" t="str" cm="1">
        <f t="array" ref="AM597">IFERROR(IF(LOOKUP(2,1/($AA$2:$AA$1000=AK597),$AD$2:$AD$1000)=0,"",
LOOKUP(2,1/($AA$2:$AA$1000=AK597),$AD$2:$AD$1000)),"")</f>
        <v/>
      </c>
      <c r="AO597" s="33" t="str" cm="1">
        <f t="array" ref="AO597">IFERROR(INDEX($AA$2:$AA$282,MATCH(0,COUNTIF('Paste Here'!$AK$1:AK596,$AA$2:$AA$282),0)),"")</f>
        <v/>
      </c>
      <c r="AP597" s="33" t="str">
        <f>IF(COUNTIF('Paste Here'!$AK$2:AK597,'Paste Here'!AK597)=1,VALUE('Paste Here'!AK597),"")</f>
        <v/>
      </c>
    </row>
    <row r="598" spans="1:42" x14ac:dyDescent="0.3">
      <c r="A598" s="2"/>
      <c r="B598" s="2"/>
      <c r="C598" s="2"/>
      <c r="D598" s="3"/>
      <c r="E598" s="2"/>
      <c r="F598" s="2"/>
      <c r="G598" s="2"/>
      <c r="H598" s="2"/>
      <c r="AA598" s="33" t="str">
        <f t="shared" si="28"/>
        <v/>
      </c>
      <c r="AC598" s="33">
        <f t="shared" si="27"/>
        <v>1048540</v>
      </c>
      <c r="AD598" s="33" t="str">
        <f t="shared" si="29"/>
        <v/>
      </c>
      <c r="AE598" s="33" t="str" cm="1">
        <f t="array" ref="AE598">LOOKUP(2,1/($AB$2:$AB$1000=AB598),$AD$2:$AD$1000)</f>
        <v/>
      </c>
      <c r="AM598" s="39" t="str" cm="1">
        <f t="array" ref="AM598">IFERROR(IF(LOOKUP(2,1/($AA$2:$AA$1000=AK598),$AD$2:$AD$1000)=0,"",
LOOKUP(2,1/($AA$2:$AA$1000=AK598),$AD$2:$AD$1000)),"")</f>
        <v/>
      </c>
      <c r="AO598" s="33" t="str" cm="1">
        <f t="array" ref="AO598">IFERROR(INDEX($AA$2:$AA$282,MATCH(0,COUNTIF('Paste Here'!$AK$1:AK597,$AA$2:$AA$282),0)),"")</f>
        <v/>
      </c>
      <c r="AP598" s="33" t="str">
        <f>IF(COUNTIF('Paste Here'!$AK$2:AK598,'Paste Here'!AK598)=1,VALUE('Paste Here'!AK598),"")</f>
        <v/>
      </c>
    </row>
    <row r="599" spans="1:42" x14ac:dyDescent="0.3">
      <c r="A599" s="2"/>
      <c r="B599" s="2"/>
      <c r="C599" s="2"/>
      <c r="D599" s="3"/>
      <c r="E599" s="2"/>
      <c r="F599" s="2"/>
      <c r="G599" s="2"/>
      <c r="H599" s="2"/>
      <c r="AA599" s="33" t="str">
        <f t="shared" si="28"/>
        <v/>
      </c>
      <c r="AC599" s="33">
        <f t="shared" si="27"/>
        <v>1048540</v>
      </c>
      <c r="AD599" s="33" t="str">
        <f t="shared" si="29"/>
        <v/>
      </c>
      <c r="AE599" s="33" t="str" cm="1">
        <f t="array" ref="AE599">LOOKUP(2,1/($AB$2:$AB$1000=AB599),$AD$2:$AD$1000)</f>
        <v/>
      </c>
      <c r="AM599" s="39" t="str" cm="1">
        <f t="array" ref="AM599">IFERROR(IF(LOOKUP(2,1/($AA$2:$AA$1000=AK599),$AD$2:$AD$1000)=0,"",
LOOKUP(2,1/($AA$2:$AA$1000=AK599),$AD$2:$AD$1000)),"")</f>
        <v/>
      </c>
      <c r="AO599" s="33" t="str" cm="1">
        <f t="array" ref="AO599">IFERROR(INDEX($AA$2:$AA$282,MATCH(0,COUNTIF('Paste Here'!$AK$1:AK598,$AA$2:$AA$282),0)),"")</f>
        <v/>
      </c>
      <c r="AP599" s="33" t="str">
        <f>IF(COUNTIF('Paste Here'!$AK$2:AK599,'Paste Here'!AK599)=1,VALUE('Paste Here'!AK599),"")</f>
        <v/>
      </c>
    </row>
    <row r="600" spans="1:42" x14ac:dyDescent="0.3">
      <c r="A600" s="2"/>
      <c r="B600" s="2"/>
      <c r="C600" s="2"/>
      <c r="D600" s="3"/>
      <c r="E600" s="2"/>
      <c r="F600" s="2"/>
      <c r="G600" s="2"/>
      <c r="H600" s="2"/>
      <c r="AA600" s="33" t="str">
        <f t="shared" si="28"/>
        <v/>
      </c>
      <c r="AC600" s="33">
        <f t="shared" si="27"/>
        <v>1048540</v>
      </c>
      <c r="AD600" s="33" t="str">
        <f t="shared" si="29"/>
        <v/>
      </c>
      <c r="AE600" s="33" t="str" cm="1">
        <f t="array" ref="AE600">LOOKUP(2,1/($AB$2:$AB$1000=AB600),$AD$2:$AD$1000)</f>
        <v/>
      </c>
      <c r="AM600" s="39" t="str" cm="1">
        <f t="array" ref="AM600">IFERROR(IF(LOOKUP(2,1/($AA$2:$AA$1000=AK600),$AD$2:$AD$1000)=0,"",
LOOKUP(2,1/($AA$2:$AA$1000=AK600),$AD$2:$AD$1000)),"")</f>
        <v/>
      </c>
      <c r="AO600" s="33" t="str" cm="1">
        <f t="array" ref="AO600">IFERROR(INDEX($AA$2:$AA$282,MATCH(0,COUNTIF('Paste Here'!$AK$1:AK599,$AA$2:$AA$282),0)),"")</f>
        <v/>
      </c>
      <c r="AP600" s="33" t="str">
        <f>IF(COUNTIF('Paste Here'!$AK$2:AK600,'Paste Here'!AK600)=1,VALUE('Paste Here'!AK600),"")</f>
        <v/>
      </c>
    </row>
    <row r="601" spans="1:42" x14ac:dyDescent="0.3">
      <c r="A601" s="2"/>
      <c r="B601" s="2"/>
      <c r="C601" s="2"/>
      <c r="D601" s="3"/>
      <c r="E601" s="2"/>
      <c r="F601" s="2"/>
      <c r="G601" s="2"/>
      <c r="H601" s="2"/>
      <c r="AA601" s="33" t="str">
        <f t="shared" si="28"/>
        <v/>
      </c>
      <c r="AC601" s="33">
        <f t="shared" si="27"/>
        <v>1048540</v>
      </c>
      <c r="AD601" s="33" t="str">
        <f t="shared" si="29"/>
        <v/>
      </c>
      <c r="AE601" s="33" t="str" cm="1">
        <f t="array" ref="AE601">LOOKUP(2,1/($AB$2:$AB$1000=AB601),$AD$2:$AD$1000)</f>
        <v/>
      </c>
      <c r="AM601" s="39" t="str" cm="1">
        <f t="array" ref="AM601">IFERROR(IF(LOOKUP(2,1/($AA$2:$AA$1000=AK601),$AD$2:$AD$1000)=0,"",
LOOKUP(2,1/($AA$2:$AA$1000=AK601),$AD$2:$AD$1000)),"")</f>
        <v/>
      </c>
      <c r="AO601" s="33" t="str" cm="1">
        <f t="array" ref="AO601">IFERROR(INDEX($AA$2:$AA$282,MATCH(0,COUNTIF('Paste Here'!$AK$1:AK600,$AA$2:$AA$282),0)),"")</f>
        <v/>
      </c>
      <c r="AP601" s="33" t="str">
        <f>IF(COUNTIF('Paste Here'!$AK$2:AK601,'Paste Here'!AK601)=1,VALUE('Paste Here'!AK601),"")</f>
        <v/>
      </c>
    </row>
    <row r="602" spans="1:42" x14ac:dyDescent="0.3">
      <c r="A602" s="2"/>
      <c r="B602" s="2"/>
      <c r="C602" s="2"/>
      <c r="D602" s="3"/>
      <c r="E602" s="2"/>
      <c r="F602" s="2"/>
      <c r="G602" s="2"/>
      <c r="H602" s="2"/>
      <c r="AA602" s="33" t="str">
        <f t="shared" si="28"/>
        <v/>
      </c>
      <c r="AC602" s="33">
        <f t="shared" si="27"/>
        <v>1048540</v>
      </c>
      <c r="AD602" s="33" t="str">
        <f t="shared" si="29"/>
        <v/>
      </c>
      <c r="AE602" s="33" t="str" cm="1">
        <f t="array" ref="AE602">LOOKUP(2,1/($AB$2:$AB$1000=AB602),$AD$2:$AD$1000)</f>
        <v/>
      </c>
      <c r="AM602" s="39" t="str" cm="1">
        <f t="array" ref="AM602">IFERROR(IF(LOOKUP(2,1/($AA$2:$AA$1000=AK602),$AD$2:$AD$1000)=0,"",
LOOKUP(2,1/($AA$2:$AA$1000=AK602),$AD$2:$AD$1000)),"")</f>
        <v/>
      </c>
      <c r="AO602" s="33" t="str" cm="1">
        <f t="array" ref="AO602">IFERROR(INDEX($AA$2:$AA$282,MATCH(0,COUNTIF('Paste Here'!$AK$1:AK601,$AA$2:$AA$282),0)),"")</f>
        <v/>
      </c>
      <c r="AP602" s="33" t="str">
        <f>IF(COUNTIF('Paste Here'!$AK$2:AK602,'Paste Here'!AK602)=1,VALUE('Paste Here'!AK602),"")</f>
        <v/>
      </c>
    </row>
    <row r="603" spans="1:42" x14ac:dyDescent="0.3">
      <c r="A603" s="2"/>
      <c r="B603" s="2"/>
      <c r="C603" s="2"/>
      <c r="D603" s="3"/>
      <c r="E603" s="2"/>
      <c r="F603" s="2"/>
      <c r="G603" s="2"/>
      <c r="H603" s="2"/>
      <c r="AA603" s="33" t="str">
        <f t="shared" si="28"/>
        <v/>
      </c>
      <c r="AC603" s="33">
        <f t="shared" si="27"/>
        <v>1048540</v>
      </c>
      <c r="AD603" s="33" t="str">
        <f t="shared" si="29"/>
        <v/>
      </c>
      <c r="AE603" s="33" t="str" cm="1">
        <f t="array" ref="AE603">LOOKUP(2,1/($AB$2:$AB$1000=AB603),$AD$2:$AD$1000)</f>
        <v/>
      </c>
      <c r="AM603" s="39" t="str" cm="1">
        <f t="array" ref="AM603">IFERROR(IF(LOOKUP(2,1/($AA$2:$AA$1000=AK603),$AD$2:$AD$1000)=0,"",
LOOKUP(2,1/($AA$2:$AA$1000=AK603),$AD$2:$AD$1000)),"")</f>
        <v/>
      </c>
      <c r="AO603" s="33" t="str" cm="1">
        <f t="array" ref="AO603">IFERROR(INDEX($AA$2:$AA$282,MATCH(0,COUNTIF('Paste Here'!$AK$1:AK602,$AA$2:$AA$282),0)),"")</f>
        <v/>
      </c>
      <c r="AP603" s="33" t="str">
        <f>IF(COUNTIF('Paste Here'!$AK$2:AK603,'Paste Here'!AK603)=1,VALUE('Paste Here'!AK603),"")</f>
        <v/>
      </c>
    </row>
    <row r="604" spans="1:42" x14ac:dyDescent="0.3">
      <c r="A604" s="2"/>
      <c r="B604" s="2"/>
      <c r="C604" s="2"/>
      <c r="D604" s="3"/>
      <c r="E604" s="2"/>
      <c r="F604" s="2"/>
      <c r="G604" s="2"/>
      <c r="H604" s="2"/>
      <c r="AA604" s="33" t="str">
        <f t="shared" si="28"/>
        <v/>
      </c>
      <c r="AC604" s="33">
        <f t="shared" si="27"/>
        <v>1048540</v>
      </c>
      <c r="AD604" s="33" t="str">
        <f t="shared" si="29"/>
        <v/>
      </c>
      <c r="AE604" s="33" t="str" cm="1">
        <f t="array" ref="AE604">LOOKUP(2,1/($AB$2:$AB$1000=AB604),$AD$2:$AD$1000)</f>
        <v/>
      </c>
      <c r="AM604" s="39" t="str" cm="1">
        <f t="array" ref="AM604">IFERROR(IF(LOOKUP(2,1/($AA$2:$AA$1000=AK604),$AD$2:$AD$1000)=0,"",
LOOKUP(2,1/($AA$2:$AA$1000=AK604),$AD$2:$AD$1000)),"")</f>
        <v/>
      </c>
      <c r="AO604" s="33" t="str" cm="1">
        <f t="array" ref="AO604">IFERROR(INDEX($AA$2:$AA$282,MATCH(0,COUNTIF('Paste Here'!$AK$1:AK603,$AA$2:$AA$282),0)),"")</f>
        <v/>
      </c>
      <c r="AP604" s="33" t="str">
        <f>IF(COUNTIF('Paste Here'!$AK$2:AK604,'Paste Here'!AK604)=1,VALUE('Paste Here'!AK604),"")</f>
        <v/>
      </c>
    </row>
    <row r="605" spans="1:42" x14ac:dyDescent="0.3">
      <c r="A605"/>
      <c r="B605"/>
      <c r="C605"/>
      <c r="D605" s="4"/>
      <c r="E605"/>
      <c r="F605"/>
      <c r="G605"/>
      <c r="H605"/>
      <c r="AA605" s="33" t="str">
        <f t="shared" si="28"/>
        <v/>
      </c>
      <c r="AC605" s="33">
        <f t="shared" si="27"/>
        <v>1048540</v>
      </c>
      <c r="AD605" s="33" t="str">
        <f t="shared" si="29"/>
        <v/>
      </c>
      <c r="AE605" s="33" t="str" cm="1">
        <f t="array" ref="AE605">LOOKUP(2,1/($AB$2:$AB$1000=AB605),$AD$2:$AD$1000)</f>
        <v/>
      </c>
      <c r="AM605" s="39" t="str" cm="1">
        <f t="array" ref="AM605">IFERROR(IF(LOOKUP(2,1/($AA$2:$AA$1000=AK605),$AD$2:$AD$1000)=0,"",
LOOKUP(2,1/($AA$2:$AA$1000=AK605),$AD$2:$AD$1000)),"")</f>
        <v/>
      </c>
      <c r="AO605" s="33" t="str" cm="1">
        <f t="array" ref="AO605">IFERROR(INDEX($AA$2:$AA$282,MATCH(0,COUNTIF('Paste Here'!$AK$1:AK604,$AA$2:$AA$282),0)),"")</f>
        <v/>
      </c>
      <c r="AP605" s="33" t="str">
        <f>IF(COUNTIF('Paste Here'!$AK$2:AK605,'Paste Here'!AK605)=1,VALUE('Paste Here'!AK605),"")</f>
        <v/>
      </c>
    </row>
    <row r="606" spans="1:42" x14ac:dyDescent="0.3">
      <c r="A606"/>
      <c r="B606"/>
      <c r="C606"/>
      <c r="D606" s="4"/>
      <c r="E606"/>
      <c r="F606"/>
      <c r="G606"/>
      <c r="H606"/>
      <c r="AA606" s="33" t="str">
        <f t="shared" si="28"/>
        <v/>
      </c>
      <c r="AC606" s="33">
        <f t="shared" si="27"/>
        <v>1048540</v>
      </c>
      <c r="AD606" s="33" t="str">
        <f t="shared" si="29"/>
        <v/>
      </c>
      <c r="AE606" s="33" t="str" cm="1">
        <f t="array" ref="AE606">LOOKUP(2,1/($AB$2:$AB$1000=AB606),$AD$2:$AD$1000)</f>
        <v/>
      </c>
      <c r="AM606" s="39" t="str" cm="1">
        <f t="array" ref="AM606">IFERROR(IF(LOOKUP(2,1/($AA$2:$AA$1000=AK606),$AD$2:$AD$1000)=0,"",
LOOKUP(2,1/($AA$2:$AA$1000=AK606),$AD$2:$AD$1000)),"")</f>
        <v/>
      </c>
      <c r="AO606" s="33" t="str" cm="1">
        <f t="array" ref="AO606">IFERROR(INDEX($AA$2:$AA$282,MATCH(0,COUNTIF('Paste Here'!$AK$1:AK605,$AA$2:$AA$282),0)),"")</f>
        <v/>
      </c>
      <c r="AP606" s="33" t="str">
        <f>IF(COUNTIF('Paste Here'!$AK$2:AK606,'Paste Here'!AK606)=1,VALUE('Paste Here'!AK606),"")</f>
        <v/>
      </c>
    </row>
    <row r="607" spans="1:42" x14ac:dyDescent="0.3">
      <c r="A607"/>
      <c r="B607"/>
      <c r="C607"/>
      <c r="D607" s="4"/>
      <c r="E607"/>
      <c r="F607"/>
      <c r="G607"/>
      <c r="H607"/>
      <c r="AA607" s="33" t="str">
        <f t="shared" si="28"/>
        <v/>
      </c>
      <c r="AC607" s="33">
        <f t="shared" si="27"/>
        <v>1048540</v>
      </c>
      <c r="AD607" s="33" t="str">
        <f t="shared" si="29"/>
        <v/>
      </c>
      <c r="AE607" s="33" t="str" cm="1">
        <f t="array" ref="AE607">LOOKUP(2,1/($AB$2:$AB$1000=AB607),$AD$2:$AD$1000)</f>
        <v/>
      </c>
      <c r="AM607" s="39" t="str" cm="1">
        <f t="array" ref="AM607">IFERROR(IF(LOOKUP(2,1/($AA$2:$AA$1000=AK607),$AD$2:$AD$1000)=0,"",
LOOKUP(2,1/($AA$2:$AA$1000=AK607),$AD$2:$AD$1000)),"")</f>
        <v/>
      </c>
      <c r="AO607" s="33" t="str" cm="1">
        <f t="array" ref="AO607">IFERROR(INDEX($AA$2:$AA$282,MATCH(0,COUNTIF('Paste Here'!$AK$1:AK606,$AA$2:$AA$282),0)),"")</f>
        <v/>
      </c>
      <c r="AP607" s="33" t="str">
        <f>IF(COUNTIF('Paste Here'!$AK$2:AK607,'Paste Here'!AK607)=1,VALUE('Paste Here'!AK607),"")</f>
        <v/>
      </c>
    </row>
    <row r="608" spans="1:42" x14ac:dyDescent="0.3">
      <c r="A608" s="2"/>
      <c r="B608" s="2"/>
      <c r="C608" s="2"/>
      <c r="D608" s="3"/>
      <c r="E608" s="2"/>
      <c r="F608" s="2"/>
      <c r="G608" s="2"/>
      <c r="H608" s="2"/>
      <c r="AA608" s="33" t="str">
        <f t="shared" si="28"/>
        <v/>
      </c>
      <c r="AC608" s="33">
        <f t="shared" si="27"/>
        <v>1048540</v>
      </c>
      <c r="AD608" s="33" t="str">
        <f t="shared" si="29"/>
        <v/>
      </c>
      <c r="AE608" s="33" t="str" cm="1">
        <f t="array" ref="AE608">LOOKUP(2,1/($AB$2:$AB$1000=AB608),$AD$2:$AD$1000)</f>
        <v/>
      </c>
      <c r="AM608" s="39" t="str" cm="1">
        <f t="array" ref="AM608">IFERROR(IF(LOOKUP(2,1/($AA$2:$AA$1000=AK608),$AD$2:$AD$1000)=0,"",
LOOKUP(2,1/($AA$2:$AA$1000=AK608),$AD$2:$AD$1000)),"")</f>
        <v/>
      </c>
      <c r="AO608" s="33" t="str" cm="1">
        <f t="array" ref="AO608">IFERROR(INDEX($AA$2:$AA$282,MATCH(0,COUNTIF('Paste Here'!$AK$1:AK607,$AA$2:$AA$282),0)),"")</f>
        <v/>
      </c>
      <c r="AP608" s="33" t="str">
        <f>IF(COUNTIF('Paste Here'!$AK$2:AK608,'Paste Here'!AK608)=1,VALUE('Paste Here'!AK608),"")</f>
        <v/>
      </c>
    </row>
    <row r="609" spans="1:42" x14ac:dyDescent="0.3">
      <c r="A609" s="2"/>
      <c r="B609" s="2"/>
      <c r="C609" s="2"/>
      <c r="D609" s="3"/>
      <c r="E609" s="2"/>
      <c r="F609" s="2"/>
      <c r="G609" s="2"/>
      <c r="H609" s="2"/>
      <c r="AA609" s="33" t="str">
        <f t="shared" si="28"/>
        <v/>
      </c>
      <c r="AC609" s="33">
        <f t="shared" si="27"/>
        <v>1048540</v>
      </c>
      <c r="AD609" s="33" t="str">
        <f t="shared" si="29"/>
        <v/>
      </c>
      <c r="AE609" s="33" t="str" cm="1">
        <f t="array" ref="AE609">LOOKUP(2,1/($AB$2:$AB$1000=AB609),$AD$2:$AD$1000)</f>
        <v/>
      </c>
      <c r="AM609" s="39" t="str" cm="1">
        <f t="array" ref="AM609">IFERROR(IF(LOOKUP(2,1/($AA$2:$AA$1000=AK609),$AD$2:$AD$1000)=0,"",
LOOKUP(2,1/($AA$2:$AA$1000=AK609),$AD$2:$AD$1000)),"")</f>
        <v/>
      </c>
      <c r="AO609" s="33" t="str" cm="1">
        <f t="array" ref="AO609">IFERROR(INDEX($AA$2:$AA$282,MATCH(0,COUNTIF('Paste Here'!$AK$1:AK608,$AA$2:$AA$282),0)),"")</f>
        <v/>
      </c>
      <c r="AP609" s="33" t="str">
        <f>IF(COUNTIF('Paste Here'!$AK$2:AK609,'Paste Here'!AK609)=1,VALUE('Paste Here'!AK609),"")</f>
        <v/>
      </c>
    </row>
    <row r="610" spans="1:42" x14ac:dyDescent="0.3">
      <c r="A610" s="2"/>
      <c r="B610" s="2"/>
      <c r="C610" s="2"/>
      <c r="D610" s="3"/>
      <c r="E610" s="2"/>
      <c r="F610" s="2"/>
      <c r="G610" s="2"/>
      <c r="H610" s="2"/>
      <c r="AA610" s="33" t="str">
        <f t="shared" si="28"/>
        <v/>
      </c>
      <c r="AC610" s="33">
        <f t="shared" si="27"/>
        <v>1048540</v>
      </c>
      <c r="AD610" s="33" t="str">
        <f t="shared" si="29"/>
        <v/>
      </c>
      <c r="AE610" s="33" t="str" cm="1">
        <f t="array" ref="AE610">LOOKUP(2,1/($AB$2:$AB$1000=AB610),$AD$2:$AD$1000)</f>
        <v/>
      </c>
      <c r="AM610" s="39" t="str" cm="1">
        <f t="array" ref="AM610">IFERROR(IF(LOOKUP(2,1/($AA$2:$AA$1000=AK610),$AD$2:$AD$1000)=0,"",
LOOKUP(2,1/($AA$2:$AA$1000=AK610),$AD$2:$AD$1000)),"")</f>
        <v/>
      </c>
      <c r="AO610" s="33" t="str" cm="1">
        <f t="array" ref="AO610">IFERROR(INDEX($AA$2:$AA$282,MATCH(0,COUNTIF('Paste Here'!$AK$1:AK609,$AA$2:$AA$282),0)),"")</f>
        <v/>
      </c>
      <c r="AP610" s="33" t="str">
        <f>IF(COUNTIF('Paste Here'!$AK$2:AK610,'Paste Here'!AK610)=1,VALUE('Paste Here'!AK610),"")</f>
        <v/>
      </c>
    </row>
    <row r="611" spans="1:42" x14ac:dyDescent="0.3">
      <c r="A611"/>
      <c r="B611"/>
      <c r="C611"/>
      <c r="D611" s="4"/>
      <c r="E611"/>
      <c r="F611"/>
      <c r="G611"/>
      <c r="H611"/>
      <c r="AA611" s="33" t="str">
        <f t="shared" si="28"/>
        <v/>
      </c>
      <c r="AC611" s="33">
        <f t="shared" si="27"/>
        <v>1048540</v>
      </c>
      <c r="AD611" s="33" t="str">
        <f t="shared" si="29"/>
        <v/>
      </c>
      <c r="AE611" s="33" t="str" cm="1">
        <f t="array" ref="AE611">LOOKUP(2,1/($AB$2:$AB$1000=AB611),$AD$2:$AD$1000)</f>
        <v/>
      </c>
      <c r="AM611" s="39" t="str" cm="1">
        <f t="array" ref="AM611">IFERROR(IF(LOOKUP(2,1/($AA$2:$AA$1000=AK611),$AD$2:$AD$1000)=0,"",
LOOKUP(2,1/($AA$2:$AA$1000=AK611),$AD$2:$AD$1000)),"")</f>
        <v/>
      </c>
      <c r="AO611" s="33" t="str" cm="1">
        <f t="array" ref="AO611">IFERROR(INDEX($AA$2:$AA$282,MATCH(0,COUNTIF('Paste Here'!$AK$1:AK610,$AA$2:$AA$282),0)),"")</f>
        <v/>
      </c>
      <c r="AP611" s="33" t="str">
        <f>IF(COUNTIF('Paste Here'!$AK$2:AK611,'Paste Here'!AK611)=1,VALUE('Paste Here'!AK611),"")</f>
        <v/>
      </c>
    </row>
    <row r="612" spans="1:42" x14ac:dyDescent="0.3">
      <c r="A612"/>
      <c r="B612"/>
      <c r="C612"/>
      <c r="D612" s="4"/>
      <c r="E612"/>
      <c r="F612"/>
      <c r="G612"/>
      <c r="H612"/>
      <c r="AA612" s="33" t="str">
        <f t="shared" si="28"/>
        <v/>
      </c>
      <c r="AC612" s="33">
        <f t="shared" si="27"/>
        <v>1048540</v>
      </c>
      <c r="AD612" s="33" t="str">
        <f t="shared" si="29"/>
        <v/>
      </c>
      <c r="AE612" s="33" t="str" cm="1">
        <f t="array" ref="AE612">LOOKUP(2,1/($AB$2:$AB$1000=AB612),$AD$2:$AD$1000)</f>
        <v/>
      </c>
      <c r="AM612" s="39" t="str" cm="1">
        <f t="array" ref="AM612">IFERROR(IF(LOOKUP(2,1/($AA$2:$AA$1000=AK612),$AD$2:$AD$1000)=0,"",
LOOKUP(2,1/($AA$2:$AA$1000=AK612),$AD$2:$AD$1000)),"")</f>
        <v/>
      </c>
      <c r="AO612" s="33" t="str" cm="1">
        <f t="array" ref="AO612">IFERROR(INDEX($AA$2:$AA$282,MATCH(0,COUNTIF('Paste Here'!$AK$1:AK611,$AA$2:$AA$282),0)),"")</f>
        <v/>
      </c>
      <c r="AP612" s="33" t="str">
        <f>IF(COUNTIF('Paste Here'!$AK$2:AK612,'Paste Here'!AK612)=1,VALUE('Paste Here'!AK612),"")</f>
        <v/>
      </c>
    </row>
    <row r="613" spans="1:42" x14ac:dyDescent="0.3">
      <c r="A613"/>
      <c r="B613"/>
      <c r="C613"/>
      <c r="D613" s="4"/>
      <c r="E613"/>
      <c r="F613"/>
      <c r="G613"/>
      <c r="H613"/>
      <c r="AA613" s="33" t="str">
        <f t="shared" si="28"/>
        <v/>
      </c>
      <c r="AC613" s="33">
        <f t="shared" si="27"/>
        <v>1048540</v>
      </c>
      <c r="AD613" s="33" t="str">
        <f t="shared" si="29"/>
        <v/>
      </c>
      <c r="AE613" s="33" t="str" cm="1">
        <f t="array" ref="AE613">LOOKUP(2,1/($AB$2:$AB$1000=AB613),$AD$2:$AD$1000)</f>
        <v/>
      </c>
      <c r="AM613" s="39" t="str" cm="1">
        <f t="array" ref="AM613">IFERROR(IF(LOOKUP(2,1/($AA$2:$AA$1000=AK613),$AD$2:$AD$1000)=0,"",
LOOKUP(2,1/($AA$2:$AA$1000=AK613),$AD$2:$AD$1000)),"")</f>
        <v/>
      </c>
      <c r="AO613" s="33" t="str" cm="1">
        <f t="array" ref="AO613">IFERROR(INDEX($AA$2:$AA$282,MATCH(0,COUNTIF('Paste Here'!$AK$1:AK612,$AA$2:$AA$282),0)),"")</f>
        <v/>
      </c>
      <c r="AP613" s="33" t="str">
        <f>IF(COUNTIF('Paste Here'!$AK$2:AK613,'Paste Here'!AK613)=1,VALUE('Paste Here'!AK613),"")</f>
        <v/>
      </c>
    </row>
    <row r="614" spans="1:42" x14ac:dyDescent="0.3">
      <c r="A614"/>
      <c r="B614"/>
      <c r="C614"/>
      <c r="D614" s="4"/>
      <c r="E614"/>
      <c r="F614"/>
      <c r="G614"/>
      <c r="H614"/>
      <c r="AA614" s="33" t="str">
        <f t="shared" si="28"/>
        <v/>
      </c>
      <c r="AC614" s="33">
        <f t="shared" si="27"/>
        <v>1048540</v>
      </c>
      <c r="AD614" s="33" t="str">
        <f t="shared" si="29"/>
        <v/>
      </c>
      <c r="AE614" s="33" t="str" cm="1">
        <f t="array" ref="AE614">LOOKUP(2,1/($AB$2:$AB$1000=AB614),$AD$2:$AD$1000)</f>
        <v/>
      </c>
      <c r="AM614" s="39" t="str" cm="1">
        <f t="array" ref="AM614">IFERROR(IF(LOOKUP(2,1/($AA$2:$AA$1000=AK614),$AD$2:$AD$1000)=0,"",
LOOKUP(2,1/($AA$2:$AA$1000=AK614),$AD$2:$AD$1000)),"")</f>
        <v/>
      </c>
      <c r="AO614" s="33" t="str" cm="1">
        <f t="array" ref="AO614">IFERROR(INDEX($AA$2:$AA$282,MATCH(0,COUNTIF('Paste Here'!$AK$1:AK613,$AA$2:$AA$282),0)),"")</f>
        <v/>
      </c>
      <c r="AP614" s="33" t="str">
        <f>IF(COUNTIF('Paste Here'!$AK$2:AK614,'Paste Here'!AK614)=1,VALUE('Paste Here'!AK614),"")</f>
        <v/>
      </c>
    </row>
    <row r="615" spans="1:42" x14ac:dyDescent="0.3">
      <c r="A615"/>
      <c r="B615"/>
      <c r="C615"/>
      <c r="D615" s="4"/>
      <c r="E615"/>
      <c r="F615"/>
      <c r="G615"/>
      <c r="H615"/>
      <c r="AA615" s="33" t="str">
        <f t="shared" si="28"/>
        <v/>
      </c>
      <c r="AC615" s="33">
        <f t="shared" si="27"/>
        <v>1048540</v>
      </c>
      <c r="AD615" s="33" t="str">
        <f t="shared" si="29"/>
        <v/>
      </c>
      <c r="AE615" s="33" t="str" cm="1">
        <f t="array" ref="AE615">LOOKUP(2,1/($AB$2:$AB$1000=AB615),$AD$2:$AD$1000)</f>
        <v/>
      </c>
      <c r="AM615" s="39" t="str" cm="1">
        <f t="array" ref="AM615">IFERROR(IF(LOOKUP(2,1/($AA$2:$AA$1000=AK615),$AD$2:$AD$1000)=0,"",
LOOKUP(2,1/($AA$2:$AA$1000=AK615),$AD$2:$AD$1000)),"")</f>
        <v/>
      </c>
      <c r="AO615" s="33" t="str" cm="1">
        <f t="array" ref="AO615">IFERROR(INDEX($AA$2:$AA$282,MATCH(0,COUNTIF('Paste Here'!$AK$1:AK614,$AA$2:$AA$282),0)),"")</f>
        <v/>
      </c>
      <c r="AP615" s="33" t="str">
        <f>IF(COUNTIF('Paste Here'!$AK$2:AK615,'Paste Here'!AK615)=1,VALUE('Paste Here'!AK615),"")</f>
        <v/>
      </c>
    </row>
    <row r="616" spans="1:42" x14ac:dyDescent="0.3">
      <c r="A616"/>
      <c r="B616"/>
      <c r="C616"/>
      <c r="D616" s="4"/>
      <c r="E616"/>
      <c r="F616"/>
      <c r="G616"/>
      <c r="H616"/>
      <c r="AA616" s="33" t="str">
        <f t="shared" si="28"/>
        <v/>
      </c>
      <c r="AC616" s="33">
        <f t="shared" si="27"/>
        <v>1048540</v>
      </c>
      <c r="AD616" s="33" t="str">
        <f t="shared" si="29"/>
        <v/>
      </c>
      <c r="AE616" s="33" t="str" cm="1">
        <f t="array" ref="AE616">LOOKUP(2,1/($AB$2:$AB$1000=AB616),$AD$2:$AD$1000)</f>
        <v/>
      </c>
      <c r="AM616" s="39" t="str" cm="1">
        <f t="array" ref="AM616">IFERROR(IF(LOOKUP(2,1/($AA$2:$AA$1000=AK616),$AD$2:$AD$1000)=0,"",
LOOKUP(2,1/($AA$2:$AA$1000=AK616),$AD$2:$AD$1000)),"")</f>
        <v/>
      </c>
      <c r="AO616" s="33" t="str" cm="1">
        <f t="array" ref="AO616">IFERROR(INDEX($AA$2:$AA$282,MATCH(0,COUNTIF('Paste Here'!$AK$1:AK615,$AA$2:$AA$282),0)),"")</f>
        <v/>
      </c>
      <c r="AP616" s="33" t="str">
        <f>IF(COUNTIF('Paste Here'!$AK$2:AK616,'Paste Here'!AK616)=1,VALUE('Paste Here'!AK616),"")</f>
        <v/>
      </c>
    </row>
    <row r="617" spans="1:42" x14ac:dyDescent="0.3">
      <c r="A617"/>
      <c r="B617"/>
      <c r="C617"/>
      <c r="D617" s="4"/>
      <c r="E617"/>
      <c r="F617"/>
      <c r="G617"/>
      <c r="H617"/>
      <c r="AA617" s="33" t="str">
        <f t="shared" si="28"/>
        <v/>
      </c>
      <c r="AC617" s="33">
        <f t="shared" si="27"/>
        <v>1048540</v>
      </c>
      <c r="AD617" s="33" t="str">
        <f t="shared" si="29"/>
        <v/>
      </c>
      <c r="AE617" s="33" t="str" cm="1">
        <f t="array" ref="AE617">LOOKUP(2,1/($AB$2:$AB$1000=AB617),$AD$2:$AD$1000)</f>
        <v/>
      </c>
      <c r="AM617" s="39" t="str" cm="1">
        <f t="array" ref="AM617">IFERROR(IF(LOOKUP(2,1/($AA$2:$AA$1000=AK617),$AD$2:$AD$1000)=0,"",
LOOKUP(2,1/($AA$2:$AA$1000=AK617),$AD$2:$AD$1000)),"")</f>
        <v/>
      </c>
      <c r="AO617" s="33" t="str" cm="1">
        <f t="array" ref="AO617">IFERROR(INDEX($AA$2:$AA$282,MATCH(0,COUNTIF('Paste Here'!$AK$1:AK616,$AA$2:$AA$282),0)),"")</f>
        <v/>
      </c>
      <c r="AP617" s="33" t="str">
        <f>IF(COUNTIF('Paste Here'!$AK$2:AK617,'Paste Here'!AK617)=1,VALUE('Paste Here'!AK617),"")</f>
        <v/>
      </c>
    </row>
    <row r="618" spans="1:42" x14ac:dyDescent="0.3">
      <c r="A618"/>
      <c r="B618"/>
      <c r="C618"/>
      <c r="D618" s="4"/>
      <c r="E618"/>
      <c r="F618"/>
      <c r="G618"/>
      <c r="H618"/>
      <c r="AA618" s="33" t="str">
        <f t="shared" si="28"/>
        <v/>
      </c>
      <c r="AC618" s="33">
        <f t="shared" si="27"/>
        <v>1048540</v>
      </c>
      <c r="AD618" s="33" t="str">
        <f t="shared" si="29"/>
        <v/>
      </c>
      <c r="AE618" s="33" t="str" cm="1">
        <f t="array" ref="AE618">LOOKUP(2,1/($AB$2:$AB$1000=AB618),$AD$2:$AD$1000)</f>
        <v/>
      </c>
      <c r="AM618" s="39" t="str" cm="1">
        <f t="array" ref="AM618">IFERROR(IF(LOOKUP(2,1/($AA$2:$AA$1000=AK618),$AD$2:$AD$1000)=0,"",
LOOKUP(2,1/($AA$2:$AA$1000=AK618),$AD$2:$AD$1000)),"")</f>
        <v/>
      </c>
      <c r="AO618" s="33" t="str" cm="1">
        <f t="array" ref="AO618">IFERROR(INDEX($AA$2:$AA$282,MATCH(0,COUNTIF('Paste Here'!$AK$1:AK617,$AA$2:$AA$282),0)),"")</f>
        <v/>
      </c>
      <c r="AP618" s="33" t="str">
        <f>IF(COUNTIF('Paste Here'!$AK$2:AK618,'Paste Here'!AK618)=1,VALUE('Paste Here'!AK618),"")</f>
        <v/>
      </c>
    </row>
    <row r="619" spans="1:42" x14ac:dyDescent="0.3">
      <c r="A619"/>
      <c r="B619"/>
      <c r="C619"/>
      <c r="D619" s="4"/>
      <c r="E619"/>
      <c r="F619"/>
      <c r="G619"/>
      <c r="H619"/>
      <c r="AA619" s="33" t="str">
        <f t="shared" si="28"/>
        <v/>
      </c>
      <c r="AC619" s="33">
        <f t="shared" si="27"/>
        <v>1048540</v>
      </c>
      <c r="AD619" s="33" t="str">
        <f t="shared" si="29"/>
        <v/>
      </c>
      <c r="AE619" s="33" t="str" cm="1">
        <f t="array" ref="AE619">LOOKUP(2,1/($AB$2:$AB$1000=AB619),$AD$2:$AD$1000)</f>
        <v/>
      </c>
      <c r="AM619" s="39" t="str" cm="1">
        <f t="array" ref="AM619">IFERROR(IF(LOOKUP(2,1/($AA$2:$AA$1000=AK619),$AD$2:$AD$1000)=0,"",
LOOKUP(2,1/($AA$2:$AA$1000=AK619),$AD$2:$AD$1000)),"")</f>
        <v/>
      </c>
      <c r="AO619" s="33" t="str" cm="1">
        <f t="array" ref="AO619">IFERROR(INDEX($AA$2:$AA$282,MATCH(0,COUNTIF('Paste Here'!$AK$1:AK618,$AA$2:$AA$282),0)),"")</f>
        <v/>
      </c>
      <c r="AP619" s="33" t="str">
        <f>IF(COUNTIF('Paste Here'!$AK$2:AK619,'Paste Here'!AK619)=1,VALUE('Paste Here'!AK619),"")</f>
        <v/>
      </c>
    </row>
    <row r="620" spans="1:42" x14ac:dyDescent="0.3">
      <c r="A620"/>
      <c r="B620"/>
      <c r="C620"/>
      <c r="D620" s="4"/>
      <c r="E620"/>
      <c r="F620"/>
      <c r="G620"/>
      <c r="H620"/>
      <c r="AA620" s="33" t="str">
        <f t="shared" si="28"/>
        <v/>
      </c>
      <c r="AC620" s="33">
        <f t="shared" si="27"/>
        <v>1048540</v>
      </c>
      <c r="AD620" s="33" t="str">
        <f t="shared" si="29"/>
        <v/>
      </c>
      <c r="AE620" s="33" t="str" cm="1">
        <f t="array" ref="AE620">LOOKUP(2,1/($AB$2:$AB$1000=AB620),$AD$2:$AD$1000)</f>
        <v/>
      </c>
      <c r="AM620" s="39" t="str" cm="1">
        <f t="array" ref="AM620">IFERROR(IF(LOOKUP(2,1/($AA$2:$AA$1000=AK620),$AD$2:$AD$1000)=0,"",
LOOKUP(2,1/($AA$2:$AA$1000=AK620),$AD$2:$AD$1000)),"")</f>
        <v/>
      </c>
      <c r="AO620" s="33" t="str" cm="1">
        <f t="array" ref="AO620">IFERROR(INDEX($AA$2:$AA$282,MATCH(0,COUNTIF('Paste Here'!$AK$1:AK619,$AA$2:$AA$282),0)),"")</f>
        <v/>
      </c>
      <c r="AP620" s="33" t="str">
        <f>IF(COUNTIF('Paste Here'!$AK$2:AK620,'Paste Here'!AK620)=1,VALUE('Paste Here'!AK620),"")</f>
        <v/>
      </c>
    </row>
    <row r="621" spans="1:42" x14ac:dyDescent="0.3">
      <c r="A621"/>
      <c r="B621"/>
      <c r="C621"/>
      <c r="D621" s="4"/>
      <c r="E621"/>
      <c r="F621"/>
      <c r="G621"/>
      <c r="H621"/>
      <c r="AA621" s="33" t="str">
        <f t="shared" si="28"/>
        <v/>
      </c>
      <c r="AC621" s="33">
        <f t="shared" si="27"/>
        <v>1048540</v>
      </c>
      <c r="AD621" s="33" t="str">
        <f t="shared" si="29"/>
        <v/>
      </c>
      <c r="AE621" s="33" t="str" cm="1">
        <f t="array" ref="AE621">LOOKUP(2,1/($AB$2:$AB$1000=AB621),$AD$2:$AD$1000)</f>
        <v/>
      </c>
      <c r="AM621" s="39" t="str" cm="1">
        <f t="array" ref="AM621">IFERROR(IF(LOOKUP(2,1/($AA$2:$AA$1000=AK621),$AD$2:$AD$1000)=0,"",
LOOKUP(2,1/($AA$2:$AA$1000=AK621),$AD$2:$AD$1000)),"")</f>
        <v/>
      </c>
      <c r="AO621" s="33" t="str" cm="1">
        <f t="array" ref="AO621">IFERROR(INDEX($AA$2:$AA$282,MATCH(0,COUNTIF('Paste Here'!$AK$1:AK620,$AA$2:$AA$282),0)),"")</f>
        <v/>
      </c>
      <c r="AP621" s="33" t="str">
        <f>IF(COUNTIF('Paste Here'!$AK$2:AK621,'Paste Here'!AK621)=1,VALUE('Paste Here'!AK621),"")</f>
        <v/>
      </c>
    </row>
    <row r="622" spans="1:42" x14ac:dyDescent="0.3">
      <c r="A622"/>
      <c r="B622"/>
      <c r="C622"/>
      <c r="D622" s="4"/>
      <c r="E622"/>
      <c r="F622"/>
      <c r="G622"/>
      <c r="H622"/>
      <c r="AA622" s="33" t="str">
        <f t="shared" si="28"/>
        <v/>
      </c>
      <c r="AC622" s="33">
        <f t="shared" si="27"/>
        <v>1048540</v>
      </c>
      <c r="AD622" s="33" t="str">
        <f t="shared" si="29"/>
        <v/>
      </c>
      <c r="AE622" s="33" t="str" cm="1">
        <f t="array" ref="AE622">LOOKUP(2,1/($AB$2:$AB$1000=AB622),$AD$2:$AD$1000)</f>
        <v/>
      </c>
      <c r="AM622" s="39" t="str" cm="1">
        <f t="array" ref="AM622">IFERROR(IF(LOOKUP(2,1/($AA$2:$AA$1000=AK622),$AD$2:$AD$1000)=0,"",
LOOKUP(2,1/($AA$2:$AA$1000=AK622),$AD$2:$AD$1000)),"")</f>
        <v/>
      </c>
      <c r="AO622" s="33" t="str" cm="1">
        <f t="array" ref="AO622">IFERROR(INDEX($AA$2:$AA$282,MATCH(0,COUNTIF('Paste Here'!$AK$1:AK621,$AA$2:$AA$282),0)),"")</f>
        <v/>
      </c>
      <c r="AP622" s="33" t="str">
        <f>IF(COUNTIF('Paste Here'!$AK$2:AK622,'Paste Here'!AK622)=1,VALUE('Paste Here'!AK622),"")</f>
        <v/>
      </c>
    </row>
    <row r="623" spans="1:42" x14ac:dyDescent="0.3">
      <c r="A623"/>
      <c r="B623"/>
      <c r="C623"/>
      <c r="D623" s="4"/>
      <c r="E623"/>
      <c r="F623"/>
      <c r="G623"/>
      <c r="H623"/>
      <c r="AA623" s="33" t="str">
        <f t="shared" si="28"/>
        <v/>
      </c>
      <c r="AC623" s="33">
        <f t="shared" si="27"/>
        <v>1048540</v>
      </c>
      <c r="AD623" s="33" t="str">
        <f t="shared" si="29"/>
        <v/>
      </c>
      <c r="AE623" s="33" t="str" cm="1">
        <f t="array" ref="AE623">LOOKUP(2,1/($AB$2:$AB$1000=AB623),$AD$2:$AD$1000)</f>
        <v/>
      </c>
      <c r="AM623" s="39" t="str" cm="1">
        <f t="array" ref="AM623">IFERROR(IF(LOOKUP(2,1/($AA$2:$AA$1000=AK623),$AD$2:$AD$1000)=0,"",
LOOKUP(2,1/($AA$2:$AA$1000=AK623),$AD$2:$AD$1000)),"")</f>
        <v/>
      </c>
      <c r="AO623" s="33" t="str" cm="1">
        <f t="array" ref="AO623">IFERROR(INDEX($AA$2:$AA$282,MATCH(0,COUNTIF('Paste Here'!$AK$1:AK622,$AA$2:$AA$282),0)),"")</f>
        <v/>
      </c>
      <c r="AP623" s="33" t="str">
        <f>IF(COUNTIF('Paste Here'!$AK$2:AK623,'Paste Here'!AK623)=1,VALUE('Paste Here'!AK623),"")</f>
        <v/>
      </c>
    </row>
    <row r="624" spans="1:42" x14ac:dyDescent="0.3">
      <c r="A624"/>
      <c r="B624"/>
      <c r="C624"/>
      <c r="D624" s="4"/>
      <c r="E624"/>
      <c r="F624"/>
      <c r="G624"/>
      <c r="H624"/>
      <c r="AA624" s="33" t="str">
        <f t="shared" si="28"/>
        <v/>
      </c>
      <c r="AC624" s="33">
        <f t="shared" si="27"/>
        <v>1048540</v>
      </c>
      <c r="AD624" s="33" t="str">
        <f t="shared" si="29"/>
        <v/>
      </c>
      <c r="AE624" s="33" t="str" cm="1">
        <f t="array" ref="AE624">LOOKUP(2,1/($AB$2:$AB$1000=AB624),$AD$2:$AD$1000)</f>
        <v/>
      </c>
      <c r="AM624" s="39" t="str" cm="1">
        <f t="array" ref="AM624">IFERROR(IF(LOOKUP(2,1/($AA$2:$AA$1000=AK624),$AD$2:$AD$1000)=0,"",
LOOKUP(2,1/($AA$2:$AA$1000=AK624),$AD$2:$AD$1000)),"")</f>
        <v/>
      </c>
      <c r="AO624" s="33" t="str" cm="1">
        <f t="array" ref="AO624">IFERROR(INDEX($AA$2:$AA$282,MATCH(0,COUNTIF('Paste Here'!$AK$1:AK623,$AA$2:$AA$282),0)),"")</f>
        <v/>
      </c>
      <c r="AP624" s="33" t="str">
        <f>IF(COUNTIF('Paste Here'!$AK$2:AK624,'Paste Here'!AK624)=1,VALUE('Paste Here'!AK624),"")</f>
        <v/>
      </c>
    </row>
    <row r="625" spans="1:42" x14ac:dyDescent="0.3">
      <c r="A625"/>
      <c r="B625"/>
      <c r="C625"/>
      <c r="D625" s="4"/>
      <c r="E625"/>
      <c r="F625"/>
      <c r="G625"/>
      <c r="H625"/>
      <c r="AA625" s="33" t="str">
        <f t="shared" si="28"/>
        <v/>
      </c>
      <c r="AC625" s="33">
        <f t="shared" si="27"/>
        <v>1048540</v>
      </c>
      <c r="AD625" s="33" t="str">
        <f t="shared" si="29"/>
        <v/>
      </c>
      <c r="AE625" s="33" t="str" cm="1">
        <f t="array" ref="AE625">LOOKUP(2,1/($AB$2:$AB$1000=AB625),$AD$2:$AD$1000)</f>
        <v/>
      </c>
      <c r="AM625" s="39" t="str" cm="1">
        <f t="array" ref="AM625">IFERROR(IF(LOOKUP(2,1/($AA$2:$AA$1000=AK625),$AD$2:$AD$1000)=0,"",
LOOKUP(2,1/($AA$2:$AA$1000=AK625),$AD$2:$AD$1000)),"")</f>
        <v/>
      </c>
      <c r="AO625" s="33" t="str" cm="1">
        <f t="array" ref="AO625">IFERROR(INDEX($AA$2:$AA$282,MATCH(0,COUNTIF('Paste Here'!$AK$1:AK624,$AA$2:$AA$282),0)),"")</f>
        <v/>
      </c>
      <c r="AP625" s="33" t="str">
        <f>IF(COUNTIF('Paste Here'!$AK$2:AK625,'Paste Here'!AK625)=1,VALUE('Paste Here'!AK625),"")</f>
        <v/>
      </c>
    </row>
    <row r="626" spans="1:42" x14ac:dyDescent="0.3">
      <c r="A626"/>
      <c r="B626"/>
      <c r="C626"/>
      <c r="D626" s="4"/>
      <c r="E626"/>
      <c r="F626"/>
      <c r="G626"/>
      <c r="H626"/>
      <c r="AA626" s="33" t="str">
        <f t="shared" si="28"/>
        <v/>
      </c>
      <c r="AC626" s="33">
        <f t="shared" si="27"/>
        <v>1048540</v>
      </c>
      <c r="AD626" s="33" t="str">
        <f t="shared" si="29"/>
        <v/>
      </c>
      <c r="AE626" s="33" t="str" cm="1">
        <f t="array" ref="AE626">LOOKUP(2,1/($AB$2:$AB$1000=AB626),$AD$2:$AD$1000)</f>
        <v/>
      </c>
      <c r="AM626" s="39" t="str" cm="1">
        <f t="array" ref="AM626">IFERROR(IF(LOOKUP(2,1/($AA$2:$AA$1000=AK626),$AD$2:$AD$1000)=0,"",
LOOKUP(2,1/($AA$2:$AA$1000=AK626),$AD$2:$AD$1000)),"")</f>
        <v/>
      </c>
      <c r="AO626" s="33" t="str" cm="1">
        <f t="array" ref="AO626">IFERROR(INDEX($AA$2:$AA$282,MATCH(0,COUNTIF('Paste Here'!$AK$1:AK625,$AA$2:$AA$282),0)),"")</f>
        <v/>
      </c>
      <c r="AP626" s="33" t="str">
        <f>IF(COUNTIF('Paste Here'!$AK$2:AK626,'Paste Here'!AK626)=1,VALUE('Paste Here'!AK626),"")</f>
        <v/>
      </c>
    </row>
    <row r="627" spans="1:42" x14ac:dyDescent="0.3">
      <c r="A627"/>
      <c r="B627"/>
      <c r="C627"/>
      <c r="D627" s="4"/>
      <c r="E627"/>
      <c r="F627"/>
      <c r="G627"/>
      <c r="H627"/>
      <c r="AA627" s="33" t="str">
        <f t="shared" si="28"/>
        <v/>
      </c>
      <c r="AC627" s="33">
        <f t="shared" si="27"/>
        <v>1048540</v>
      </c>
      <c r="AD627" s="33" t="str">
        <f t="shared" si="29"/>
        <v/>
      </c>
      <c r="AE627" s="33" t="str" cm="1">
        <f t="array" ref="AE627">LOOKUP(2,1/($AB$2:$AB$1000=AB627),$AD$2:$AD$1000)</f>
        <v/>
      </c>
      <c r="AM627" s="39" t="str" cm="1">
        <f t="array" ref="AM627">IFERROR(IF(LOOKUP(2,1/($AA$2:$AA$1000=AK627),$AD$2:$AD$1000)=0,"",
LOOKUP(2,1/($AA$2:$AA$1000=AK627),$AD$2:$AD$1000)),"")</f>
        <v/>
      </c>
      <c r="AO627" s="33" t="str" cm="1">
        <f t="array" ref="AO627">IFERROR(INDEX($AA$2:$AA$282,MATCH(0,COUNTIF('Paste Here'!$AK$1:AK626,$AA$2:$AA$282),0)),"")</f>
        <v/>
      </c>
      <c r="AP627" s="33" t="str">
        <f>IF(COUNTIF('Paste Here'!$AK$2:AK627,'Paste Here'!AK627)=1,VALUE('Paste Here'!AK627),"")</f>
        <v/>
      </c>
    </row>
    <row r="628" spans="1:42" x14ac:dyDescent="0.3">
      <c r="A628"/>
      <c r="B628"/>
      <c r="C628"/>
      <c r="D628" s="4"/>
      <c r="E628"/>
      <c r="F628"/>
      <c r="G628"/>
      <c r="H628"/>
      <c r="AA628" s="33" t="str">
        <f t="shared" si="28"/>
        <v/>
      </c>
      <c r="AC628" s="33">
        <f t="shared" si="27"/>
        <v>1048540</v>
      </c>
      <c r="AD628" s="33" t="str">
        <f t="shared" si="29"/>
        <v/>
      </c>
      <c r="AE628" s="33" t="str" cm="1">
        <f t="array" ref="AE628">LOOKUP(2,1/($AB$2:$AB$1000=AB628),$AD$2:$AD$1000)</f>
        <v/>
      </c>
      <c r="AM628" s="39" t="str" cm="1">
        <f t="array" ref="AM628">IFERROR(IF(LOOKUP(2,1/($AA$2:$AA$1000=AK628),$AD$2:$AD$1000)=0,"",
LOOKUP(2,1/($AA$2:$AA$1000=AK628),$AD$2:$AD$1000)),"")</f>
        <v/>
      </c>
      <c r="AO628" s="33" t="str" cm="1">
        <f t="array" ref="AO628">IFERROR(INDEX($AA$2:$AA$282,MATCH(0,COUNTIF('Paste Here'!$AK$1:AK627,$AA$2:$AA$282),0)),"")</f>
        <v/>
      </c>
      <c r="AP628" s="33" t="str">
        <f>IF(COUNTIF('Paste Here'!$AK$2:AK628,'Paste Here'!AK628)=1,VALUE('Paste Here'!AK628),"")</f>
        <v/>
      </c>
    </row>
    <row r="629" spans="1:42" x14ac:dyDescent="0.3">
      <c r="A629"/>
      <c r="B629"/>
      <c r="C629"/>
      <c r="D629" s="4"/>
      <c r="E629"/>
      <c r="F629"/>
      <c r="G629"/>
      <c r="H629"/>
      <c r="AA629" s="33" t="str">
        <f t="shared" si="28"/>
        <v/>
      </c>
      <c r="AC629" s="33">
        <f t="shared" si="27"/>
        <v>1048540</v>
      </c>
      <c r="AD629" s="33" t="str">
        <f t="shared" si="29"/>
        <v/>
      </c>
      <c r="AE629" s="33" t="str" cm="1">
        <f t="array" ref="AE629">LOOKUP(2,1/($AB$2:$AB$1000=AB629),$AD$2:$AD$1000)</f>
        <v/>
      </c>
      <c r="AM629" s="39" t="str" cm="1">
        <f t="array" ref="AM629">IFERROR(IF(LOOKUP(2,1/($AA$2:$AA$1000=AK629),$AD$2:$AD$1000)=0,"",
LOOKUP(2,1/($AA$2:$AA$1000=AK629),$AD$2:$AD$1000)),"")</f>
        <v/>
      </c>
      <c r="AO629" s="33" t="str" cm="1">
        <f t="array" ref="AO629">IFERROR(INDEX($AA$2:$AA$282,MATCH(0,COUNTIF('Paste Here'!$AK$1:AK628,$AA$2:$AA$282),0)),"")</f>
        <v/>
      </c>
      <c r="AP629" s="33" t="str">
        <f>IF(COUNTIF('Paste Here'!$AK$2:AK629,'Paste Here'!AK629)=1,VALUE('Paste Here'!AK629),"")</f>
        <v/>
      </c>
    </row>
    <row r="630" spans="1:42" x14ac:dyDescent="0.3">
      <c r="A630"/>
      <c r="B630"/>
      <c r="C630"/>
      <c r="D630" s="4"/>
      <c r="E630"/>
      <c r="F630"/>
      <c r="G630"/>
      <c r="H630"/>
      <c r="AA630" s="33" t="str">
        <f t="shared" si="28"/>
        <v/>
      </c>
      <c r="AC630" s="33">
        <f t="shared" si="27"/>
        <v>1048540</v>
      </c>
      <c r="AD630" s="33" t="str">
        <f t="shared" si="29"/>
        <v/>
      </c>
      <c r="AE630" s="33" t="str" cm="1">
        <f t="array" ref="AE630">LOOKUP(2,1/($AB$2:$AB$1000=AB630),$AD$2:$AD$1000)</f>
        <v/>
      </c>
      <c r="AM630" s="39" t="str" cm="1">
        <f t="array" ref="AM630">IFERROR(IF(LOOKUP(2,1/($AA$2:$AA$1000=AK630),$AD$2:$AD$1000)=0,"",
LOOKUP(2,1/($AA$2:$AA$1000=AK630),$AD$2:$AD$1000)),"")</f>
        <v/>
      </c>
      <c r="AO630" s="33" t="str" cm="1">
        <f t="array" ref="AO630">IFERROR(INDEX($AA$2:$AA$282,MATCH(0,COUNTIF('Paste Here'!$AK$1:AK629,$AA$2:$AA$282),0)),"")</f>
        <v/>
      </c>
      <c r="AP630" s="33" t="str">
        <f>IF(COUNTIF('Paste Here'!$AK$2:AK630,'Paste Here'!AK630)=1,VALUE('Paste Here'!AK630),"")</f>
        <v/>
      </c>
    </row>
    <row r="631" spans="1:42" x14ac:dyDescent="0.3">
      <c r="A631"/>
      <c r="B631"/>
      <c r="C631"/>
      <c r="D631" s="4"/>
      <c r="E631"/>
      <c r="F631"/>
      <c r="G631"/>
      <c r="H631"/>
      <c r="AA631" s="33" t="str">
        <f t="shared" si="28"/>
        <v/>
      </c>
      <c r="AC631" s="33">
        <f t="shared" si="27"/>
        <v>1048540</v>
      </c>
      <c r="AD631" s="33" t="str">
        <f t="shared" si="29"/>
        <v/>
      </c>
      <c r="AE631" s="33" t="str" cm="1">
        <f t="array" ref="AE631">LOOKUP(2,1/($AB$2:$AB$1000=AB631),$AD$2:$AD$1000)</f>
        <v/>
      </c>
      <c r="AM631" s="39" t="str" cm="1">
        <f t="array" ref="AM631">IFERROR(IF(LOOKUP(2,1/($AA$2:$AA$1000=AK631),$AD$2:$AD$1000)=0,"",
LOOKUP(2,1/($AA$2:$AA$1000=AK631),$AD$2:$AD$1000)),"")</f>
        <v/>
      </c>
      <c r="AO631" s="33" t="str" cm="1">
        <f t="array" ref="AO631">IFERROR(INDEX($AA$2:$AA$282,MATCH(0,COUNTIF('Paste Here'!$AK$1:AK630,$AA$2:$AA$282),0)),"")</f>
        <v/>
      </c>
      <c r="AP631" s="33" t="str">
        <f>IF(COUNTIF('Paste Here'!$AK$2:AK631,'Paste Here'!AK631)=1,VALUE('Paste Here'!AK631),"")</f>
        <v/>
      </c>
    </row>
    <row r="632" spans="1:42" x14ac:dyDescent="0.3">
      <c r="A632"/>
      <c r="B632"/>
      <c r="C632"/>
      <c r="D632" s="4"/>
      <c r="E632"/>
      <c r="F632"/>
      <c r="G632"/>
      <c r="H632"/>
      <c r="AA632" s="33" t="str">
        <f t="shared" si="28"/>
        <v/>
      </c>
      <c r="AC632" s="33">
        <f t="shared" si="27"/>
        <v>1048540</v>
      </c>
      <c r="AD632" s="33" t="str">
        <f t="shared" si="29"/>
        <v/>
      </c>
      <c r="AE632" s="33" t="str" cm="1">
        <f t="array" ref="AE632">LOOKUP(2,1/($AB$2:$AB$1000=AB632),$AD$2:$AD$1000)</f>
        <v/>
      </c>
      <c r="AM632" s="39" t="str" cm="1">
        <f t="array" ref="AM632">IFERROR(IF(LOOKUP(2,1/($AA$2:$AA$1000=AK632),$AD$2:$AD$1000)=0,"",
LOOKUP(2,1/($AA$2:$AA$1000=AK632),$AD$2:$AD$1000)),"")</f>
        <v/>
      </c>
      <c r="AO632" s="33" t="str" cm="1">
        <f t="array" ref="AO632">IFERROR(INDEX($AA$2:$AA$282,MATCH(0,COUNTIF('Paste Here'!$AK$1:AK631,$AA$2:$AA$282),0)),"")</f>
        <v/>
      </c>
      <c r="AP632" s="33" t="str">
        <f>IF(COUNTIF('Paste Here'!$AK$2:AK632,'Paste Here'!AK632)=1,VALUE('Paste Here'!AK632),"")</f>
        <v/>
      </c>
    </row>
    <row r="633" spans="1:42" x14ac:dyDescent="0.3">
      <c r="A633"/>
      <c r="B633"/>
      <c r="C633"/>
      <c r="D633" s="4"/>
      <c r="E633"/>
      <c r="F633"/>
      <c r="G633"/>
      <c r="H633"/>
      <c r="AA633" s="33" t="str">
        <f t="shared" si="28"/>
        <v/>
      </c>
      <c r="AC633" s="33">
        <f t="shared" si="27"/>
        <v>1048540</v>
      </c>
      <c r="AD633" s="33" t="str">
        <f t="shared" si="29"/>
        <v/>
      </c>
      <c r="AE633" s="33" t="str" cm="1">
        <f t="array" ref="AE633">LOOKUP(2,1/($AB$2:$AB$1000=AB633),$AD$2:$AD$1000)</f>
        <v/>
      </c>
      <c r="AM633" s="39" t="str" cm="1">
        <f t="array" ref="AM633">IFERROR(IF(LOOKUP(2,1/($AA$2:$AA$1000=AK633),$AD$2:$AD$1000)=0,"",
LOOKUP(2,1/($AA$2:$AA$1000=AK633),$AD$2:$AD$1000)),"")</f>
        <v/>
      </c>
      <c r="AO633" s="33" t="str" cm="1">
        <f t="array" ref="AO633">IFERROR(INDEX($AA$2:$AA$282,MATCH(0,COUNTIF('Paste Here'!$AK$1:AK632,$AA$2:$AA$282),0)),"")</f>
        <v/>
      </c>
      <c r="AP633" s="33" t="str">
        <f>IF(COUNTIF('Paste Here'!$AK$2:AK633,'Paste Here'!AK633)=1,VALUE('Paste Here'!AK633),"")</f>
        <v/>
      </c>
    </row>
    <row r="634" spans="1:42" x14ac:dyDescent="0.3">
      <c r="A634"/>
      <c r="B634"/>
      <c r="C634"/>
      <c r="D634" s="4"/>
      <c r="E634"/>
      <c r="F634"/>
      <c r="G634"/>
      <c r="H634"/>
      <c r="AA634" s="33" t="str">
        <f t="shared" si="28"/>
        <v/>
      </c>
      <c r="AC634" s="33">
        <f t="shared" si="27"/>
        <v>1048540</v>
      </c>
      <c r="AD634" s="33" t="str">
        <f t="shared" si="29"/>
        <v/>
      </c>
      <c r="AE634" s="33" t="str" cm="1">
        <f t="array" ref="AE634">LOOKUP(2,1/($AB$2:$AB$1000=AB634),$AD$2:$AD$1000)</f>
        <v/>
      </c>
      <c r="AM634" s="39" t="str" cm="1">
        <f t="array" ref="AM634">IFERROR(IF(LOOKUP(2,1/($AA$2:$AA$1000=AK634),$AD$2:$AD$1000)=0,"",
LOOKUP(2,1/($AA$2:$AA$1000=AK634),$AD$2:$AD$1000)),"")</f>
        <v/>
      </c>
      <c r="AO634" s="33" t="str" cm="1">
        <f t="array" ref="AO634">IFERROR(INDEX($AA$2:$AA$282,MATCH(0,COUNTIF('Paste Here'!$AK$1:AK633,$AA$2:$AA$282),0)),"")</f>
        <v/>
      </c>
      <c r="AP634" s="33" t="str">
        <f>IF(COUNTIF('Paste Here'!$AK$2:AK634,'Paste Here'!AK634)=1,VALUE('Paste Here'!AK634),"")</f>
        <v/>
      </c>
    </row>
    <row r="635" spans="1:42" x14ac:dyDescent="0.3">
      <c r="A635"/>
      <c r="B635"/>
      <c r="C635"/>
      <c r="D635" s="4"/>
      <c r="E635"/>
      <c r="F635"/>
      <c r="G635"/>
      <c r="H635"/>
      <c r="AA635" s="33" t="str">
        <f t="shared" si="28"/>
        <v/>
      </c>
      <c r="AC635" s="33">
        <f t="shared" si="27"/>
        <v>1048540</v>
      </c>
      <c r="AD635" s="33" t="str">
        <f t="shared" si="29"/>
        <v/>
      </c>
      <c r="AE635" s="33" t="str" cm="1">
        <f t="array" ref="AE635">LOOKUP(2,1/($AB$2:$AB$1000=AB635),$AD$2:$AD$1000)</f>
        <v/>
      </c>
      <c r="AM635" s="39" t="str" cm="1">
        <f t="array" ref="AM635">IFERROR(IF(LOOKUP(2,1/($AA$2:$AA$1000=AK635),$AD$2:$AD$1000)=0,"",
LOOKUP(2,1/($AA$2:$AA$1000=AK635),$AD$2:$AD$1000)),"")</f>
        <v/>
      </c>
      <c r="AO635" s="33" t="str" cm="1">
        <f t="array" ref="AO635">IFERROR(INDEX($AA$2:$AA$282,MATCH(0,COUNTIF('Paste Here'!$AK$1:AK634,$AA$2:$AA$282),0)),"")</f>
        <v/>
      </c>
      <c r="AP635" s="33" t="str">
        <f>IF(COUNTIF('Paste Here'!$AK$2:AK635,'Paste Here'!AK635)=1,VALUE('Paste Here'!AK635),"")</f>
        <v/>
      </c>
    </row>
    <row r="636" spans="1:42" x14ac:dyDescent="0.3">
      <c r="A636"/>
      <c r="B636"/>
      <c r="C636"/>
      <c r="D636" s="4"/>
      <c r="E636"/>
      <c r="F636"/>
      <c r="G636"/>
      <c r="H636"/>
      <c r="AA636" s="33" t="str">
        <f t="shared" si="28"/>
        <v/>
      </c>
      <c r="AC636" s="33">
        <f t="shared" si="27"/>
        <v>1048540</v>
      </c>
      <c r="AD636" s="33" t="str">
        <f t="shared" si="29"/>
        <v/>
      </c>
      <c r="AE636" s="33" t="str" cm="1">
        <f t="array" ref="AE636">LOOKUP(2,1/($AB$2:$AB$1000=AB636),$AD$2:$AD$1000)</f>
        <v/>
      </c>
      <c r="AM636" s="39" t="str" cm="1">
        <f t="array" ref="AM636">IFERROR(IF(LOOKUP(2,1/($AA$2:$AA$1000=AK636),$AD$2:$AD$1000)=0,"",
LOOKUP(2,1/($AA$2:$AA$1000=AK636),$AD$2:$AD$1000)),"")</f>
        <v/>
      </c>
      <c r="AO636" s="33" t="str" cm="1">
        <f t="array" ref="AO636">IFERROR(INDEX($AA$2:$AA$282,MATCH(0,COUNTIF('Paste Here'!$AK$1:AK635,$AA$2:$AA$282),0)),"")</f>
        <v/>
      </c>
      <c r="AP636" s="33" t="str">
        <f>IF(COUNTIF('Paste Here'!$AK$2:AK636,'Paste Here'!AK636)=1,VALUE('Paste Here'!AK636),"")</f>
        <v/>
      </c>
    </row>
    <row r="637" spans="1:42" x14ac:dyDescent="0.3">
      <c r="A637"/>
      <c r="B637"/>
      <c r="C637"/>
      <c r="D637" s="4"/>
      <c r="E637"/>
      <c r="F637"/>
      <c r="G637"/>
      <c r="H637"/>
      <c r="AA637" s="33" t="str">
        <f t="shared" si="28"/>
        <v/>
      </c>
      <c r="AC637" s="33">
        <f t="shared" si="27"/>
        <v>1048540</v>
      </c>
      <c r="AD637" s="33" t="str">
        <f t="shared" si="29"/>
        <v/>
      </c>
      <c r="AE637" s="33" t="str" cm="1">
        <f t="array" ref="AE637">LOOKUP(2,1/($AB$2:$AB$1000=AB637),$AD$2:$AD$1000)</f>
        <v/>
      </c>
      <c r="AM637" s="39" t="str" cm="1">
        <f t="array" ref="AM637">IFERROR(IF(LOOKUP(2,1/($AA$2:$AA$1000=AK637),$AD$2:$AD$1000)=0,"",
LOOKUP(2,1/($AA$2:$AA$1000=AK637),$AD$2:$AD$1000)),"")</f>
        <v/>
      </c>
      <c r="AO637" s="33" t="str" cm="1">
        <f t="array" ref="AO637">IFERROR(INDEX($AA$2:$AA$282,MATCH(0,COUNTIF('Paste Here'!$AK$1:AK636,$AA$2:$AA$282),0)),"")</f>
        <v/>
      </c>
      <c r="AP637" s="33" t="str">
        <f>IF(COUNTIF('Paste Here'!$AK$2:AK637,'Paste Here'!AK637)=1,VALUE('Paste Here'!AK637),"")</f>
        <v/>
      </c>
    </row>
    <row r="638" spans="1:42" x14ac:dyDescent="0.3">
      <c r="A638"/>
      <c r="B638"/>
      <c r="C638"/>
      <c r="D638" s="4"/>
      <c r="E638"/>
      <c r="F638"/>
      <c r="G638"/>
      <c r="H638"/>
      <c r="AA638" s="33" t="str">
        <f t="shared" si="28"/>
        <v/>
      </c>
      <c r="AC638" s="33">
        <f t="shared" si="27"/>
        <v>1048540</v>
      </c>
      <c r="AD638" s="33" t="str">
        <f t="shared" si="29"/>
        <v/>
      </c>
      <c r="AE638" s="33" t="str" cm="1">
        <f t="array" ref="AE638">LOOKUP(2,1/($AB$2:$AB$1000=AB638),$AD$2:$AD$1000)</f>
        <v/>
      </c>
      <c r="AM638" s="39" t="str" cm="1">
        <f t="array" ref="AM638">IFERROR(IF(LOOKUP(2,1/($AA$2:$AA$1000=AK638),$AD$2:$AD$1000)=0,"",
LOOKUP(2,1/($AA$2:$AA$1000=AK638),$AD$2:$AD$1000)),"")</f>
        <v/>
      </c>
      <c r="AO638" s="33" t="str" cm="1">
        <f t="array" ref="AO638">IFERROR(INDEX($AA$2:$AA$282,MATCH(0,COUNTIF('Paste Here'!$AK$1:AK637,$AA$2:$AA$282),0)),"")</f>
        <v/>
      </c>
      <c r="AP638" s="33" t="str">
        <f>IF(COUNTIF('Paste Here'!$AK$2:AK638,'Paste Here'!AK638)=1,VALUE('Paste Here'!AK638),"")</f>
        <v/>
      </c>
    </row>
    <row r="639" spans="1:42" x14ac:dyDescent="0.3">
      <c r="A639"/>
      <c r="B639"/>
      <c r="C639"/>
      <c r="D639" s="4"/>
      <c r="E639"/>
      <c r="F639"/>
      <c r="G639"/>
      <c r="H639"/>
      <c r="AA639" s="33" t="str">
        <f t="shared" si="28"/>
        <v/>
      </c>
      <c r="AC639" s="33">
        <f t="shared" si="27"/>
        <v>1048540</v>
      </c>
      <c r="AD639" s="33" t="str">
        <f t="shared" si="29"/>
        <v/>
      </c>
      <c r="AE639" s="33" t="str" cm="1">
        <f t="array" ref="AE639">LOOKUP(2,1/($AB$2:$AB$1000=AB639),$AD$2:$AD$1000)</f>
        <v/>
      </c>
      <c r="AM639" s="39" t="str" cm="1">
        <f t="array" ref="AM639">IFERROR(IF(LOOKUP(2,1/($AA$2:$AA$1000=AK639),$AD$2:$AD$1000)=0,"",
LOOKUP(2,1/($AA$2:$AA$1000=AK639),$AD$2:$AD$1000)),"")</f>
        <v/>
      </c>
      <c r="AO639" s="33" t="str" cm="1">
        <f t="array" ref="AO639">IFERROR(INDEX($AA$2:$AA$282,MATCH(0,COUNTIF('Paste Here'!$AK$1:AK638,$AA$2:$AA$282),0)),"")</f>
        <v/>
      </c>
      <c r="AP639" s="33" t="str">
        <f>IF(COUNTIF('Paste Here'!$AK$2:AK639,'Paste Here'!AK639)=1,VALUE('Paste Here'!AK639),"")</f>
        <v/>
      </c>
    </row>
    <row r="640" spans="1:42" x14ac:dyDescent="0.3">
      <c r="A640"/>
      <c r="B640"/>
      <c r="C640"/>
      <c r="D640" s="4"/>
      <c r="E640"/>
      <c r="F640"/>
      <c r="G640"/>
      <c r="H640"/>
      <c r="AA640" s="33" t="str">
        <f t="shared" si="28"/>
        <v/>
      </c>
      <c r="AC640" s="33">
        <f t="shared" si="27"/>
        <v>1048540</v>
      </c>
      <c r="AD640" s="33" t="str">
        <f t="shared" si="29"/>
        <v/>
      </c>
      <c r="AE640" s="33" t="str" cm="1">
        <f t="array" ref="AE640">LOOKUP(2,1/($AB$2:$AB$1000=AB640),$AD$2:$AD$1000)</f>
        <v/>
      </c>
      <c r="AM640" s="39" t="str" cm="1">
        <f t="array" ref="AM640">IFERROR(IF(LOOKUP(2,1/($AA$2:$AA$1000=AK640),$AD$2:$AD$1000)=0,"",
LOOKUP(2,1/($AA$2:$AA$1000=AK640),$AD$2:$AD$1000)),"")</f>
        <v/>
      </c>
      <c r="AO640" s="33" t="str" cm="1">
        <f t="array" ref="AO640">IFERROR(INDEX($AA$2:$AA$282,MATCH(0,COUNTIF('Paste Here'!$AK$1:AK639,$AA$2:$AA$282),0)),"")</f>
        <v/>
      </c>
      <c r="AP640" s="33" t="str">
        <f>IF(COUNTIF('Paste Here'!$AK$2:AK640,'Paste Here'!AK640)=1,VALUE('Paste Here'!AK640),"")</f>
        <v/>
      </c>
    </row>
    <row r="641" spans="1:42" x14ac:dyDescent="0.3">
      <c r="A641"/>
      <c r="B641"/>
      <c r="C641"/>
      <c r="D641" s="4"/>
      <c r="E641"/>
      <c r="F641"/>
      <c r="G641"/>
      <c r="H641"/>
      <c r="AA641" s="33" t="str">
        <f t="shared" si="28"/>
        <v/>
      </c>
      <c r="AC641" s="33">
        <f t="shared" si="27"/>
        <v>1048540</v>
      </c>
      <c r="AD641" s="33" t="str">
        <f t="shared" si="29"/>
        <v/>
      </c>
      <c r="AE641" s="33" t="str" cm="1">
        <f t="array" ref="AE641">LOOKUP(2,1/($AB$2:$AB$1000=AB641),$AD$2:$AD$1000)</f>
        <v/>
      </c>
      <c r="AM641" s="39" t="str" cm="1">
        <f t="array" ref="AM641">IFERROR(IF(LOOKUP(2,1/($AA$2:$AA$1000=AK641),$AD$2:$AD$1000)=0,"",
LOOKUP(2,1/($AA$2:$AA$1000=AK641),$AD$2:$AD$1000)),"")</f>
        <v/>
      </c>
      <c r="AO641" s="33" t="str" cm="1">
        <f t="array" ref="AO641">IFERROR(INDEX($AA$2:$AA$282,MATCH(0,COUNTIF('Paste Here'!$AK$1:AK640,$AA$2:$AA$282),0)),"")</f>
        <v/>
      </c>
      <c r="AP641" s="33" t="str">
        <f>IF(COUNTIF('Paste Here'!$AK$2:AK641,'Paste Here'!AK641)=1,VALUE('Paste Here'!AK641),"")</f>
        <v/>
      </c>
    </row>
    <row r="642" spans="1:42" x14ac:dyDescent="0.3">
      <c r="A642"/>
      <c r="B642"/>
      <c r="C642"/>
      <c r="D642" s="4"/>
      <c r="E642"/>
      <c r="F642"/>
      <c r="G642"/>
      <c r="H642"/>
      <c r="AA642" s="33" t="str">
        <f t="shared" si="28"/>
        <v/>
      </c>
      <c r="AC642" s="33">
        <f t="shared" ref="AC642:AC705" si="30">COUNTIF($AA:$AA,AA642)</f>
        <v>1048540</v>
      </c>
      <c r="AD642" s="33" t="str">
        <f t="shared" si="29"/>
        <v/>
      </c>
      <c r="AE642" s="33" t="str" cm="1">
        <f t="array" ref="AE642">LOOKUP(2,1/($AB$2:$AB$1000=AB642),$AD$2:$AD$1000)</f>
        <v/>
      </c>
      <c r="AM642" s="39" t="str" cm="1">
        <f t="array" ref="AM642">IFERROR(IF(LOOKUP(2,1/($AA$2:$AA$1000=AK642),$AD$2:$AD$1000)=0,"",
LOOKUP(2,1/($AA$2:$AA$1000=AK642),$AD$2:$AD$1000)),"")</f>
        <v/>
      </c>
      <c r="AO642" s="33" t="str" cm="1">
        <f t="array" ref="AO642">IFERROR(INDEX($AA$2:$AA$282,MATCH(0,COUNTIF('Paste Here'!$AK$1:AK641,$AA$2:$AA$282),0)),"")</f>
        <v/>
      </c>
      <c r="AP642" s="33" t="str">
        <f>IF(COUNTIF('Paste Here'!$AK$2:AK642,'Paste Here'!AK642)=1,VALUE('Paste Here'!AK642),"")</f>
        <v/>
      </c>
    </row>
    <row r="643" spans="1:42" x14ac:dyDescent="0.3">
      <c r="A643"/>
      <c r="B643"/>
      <c r="C643"/>
      <c r="D643" s="4"/>
      <c r="E643"/>
      <c r="F643"/>
      <c r="G643"/>
      <c r="H643"/>
      <c r="AA643" s="33" t="str">
        <f t="shared" ref="AA643:AA706" si="31">IFERROR(MID(G643,FIND("LR-",G643)+3,FIND("-",G643,FIND("LR-",G643)+3)-FIND("LR-",G643)-3),"")</f>
        <v/>
      </c>
      <c r="AC643" s="33">
        <f t="shared" si="30"/>
        <v>1048540</v>
      </c>
      <c r="AD643" s="33" t="str">
        <f t="shared" ref="AD643:AD706" si="32">IF(F643=0,"",F643)</f>
        <v/>
      </c>
      <c r="AE643" s="33" t="str" cm="1">
        <f t="array" ref="AE643">LOOKUP(2,1/($AB$2:$AB$1000=AB643),$AD$2:$AD$1000)</f>
        <v/>
      </c>
      <c r="AM643" s="39" t="str" cm="1">
        <f t="array" ref="AM643">IFERROR(IF(LOOKUP(2,1/($AA$2:$AA$1000=AK643),$AD$2:$AD$1000)=0,"",
LOOKUP(2,1/($AA$2:$AA$1000=AK643),$AD$2:$AD$1000)),"")</f>
        <v/>
      </c>
      <c r="AO643" s="33" t="str" cm="1">
        <f t="array" ref="AO643">IFERROR(INDEX($AA$2:$AA$282,MATCH(0,COUNTIF('Paste Here'!$AK$1:AK642,$AA$2:$AA$282),0)),"")</f>
        <v/>
      </c>
      <c r="AP643" s="33" t="str">
        <f>IF(COUNTIF('Paste Here'!$AK$2:AK643,'Paste Here'!AK643)=1,VALUE('Paste Here'!AK643),"")</f>
        <v/>
      </c>
    </row>
    <row r="644" spans="1:42" x14ac:dyDescent="0.3">
      <c r="A644"/>
      <c r="B644"/>
      <c r="C644"/>
      <c r="D644" s="4"/>
      <c r="E644"/>
      <c r="F644"/>
      <c r="G644"/>
      <c r="H644"/>
      <c r="AA644" s="33" t="str">
        <f t="shared" si="31"/>
        <v/>
      </c>
      <c r="AC644" s="33">
        <f t="shared" si="30"/>
        <v>1048540</v>
      </c>
      <c r="AD644" s="33" t="str">
        <f t="shared" si="32"/>
        <v/>
      </c>
      <c r="AE644" s="33" t="str" cm="1">
        <f t="array" ref="AE644">LOOKUP(2,1/($AB$2:$AB$1000=AB644),$AD$2:$AD$1000)</f>
        <v/>
      </c>
      <c r="AM644" s="39" t="str" cm="1">
        <f t="array" ref="AM644">IFERROR(IF(LOOKUP(2,1/($AA$2:$AA$1000=AK644),$AD$2:$AD$1000)=0,"",
LOOKUP(2,1/($AA$2:$AA$1000=AK644),$AD$2:$AD$1000)),"")</f>
        <v/>
      </c>
      <c r="AO644" s="33" t="str" cm="1">
        <f t="array" ref="AO644">IFERROR(INDEX($AA$2:$AA$282,MATCH(0,COUNTIF('Paste Here'!$AK$1:AK643,$AA$2:$AA$282),0)),"")</f>
        <v/>
      </c>
      <c r="AP644" s="33" t="str">
        <f>IF(COUNTIF('Paste Here'!$AK$2:AK644,'Paste Here'!AK644)=1,VALUE('Paste Here'!AK644),"")</f>
        <v/>
      </c>
    </row>
    <row r="645" spans="1:42" x14ac:dyDescent="0.3">
      <c r="A645"/>
      <c r="B645"/>
      <c r="C645"/>
      <c r="D645" s="4"/>
      <c r="E645"/>
      <c r="F645"/>
      <c r="G645"/>
      <c r="H645"/>
      <c r="AA645" s="33" t="str">
        <f t="shared" si="31"/>
        <v/>
      </c>
      <c r="AC645" s="33">
        <f t="shared" si="30"/>
        <v>1048540</v>
      </c>
      <c r="AD645" s="33" t="str">
        <f t="shared" si="32"/>
        <v/>
      </c>
      <c r="AE645" s="33" t="str" cm="1">
        <f t="array" ref="AE645">LOOKUP(2,1/($AB$2:$AB$1000=AB645),$AD$2:$AD$1000)</f>
        <v/>
      </c>
      <c r="AM645" s="39" t="str" cm="1">
        <f t="array" ref="AM645">IFERROR(IF(LOOKUP(2,1/($AA$2:$AA$1000=AK645),$AD$2:$AD$1000)=0,"",
LOOKUP(2,1/($AA$2:$AA$1000=AK645),$AD$2:$AD$1000)),"")</f>
        <v/>
      </c>
      <c r="AO645" s="33" t="str" cm="1">
        <f t="array" ref="AO645">IFERROR(INDEX($AA$2:$AA$282,MATCH(0,COUNTIF('Paste Here'!$AK$1:AK644,$AA$2:$AA$282),0)),"")</f>
        <v/>
      </c>
      <c r="AP645" s="33" t="str">
        <f>IF(COUNTIF('Paste Here'!$AK$2:AK645,'Paste Here'!AK645)=1,VALUE('Paste Here'!AK645),"")</f>
        <v/>
      </c>
    </row>
    <row r="646" spans="1:42" x14ac:dyDescent="0.3">
      <c r="A646" s="2"/>
      <c r="B646" s="2"/>
      <c r="C646" s="2"/>
      <c r="D646" s="3"/>
      <c r="E646" s="2"/>
      <c r="F646" s="2"/>
      <c r="G646" s="2"/>
      <c r="H646" s="2"/>
      <c r="AA646" s="33" t="str">
        <f t="shared" si="31"/>
        <v/>
      </c>
      <c r="AC646" s="33">
        <f t="shared" si="30"/>
        <v>1048540</v>
      </c>
      <c r="AD646" s="33" t="str">
        <f t="shared" si="32"/>
        <v/>
      </c>
      <c r="AE646" s="33" t="str" cm="1">
        <f t="array" ref="AE646">LOOKUP(2,1/($AB$2:$AB$1000=AB646),$AD$2:$AD$1000)</f>
        <v/>
      </c>
      <c r="AM646" s="39" t="str" cm="1">
        <f t="array" ref="AM646">IFERROR(IF(LOOKUP(2,1/($AA$2:$AA$1000=AK646),$AD$2:$AD$1000)=0,"",
LOOKUP(2,1/($AA$2:$AA$1000=AK646),$AD$2:$AD$1000)),"")</f>
        <v/>
      </c>
      <c r="AO646" s="33" t="str" cm="1">
        <f t="array" ref="AO646">IFERROR(INDEX($AA$2:$AA$282,MATCH(0,COUNTIF('Paste Here'!$AK$1:AK645,$AA$2:$AA$282),0)),"")</f>
        <v/>
      </c>
      <c r="AP646" s="33" t="str">
        <f>IF(COUNTIF('Paste Here'!$AK$2:AK646,'Paste Here'!AK646)=1,VALUE('Paste Here'!AK646),"")</f>
        <v/>
      </c>
    </row>
    <row r="647" spans="1:42" x14ac:dyDescent="0.3">
      <c r="A647" s="2"/>
      <c r="B647" s="2"/>
      <c r="C647" s="2"/>
      <c r="D647" s="3"/>
      <c r="E647" s="2"/>
      <c r="F647" s="2"/>
      <c r="G647" s="2"/>
      <c r="H647" s="2"/>
      <c r="AA647" s="33" t="str">
        <f t="shared" si="31"/>
        <v/>
      </c>
      <c r="AC647" s="33">
        <f t="shared" si="30"/>
        <v>1048540</v>
      </c>
      <c r="AD647" s="33" t="str">
        <f t="shared" si="32"/>
        <v/>
      </c>
      <c r="AE647" s="33" t="str" cm="1">
        <f t="array" ref="AE647">LOOKUP(2,1/($AB$2:$AB$1000=AB647),$AD$2:$AD$1000)</f>
        <v/>
      </c>
      <c r="AM647" s="39" t="str" cm="1">
        <f t="array" ref="AM647">IFERROR(IF(LOOKUP(2,1/($AA$2:$AA$1000=AK647),$AD$2:$AD$1000)=0,"",
LOOKUP(2,1/($AA$2:$AA$1000=AK647),$AD$2:$AD$1000)),"")</f>
        <v/>
      </c>
      <c r="AO647" s="33" t="str" cm="1">
        <f t="array" ref="AO647">IFERROR(INDEX($AA$2:$AA$282,MATCH(0,COUNTIF('Paste Here'!$AK$1:AK646,$AA$2:$AA$282),0)),"")</f>
        <v/>
      </c>
      <c r="AP647" s="33" t="str">
        <f>IF(COUNTIF('Paste Here'!$AK$2:AK647,'Paste Here'!AK647)=1,VALUE('Paste Here'!AK647),"")</f>
        <v/>
      </c>
    </row>
    <row r="648" spans="1:42" x14ac:dyDescent="0.3">
      <c r="A648" s="2"/>
      <c r="B648" s="2"/>
      <c r="C648" s="2"/>
      <c r="D648" s="3"/>
      <c r="E648" s="2"/>
      <c r="F648" s="2"/>
      <c r="G648" s="2"/>
      <c r="H648" s="2"/>
      <c r="AA648" s="33" t="str">
        <f t="shared" si="31"/>
        <v/>
      </c>
      <c r="AC648" s="33">
        <f t="shared" si="30"/>
        <v>1048540</v>
      </c>
      <c r="AD648" s="33" t="str">
        <f t="shared" si="32"/>
        <v/>
      </c>
      <c r="AE648" s="33" t="str" cm="1">
        <f t="array" ref="AE648">LOOKUP(2,1/($AB$2:$AB$1000=AB648),$AD$2:$AD$1000)</f>
        <v/>
      </c>
      <c r="AM648" s="39" t="str" cm="1">
        <f t="array" ref="AM648">IFERROR(IF(LOOKUP(2,1/($AA$2:$AA$1000=AK648),$AD$2:$AD$1000)=0,"",
LOOKUP(2,1/($AA$2:$AA$1000=AK648),$AD$2:$AD$1000)),"")</f>
        <v/>
      </c>
      <c r="AO648" s="33" t="str" cm="1">
        <f t="array" ref="AO648">IFERROR(INDEX($AA$2:$AA$282,MATCH(0,COUNTIF('Paste Here'!$AK$1:AK647,$AA$2:$AA$282),0)),"")</f>
        <v/>
      </c>
      <c r="AP648" s="33" t="str">
        <f>IF(COUNTIF('Paste Here'!$AK$2:AK648,'Paste Here'!AK648)=1,VALUE('Paste Here'!AK648),"")</f>
        <v/>
      </c>
    </row>
    <row r="649" spans="1:42" x14ac:dyDescent="0.3">
      <c r="A649" s="2"/>
      <c r="B649" s="2"/>
      <c r="C649" s="2"/>
      <c r="D649" s="3"/>
      <c r="E649" s="2"/>
      <c r="F649" s="2"/>
      <c r="G649" s="2"/>
      <c r="H649" s="2"/>
      <c r="AA649" s="33" t="str">
        <f t="shared" si="31"/>
        <v/>
      </c>
      <c r="AC649" s="33">
        <f t="shared" si="30"/>
        <v>1048540</v>
      </c>
      <c r="AD649" s="33" t="str">
        <f t="shared" si="32"/>
        <v/>
      </c>
      <c r="AE649" s="33" t="str" cm="1">
        <f t="array" ref="AE649">LOOKUP(2,1/($AB$2:$AB$1000=AB649),$AD$2:$AD$1000)</f>
        <v/>
      </c>
      <c r="AM649" s="39" t="str" cm="1">
        <f t="array" ref="AM649">IFERROR(IF(LOOKUP(2,1/($AA$2:$AA$1000=AK649),$AD$2:$AD$1000)=0,"",
LOOKUP(2,1/($AA$2:$AA$1000=AK649),$AD$2:$AD$1000)),"")</f>
        <v/>
      </c>
      <c r="AO649" s="33" t="str" cm="1">
        <f t="array" ref="AO649">IFERROR(INDEX($AA$2:$AA$282,MATCH(0,COUNTIF('Paste Here'!$AK$1:AK648,$AA$2:$AA$282),0)),"")</f>
        <v/>
      </c>
      <c r="AP649" s="33" t="str">
        <f>IF(COUNTIF('Paste Here'!$AK$2:AK649,'Paste Here'!AK649)=1,VALUE('Paste Here'!AK649),"")</f>
        <v/>
      </c>
    </row>
    <row r="650" spans="1:42" x14ac:dyDescent="0.3">
      <c r="A650" s="2"/>
      <c r="B650" s="2"/>
      <c r="C650" s="2"/>
      <c r="D650" s="3"/>
      <c r="E650" s="2"/>
      <c r="F650" s="2"/>
      <c r="G650" s="2"/>
      <c r="H650" s="2"/>
      <c r="AA650" s="33" t="str">
        <f t="shared" si="31"/>
        <v/>
      </c>
      <c r="AC650" s="33">
        <f t="shared" si="30"/>
        <v>1048540</v>
      </c>
      <c r="AD650" s="33" t="str">
        <f t="shared" si="32"/>
        <v/>
      </c>
      <c r="AE650" s="33" t="str" cm="1">
        <f t="array" ref="AE650">LOOKUP(2,1/($AB$2:$AB$1000=AB650),$AD$2:$AD$1000)</f>
        <v/>
      </c>
      <c r="AM650" s="39" t="str" cm="1">
        <f t="array" ref="AM650">IFERROR(IF(LOOKUP(2,1/($AA$2:$AA$1000=AK650),$AD$2:$AD$1000)=0,"",
LOOKUP(2,1/($AA$2:$AA$1000=AK650),$AD$2:$AD$1000)),"")</f>
        <v/>
      </c>
      <c r="AO650" s="33" t="str" cm="1">
        <f t="array" ref="AO650">IFERROR(INDEX($AA$2:$AA$282,MATCH(0,COUNTIF('Paste Here'!$AK$1:AK649,$AA$2:$AA$282),0)),"")</f>
        <v/>
      </c>
      <c r="AP650" s="33" t="str">
        <f>IF(COUNTIF('Paste Here'!$AK$2:AK650,'Paste Here'!AK650)=1,VALUE('Paste Here'!AK650),"")</f>
        <v/>
      </c>
    </row>
    <row r="651" spans="1:42" x14ac:dyDescent="0.3">
      <c r="A651" s="2"/>
      <c r="B651" s="2"/>
      <c r="C651" s="2"/>
      <c r="D651" s="3"/>
      <c r="E651" s="2"/>
      <c r="F651" s="2"/>
      <c r="G651" s="2"/>
      <c r="H651" s="2"/>
      <c r="AA651" s="33" t="str">
        <f t="shared" si="31"/>
        <v/>
      </c>
      <c r="AC651" s="33">
        <f t="shared" si="30"/>
        <v>1048540</v>
      </c>
      <c r="AD651" s="33" t="str">
        <f t="shared" si="32"/>
        <v/>
      </c>
      <c r="AE651" s="33" t="str" cm="1">
        <f t="array" ref="AE651">LOOKUP(2,1/($AB$2:$AB$1000=AB651),$AD$2:$AD$1000)</f>
        <v/>
      </c>
      <c r="AM651" s="39" t="str" cm="1">
        <f t="array" ref="AM651">IFERROR(IF(LOOKUP(2,1/($AA$2:$AA$1000=AK651),$AD$2:$AD$1000)=0,"",
LOOKUP(2,1/($AA$2:$AA$1000=AK651),$AD$2:$AD$1000)),"")</f>
        <v/>
      </c>
      <c r="AO651" s="33" t="str" cm="1">
        <f t="array" ref="AO651">IFERROR(INDEX($AA$2:$AA$282,MATCH(0,COUNTIF('Paste Here'!$AK$1:AK650,$AA$2:$AA$282),0)),"")</f>
        <v/>
      </c>
      <c r="AP651" s="33" t="str">
        <f>IF(COUNTIF('Paste Here'!$AK$2:AK651,'Paste Here'!AK651)=1,VALUE('Paste Here'!AK651),"")</f>
        <v/>
      </c>
    </row>
    <row r="652" spans="1:42" x14ac:dyDescent="0.3">
      <c r="A652" s="2"/>
      <c r="B652" s="2"/>
      <c r="C652" s="2"/>
      <c r="D652" s="3"/>
      <c r="E652" s="2"/>
      <c r="F652" s="2"/>
      <c r="G652" s="2"/>
      <c r="H652" s="2"/>
      <c r="AA652" s="33" t="str">
        <f t="shared" si="31"/>
        <v/>
      </c>
      <c r="AC652" s="33">
        <f t="shared" si="30"/>
        <v>1048540</v>
      </c>
      <c r="AD652" s="33" t="str">
        <f t="shared" si="32"/>
        <v/>
      </c>
      <c r="AE652" s="33" t="str" cm="1">
        <f t="array" ref="AE652">LOOKUP(2,1/($AB$2:$AB$1000=AB652),$AD$2:$AD$1000)</f>
        <v/>
      </c>
      <c r="AM652" s="39" t="str" cm="1">
        <f t="array" ref="AM652">IFERROR(IF(LOOKUP(2,1/($AA$2:$AA$1000=AK652),$AD$2:$AD$1000)=0,"",
LOOKUP(2,1/($AA$2:$AA$1000=AK652),$AD$2:$AD$1000)),"")</f>
        <v/>
      </c>
      <c r="AO652" s="33" t="str" cm="1">
        <f t="array" ref="AO652">IFERROR(INDEX($AA$2:$AA$282,MATCH(0,COUNTIF('Paste Here'!$AK$1:AK651,$AA$2:$AA$282),0)),"")</f>
        <v/>
      </c>
      <c r="AP652" s="33" t="str">
        <f>IF(COUNTIF('Paste Here'!$AK$2:AK652,'Paste Here'!AK652)=1,VALUE('Paste Here'!AK652),"")</f>
        <v/>
      </c>
    </row>
    <row r="653" spans="1:42" x14ac:dyDescent="0.3">
      <c r="A653" s="2"/>
      <c r="B653" s="2"/>
      <c r="C653" s="2"/>
      <c r="D653" s="3"/>
      <c r="E653" s="2"/>
      <c r="F653" s="2"/>
      <c r="G653" s="2"/>
      <c r="H653" s="2"/>
      <c r="AA653" s="33" t="str">
        <f t="shared" si="31"/>
        <v/>
      </c>
      <c r="AC653" s="33">
        <f t="shared" si="30"/>
        <v>1048540</v>
      </c>
      <c r="AD653" s="33" t="str">
        <f t="shared" si="32"/>
        <v/>
      </c>
      <c r="AE653" s="33" t="str" cm="1">
        <f t="array" ref="AE653">LOOKUP(2,1/($AB$2:$AB$1000=AB653),$AD$2:$AD$1000)</f>
        <v/>
      </c>
      <c r="AM653" s="39" t="str" cm="1">
        <f t="array" ref="AM653">IFERROR(IF(LOOKUP(2,1/($AA$2:$AA$1000=AK653),$AD$2:$AD$1000)=0,"",
LOOKUP(2,1/($AA$2:$AA$1000=AK653),$AD$2:$AD$1000)),"")</f>
        <v/>
      </c>
      <c r="AO653" s="33" t="str" cm="1">
        <f t="array" ref="AO653">IFERROR(INDEX($AA$2:$AA$282,MATCH(0,COUNTIF('Paste Here'!$AK$1:AK652,$AA$2:$AA$282),0)),"")</f>
        <v/>
      </c>
      <c r="AP653" s="33" t="str">
        <f>IF(COUNTIF('Paste Here'!$AK$2:AK653,'Paste Here'!AK653)=1,VALUE('Paste Here'!AK653),"")</f>
        <v/>
      </c>
    </row>
    <row r="654" spans="1:42" x14ac:dyDescent="0.3">
      <c r="A654" s="2"/>
      <c r="B654" s="2"/>
      <c r="C654" s="2"/>
      <c r="D654" s="3"/>
      <c r="E654" s="2"/>
      <c r="F654" s="2"/>
      <c r="G654" s="2"/>
      <c r="H654" s="2"/>
      <c r="AA654" s="33" t="str">
        <f t="shared" si="31"/>
        <v/>
      </c>
      <c r="AC654" s="33">
        <f t="shared" si="30"/>
        <v>1048540</v>
      </c>
      <c r="AD654" s="33" t="str">
        <f t="shared" si="32"/>
        <v/>
      </c>
      <c r="AE654" s="33" t="str" cm="1">
        <f t="array" ref="AE654">LOOKUP(2,1/($AB$2:$AB$1000=AB654),$AD$2:$AD$1000)</f>
        <v/>
      </c>
      <c r="AM654" s="39" t="str" cm="1">
        <f t="array" ref="AM654">IFERROR(IF(LOOKUP(2,1/($AA$2:$AA$1000=AK654),$AD$2:$AD$1000)=0,"",
LOOKUP(2,1/($AA$2:$AA$1000=AK654),$AD$2:$AD$1000)),"")</f>
        <v/>
      </c>
      <c r="AO654" s="33" t="str" cm="1">
        <f t="array" ref="AO654">IFERROR(INDEX($AA$2:$AA$282,MATCH(0,COUNTIF('Paste Here'!$AK$1:AK653,$AA$2:$AA$282),0)),"")</f>
        <v/>
      </c>
      <c r="AP654" s="33" t="str">
        <f>IF(COUNTIF('Paste Here'!$AK$2:AK654,'Paste Here'!AK654)=1,VALUE('Paste Here'!AK654),"")</f>
        <v/>
      </c>
    </row>
    <row r="655" spans="1:42" x14ac:dyDescent="0.3">
      <c r="A655" s="2"/>
      <c r="B655" s="2"/>
      <c r="C655" s="2"/>
      <c r="D655" s="3"/>
      <c r="E655" s="2"/>
      <c r="F655" s="2"/>
      <c r="G655" s="2"/>
      <c r="H655" s="2"/>
      <c r="AA655" s="33" t="str">
        <f t="shared" si="31"/>
        <v/>
      </c>
      <c r="AC655" s="33">
        <f t="shared" si="30"/>
        <v>1048540</v>
      </c>
      <c r="AD655" s="33" t="str">
        <f t="shared" si="32"/>
        <v/>
      </c>
      <c r="AE655" s="33" t="str" cm="1">
        <f t="array" ref="AE655">LOOKUP(2,1/($AB$2:$AB$1000=AB655),$AD$2:$AD$1000)</f>
        <v/>
      </c>
      <c r="AM655" s="39" t="str" cm="1">
        <f t="array" ref="AM655">IFERROR(IF(LOOKUP(2,1/($AA$2:$AA$1000=AK655),$AD$2:$AD$1000)=0,"",
LOOKUP(2,1/($AA$2:$AA$1000=AK655),$AD$2:$AD$1000)),"")</f>
        <v/>
      </c>
      <c r="AO655" s="33" t="str" cm="1">
        <f t="array" ref="AO655">IFERROR(INDEX($AA$2:$AA$282,MATCH(0,COUNTIF('Paste Here'!$AK$1:AK654,$AA$2:$AA$282),0)),"")</f>
        <v/>
      </c>
      <c r="AP655" s="33" t="str">
        <f>IF(COUNTIF('Paste Here'!$AK$2:AK655,'Paste Here'!AK655)=1,VALUE('Paste Here'!AK655),"")</f>
        <v/>
      </c>
    </row>
    <row r="656" spans="1:42" x14ac:dyDescent="0.3">
      <c r="A656" s="2"/>
      <c r="B656" s="2"/>
      <c r="C656" s="2"/>
      <c r="D656" s="3"/>
      <c r="E656" s="2"/>
      <c r="F656" s="2"/>
      <c r="G656" s="2"/>
      <c r="H656" s="2"/>
      <c r="AA656" s="33" t="str">
        <f t="shared" si="31"/>
        <v/>
      </c>
      <c r="AC656" s="33">
        <f t="shared" si="30"/>
        <v>1048540</v>
      </c>
      <c r="AD656" s="33" t="str">
        <f t="shared" si="32"/>
        <v/>
      </c>
      <c r="AE656" s="33" t="str" cm="1">
        <f t="array" ref="AE656">LOOKUP(2,1/($AB$2:$AB$1000=AB656),$AD$2:$AD$1000)</f>
        <v/>
      </c>
      <c r="AM656" s="39" t="str" cm="1">
        <f t="array" ref="AM656">IFERROR(IF(LOOKUP(2,1/($AA$2:$AA$1000=AK656),$AD$2:$AD$1000)=0,"",
LOOKUP(2,1/($AA$2:$AA$1000=AK656),$AD$2:$AD$1000)),"")</f>
        <v/>
      </c>
      <c r="AO656" s="33" t="str" cm="1">
        <f t="array" ref="AO656">IFERROR(INDEX($AA$2:$AA$282,MATCH(0,COUNTIF('Paste Here'!$AK$1:AK655,$AA$2:$AA$282),0)),"")</f>
        <v/>
      </c>
      <c r="AP656" s="33" t="str">
        <f>IF(COUNTIF('Paste Here'!$AK$2:AK656,'Paste Here'!AK656)=1,VALUE('Paste Here'!AK656),"")</f>
        <v/>
      </c>
    </row>
    <row r="657" spans="1:42" x14ac:dyDescent="0.3">
      <c r="A657" s="2"/>
      <c r="B657" s="2"/>
      <c r="C657" s="2"/>
      <c r="D657" s="3"/>
      <c r="E657" s="2"/>
      <c r="F657" s="2"/>
      <c r="G657" s="2"/>
      <c r="H657" s="2"/>
      <c r="AA657" s="33" t="str">
        <f t="shared" si="31"/>
        <v/>
      </c>
      <c r="AC657" s="33">
        <f t="shared" si="30"/>
        <v>1048540</v>
      </c>
      <c r="AD657" s="33" t="str">
        <f t="shared" si="32"/>
        <v/>
      </c>
      <c r="AE657" s="33" t="str" cm="1">
        <f t="array" ref="AE657">LOOKUP(2,1/($AB$2:$AB$1000=AB657),$AD$2:$AD$1000)</f>
        <v/>
      </c>
      <c r="AM657" s="39" t="str" cm="1">
        <f t="array" ref="AM657">IFERROR(IF(LOOKUP(2,1/($AA$2:$AA$1000=AK657),$AD$2:$AD$1000)=0,"",
LOOKUP(2,1/($AA$2:$AA$1000=AK657),$AD$2:$AD$1000)),"")</f>
        <v/>
      </c>
      <c r="AO657" s="33" t="str" cm="1">
        <f t="array" ref="AO657">IFERROR(INDEX($AA$2:$AA$282,MATCH(0,COUNTIF('Paste Here'!$AK$1:AK656,$AA$2:$AA$282),0)),"")</f>
        <v/>
      </c>
      <c r="AP657" s="33" t="str">
        <f>IF(COUNTIF('Paste Here'!$AK$2:AK657,'Paste Here'!AK657)=1,VALUE('Paste Here'!AK657),"")</f>
        <v/>
      </c>
    </row>
    <row r="658" spans="1:42" x14ac:dyDescent="0.3">
      <c r="A658" s="2"/>
      <c r="B658" s="2"/>
      <c r="C658" s="2"/>
      <c r="D658" s="3"/>
      <c r="E658" s="2"/>
      <c r="F658" s="2"/>
      <c r="G658" s="2"/>
      <c r="H658" s="2"/>
      <c r="AA658" s="33" t="str">
        <f t="shared" si="31"/>
        <v/>
      </c>
      <c r="AC658" s="33">
        <f t="shared" si="30"/>
        <v>1048540</v>
      </c>
      <c r="AD658" s="33" t="str">
        <f t="shared" si="32"/>
        <v/>
      </c>
      <c r="AE658" s="33" t="str" cm="1">
        <f t="array" ref="AE658">LOOKUP(2,1/($AB$2:$AB$1000=AB658),$AD$2:$AD$1000)</f>
        <v/>
      </c>
      <c r="AM658" s="39" t="str" cm="1">
        <f t="array" ref="AM658">IFERROR(IF(LOOKUP(2,1/($AA$2:$AA$1000=AK658),$AD$2:$AD$1000)=0,"",
LOOKUP(2,1/($AA$2:$AA$1000=AK658),$AD$2:$AD$1000)),"")</f>
        <v/>
      </c>
      <c r="AO658" s="33" t="str" cm="1">
        <f t="array" ref="AO658">IFERROR(INDEX($AA$2:$AA$282,MATCH(0,COUNTIF('Paste Here'!$AK$1:AK657,$AA$2:$AA$282),0)),"")</f>
        <v/>
      </c>
      <c r="AP658" s="33" t="str">
        <f>IF(COUNTIF('Paste Here'!$AK$2:AK658,'Paste Here'!AK658)=1,VALUE('Paste Here'!AK658),"")</f>
        <v/>
      </c>
    </row>
    <row r="659" spans="1:42" x14ac:dyDescent="0.3">
      <c r="A659" s="2"/>
      <c r="B659" s="2"/>
      <c r="C659" s="2"/>
      <c r="D659" s="3"/>
      <c r="E659" s="2"/>
      <c r="F659" s="2"/>
      <c r="G659" s="2"/>
      <c r="H659" s="2"/>
      <c r="AA659" s="33" t="str">
        <f t="shared" si="31"/>
        <v/>
      </c>
      <c r="AC659" s="33">
        <f t="shared" si="30"/>
        <v>1048540</v>
      </c>
      <c r="AD659" s="33" t="str">
        <f t="shared" si="32"/>
        <v/>
      </c>
      <c r="AE659" s="33" t="str" cm="1">
        <f t="array" ref="AE659">LOOKUP(2,1/($AB$2:$AB$1000=AB659),$AD$2:$AD$1000)</f>
        <v/>
      </c>
      <c r="AM659" s="39" t="str" cm="1">
        <f t="array" ref="AM659">IFERROR(IF(LOOKUP(2,1/($AA$2:$AA$1000=AK659),$AD$2:$AD$1000)=0,"",
LOOKUP(2,1/($AA$2:$AA$1000=AK659),$AD$2:$AD$1000)),"")</f>
        <v/>
      </c>
      <c r="AO659" s="33" t="str" cm="1">
        <f t="array" ref="AO659">IFERROR(INDEX($AA$2:$AA$282,MATCH(0,COUNTIF('Paste Here'!$AK$1:AK658,$AA$2:$AA$282),0)),"")</f>
        <v/>
      </c>
      <c r="AP659" s="33" t="str">
        <f>IF(COUNTIF('Paste Here'!$AK$2:AK659,'Paste Here'!AK659)=1,VALUE('Paste Here'!AK659),"")</f>
        <v/>
      </c>
    </row>
    <row r="660" spans="1:42" x14ac:dyDescent="0.3">
      <c r="A660" s="2"/>
      <c r="B660" s="2"/>
      <c r="C660" s="2"/>
      <c r="D660" s="3"/>
      <c r="E660" s="2"/>
      <c r="F660" s="2"/>
      <c r="G660" s="2"/>
      <c r="H660" s="2"/>
      <c r="AA660" s="33" t="str">
        <f t="shared" si="31"/>
        <v/>
      </c>
      <c r="AC660" s="33">
        <f t="shared" si="30"/>
        <v>1048540</v>
      </c>
      <c r="AD660" s="33" t="str">
        <f t="shared" si="32"/>
        <v/>
      </c>
      <c r="AE660" s="33" t="str" cm="1">
        <f t="array" ref="AE660">LOOKUP(2,1/($AB$2:$AB$1000=AB660),$AD$2:$AD$1000)</f>
        <v/>
      </c>
      <c r="AM660" s="39" t="str" cm="1">
        <f t="array" ref="AM660">IFERROR(IF(LOOKUP(2,1/($AA$2:$AA$1000=AK660),$AD$2:$AD$1000)=0,"",
LOOKUP(2,1/($AA$2:$AA$1000=AK660),$AD$2:$AD$1000)),"")</f>
        <v/>
      </c>
      <c r="AO660" s="33" t="str" cm="1">
        <f t="array" ref="AO660">IFERROR(INDEX($AA$2:$AA$282,MATCH(0,COUNTIF('Paste Here'!$AK$1:AK659,$AA$2:$AA$282),0)),"")</f>
        <v/>
      </c>
      <c r="AP660" s="33" t="str">
        <f>IF(COUNTIF('Paste Here'!$AK$2:AK660,'Paste Here'!AK660)=1,VALUE('Paste Here'!AK660),"")</f>
        <v/>
      </c>
    </row>
    <row r="661" spans="1:42" x14ac:dyDescent="0.3">
      <c r="A661" s="2"/>
      <c r="B661" s="2"/>
      <c r="C661" s="2"/>
      <c r="D661" s="3"/>
      <c r="E661" s="2"/>
      <c r="F661" s="2"/>
      <c r="G661" s="2"/>
      <c r="H661" s="2"/>
      <c r="AA661" s="33" t="str">
        <f t="shared" si="31"/>
        <v/>
      </c>
      <c r="AC661" s="33">
        <f t="shared" si="30"/>
        <v>1048540</v>
      </c>
      <c r="AD661" s="33" t="str">
        <f t="shared" si="32"/>
        <v/>
      </c>
      <c r="AE661" s="33" t="str" cm="1">
        <f t="array" ref="AE661">LOOKUP(2,1/($AB$2:$AB$1000=AB661),$AD$2:$AD$1000)</f>
        <v/>
      </c>
      <c r="AM661" s="39" t="str" cm="1">
        <f t="array" ref="AM661">IFERROR(IF(LOOKUP(2,1/($AA$2:$AA$1000=AK661),$AD$2:$AD$1000)=0,"",
LOOKUP(2,1/($AA$2:$AA$1000=AK661),$AD$2:$AD$1000)),"")</f>
        <v/>
      </c>
      <c r="AO661" s="33" t="str" cm="1">
        <f t="array" ref="AO661">IFERROR(INDEX($AA$2:$AA$282,MATCH(0,COUNTIF('Paste Here'!$AK$1:AK660,$AA$2:$AA$282),0)),"")</f>
        <v/>
      </c>
      <c r="AP661" s="33" t="str">
        <f>IF(COUNTIF('Paste Here'!$AK$2:AK661,'Paste Here'!AK661)=1,VALUE('Paste Here'!AK661),"")</f>
        <v/>
      </c>
    </row>
    <row r="662" spans="1:42" x14ac:dyDescent="0.3">
      <c r="A662" s="2"/>
      <c r="B662" s="2"/>
      <c r="C662" s="2"/>
      <c r="D662" s="3"/>
      <c r="E662" s="2"/>
      <c r="F662" s="2"/>
      <c r="G662" s="2"/>
      <c r="H662" s="2"/>
      <c r="AA662" s="33" t="str">
        <f t="shared" si="31"/>
        <v/>
      </c>
      <c r="AC662" s="33">
        <f t="shared" si="30"/>
        <v>1048540</v>
      </c>
      <c r="AD662" s="33" t="str">
        <f t="shared" si="32"/>
        <v/>
      </c>
      <c r="AE662" s="33" t="str" cm="1">
        <f t="array" ref="AE662">LOOKUP(2,1/($AB$2:$AB$1000=AB662),$AD$2:$AD$1000)</f>
        <v/>
      </c>
      <c r="AM662" s="39" t="str" cm="1">
        <f t="array" ref="AM662">IFERROR(IF(LOOKUP(2,1/($AA$2:$AA$1000=AK662),$AD$2:$AD$1000)=0,"",
LOOKUP(2,1/($AA$2:$AA$1000=AK662),$AD$2:$AD$1000)),"")</f>
        <v/>
      </c>
      <c r="AO662" s="33" t="str" cm="1">
        <f t="array" ref="AO662">IFERROR(INDEX($AA$2:$AA$282,MATCH(0,COUNTIF('Paste Here'!$AK$1:AK661,$AA$2:$AA$282),0)),"")</f>
        <v/>
      </c>
      <c r="AP662" s="33" t="str">
        <f>IF(COUNTIF('Paste Here'!$AK$2:AK662,'Paste Here'!AK662)=1,VALUE('Paste Here'!AK662),"")</f>
        <v/>
      </c>
    </row>
    <row r="663" spans="1:42" x14ac:dyDescent="0.3">
      <c r="A663" s="2"/>
      <c r="B663" s="2"/>
      <c r="C663" s="2"/>
      <c r="D663" s="3"/>
      <c r="E663" s="2"/>
      <c r="F663" s="2"/>
      <c r="G663" s="2"/>
      <c r="H663" s="2"/>
      <c r="AA663" s="33" t="str">
        <f t="shared" si="31"/>
        <v/>
      </c>
      <c r="AC663" s="33">
        <f t="shared" si="30"/>
        <v>1048540</v>
      </c>
      <c r="AD663" s="33" t="str">
        <f t="shared" si="32"/>
        <v/>
      </c>
      <c r="AE663" s="33" t="str" cm="1">
        <f t="array" ref="AE663">LOOKUP(2,1/($AB$2:$AB$1000=AB663),$AD$2:$AD$1000)</f>
        <v/>
      </c>
      <c r="AM663" s="39" t="str" cm="1">
        <f t="array" ref="AM663">IFERROR(IF(LOOKUP(2,1/($AA$2:$AA$1000=AK663),$AD$2:$AD$1000)=0,"",
LOOKUP(2,1/($AA$2:$AA$1000=AK663),$AD$2:$AD$1000)),"")</f>
        <v/>
      </c>
      <c r="AO663" s="33" t="str" cm="1">
        <f t="array" ref="AO663">IFERROR(INDEX($AA$2:$AA$282,MATCH(0,COUNTIF('Paste Here'!$AK$1:AK662,$AA$2:$AA$282),0)),"")</f>
        <v/>
      </c>
      <c r="AP663" s="33" t="str">
        <f>IF(COUNTIF('Paste Here'!$AK$2:AK663,'Paste Here'!AK663)=1,VALUE('Paste Here'!AK663),"")</f>
        <v/>
      </c>
    </row>
    <row r="664" spans="1:42" x14ac:dyDescent="0.3">
      <c r="A664" s="2"/>
      <c r="B664" s="2"/>
      <c r="C664" s="2"/>
      <c r="D664" s="3"/>
      <c r="E664" s="2"/>
      <c r="F664" s="2"/>
      <c r="G664" s="2"/>
      <c r="H664" s="2"/>
      <c r="AA664" s="33" t="str">
        <f t="shared" si="31"/>
        <v/>
      </c>
      <c r="AC664" s="33">
        <f t="shared" si="30"/>
        <v>1048540</v>
      </c>
      <c r="AD664" s="33" t="str">
        <f t="shared" si="32"/>
        <v/>
      </c>
      <c r="AE664" s="33" t="str" cm="1">
        <f t="array" ref="AE664">LOOKUP(2,1/($AB$2:$AB$1000=AB664),$AD$2:$AD$1000)</f>
        <v/>
      </c>
      <c r="AM664" s="39" t="str" cm="1">
        <f t="array" ref="AM664">IFERROR(IF(LOOKUP(2,1/($AA$2:$AA$1000=AK664),$AD$2:$AD$1000)=0,"",
LOOKUP(2,1/($AA$2:$AA$1000=AK664),$AD$2:$AD$1000)),"")</f>
        <v/>
      </c>
      <c r="AO664" s="33" t="str" cm="1">
        <f t="array" ref="AO664">IFERROR(INDEX($AA$2:$AA$282,MATCH(0,COUNTIF('Paste Here'!$AK$1:AK663,$AA$2:$AA$282),0)),"")</f>
        <v/>
      </c>
      <c r="AP664" s="33" t="str">
        <f>IF(COUNTIF('Paste Here'!$AK$2:AK664,'Paste Here'!AK664)=1,VALUE('Paste Here'!AK664),"")</f>
        <v/>
      </c>
    </row>
    <row r="665" spans="1:42" x14ac:dyDescent="0.3">
      <c r="A665" s="2"/>
      <c r="B665" s="2"/>
      <c r="C665" s="2"/>
      <c r="D665" s="3"/>
      <c r="E665" s="2"/>
      <c r="F665" s="2"/>
      <c r="G665" s="2"/>
      <c r="H665" s="2"/>
      <c r="AA665" s="33" t="str">
        <f t="shared" si="31"/>
        <v/>
      </c>
      <c r="AC665" s="33">
        <f t="shared" si="30"/>
        <v>1048540</v>
      </c>
      <c r="AD665" s="33" t="str">
        <f t="shared" si="32"/>
        <v/>
      </c>
      <c r="AE665" s="33" t="str" cm="1">
        <f t="array" ref="AE665">LOOKUP(2,1/($AB$2:$AB$1000=AB665),$AD$2:$AD$1000)</f>
        <v/>
      </c>
      <c r="AM665" s="39" t="str" cm="1">
        <f t="array" ref="AM665">IFERROR(IF(LOOKUP(2,1/($AA$2:$AA$1000=AK665),$AD$2:$AD$1000)=0,"",
LOOKUP(2,1/($AA$2:$AA$1000=AK665),$AD$2:$AD$1000)),"")</f>
        <v/>
      </c>
      <c r="AO665" s="33" t="str" cm="1">
        <f t="array" ref="AO665">IFERROR(INDEX($AA$2:$AA$282,MATCH(0,COUNTIF('Paste Here'!$AK$1:AK664,$AA$2:$AA$282),0)),"")</f>
        <v/>
      </c>
      <c r="AP665" s="33" t="str">
        <f>IF(COUNTIF('Paste Here'!$AK$2:AK665,'Paste Here'!AK665)=1,VALUE('Paste Here'!AK665),"")</f>
        <v/>
      </c>
    </row>
    <row r="666" spans="1:42" x14ac:dyDescent="0.3">
      <c r="A666" s="2"/>
      <c r="B666" s="2"/>
      <c r="C666" s="2"/>
      <c r="D666" s="3"/>
      <c r="E666" s="2"/>
      <c r="F666" s="2"/>
      <c r="G666" s="2"/>
      <c r="H666" s="2"/>
      <c r="AA666" s="33" t="str">
        <f t="shared" si="31"/>
        <v/>
      </c>
      <c r="AC666" s="33">
        <f t="shared" si="30"/>
        <v>1048540</v>
      </c>
      <c r="AD666" s="33" t="str">
        <f t="shared" si="32"/>
        <v/>
      </c>
      <c r="AE666" s="33" t="str" cm="1">
        <f t="array" ref="AE666">LOOKUP(2,1/($AB$2:$AB$1000=AB666),$AD$2:$AD$1000)</f>
        <v/>
      </c>
      <c r="AO666" s="33" t="str" cm="1">
        <f t="array" ref="AO666">IFERROR(INDEX($AA$2:$AA$282,MATCH(0,COUNTIF('Paste Here'!$AK$1:AK665,$AA$2:$AA$282),0)),"")</f>
        <v/>
      </c>
      <c r="AP666" s="33" t="str">
        <f>IF(COUNTIF('Paste Here'!$AK$2:AK666,'Paste Here'!AK666)=1,VALUE('Paste Here'!AK666),"")</f>
        <v/>
      </c>
    </row>
    <row r="667" spans="1:42" x14ac:dyDescent="0.3">
      <c r="A667" s="2"/>
      <c r="B667" s="2"/>
      <c r="C667" s="2"/>
      <c r="D667" s="3"/>
      <c r="E667" s="2"/>
      <c r="F667" s="2"/>
      <c r="G667" s="2"/>
      <c r="H667" s="2"/>
      <c r="AA667" s="33" t="str">
        <f t="shared" si="31"/>
        <v/>
      </c>
      <c r="AC667" s="33">
        <f t="shared" si="30"/>
        <v>1048540</v>
      </c>
      <c r="AD667" s="33" t="str">
        <f t="shared" si="32"/>
        <v/>
      </c>
      <c r="AE667" s="33" t="str" cm="1">
        <f t="array" ref="AE667">LOOKUP(2,1/($AB$2:$AB$1000=AB667),$AD$2:$AD$1000)</f>
        <v/>
      </c>
      <c r="AO667" s="33" t="str" cm="1">
        <f t="array" ref="AO667">IFERROR(INDEX($AA$2:$AA$282,MATCH(0,COUNTIF('Paste Here'!$AK$1:AK666,$AA$2:$AA$282),0)),"")</f>
        <v/>
      </c>
      <c r="AP667" s="33" t="str">
        <f>IF(COUNTIF('Paste Here'!$AK$2:AK667,'Paste Here'!AK667)=1,VALUE('Paste Here'!AK667),"")</f>
        <v/>
      </c>
    </row>
    <row r="668" spans="1:42" x14ac:dyDescent="0.3">
      <c r="A668" s="2"/>
      <c r="B668" s="2"/>
      <c r="C668" s="2"/>
      <c r="D668" s="3"/>
      <c r="E668" s="2"/>
      <c r="F668" s="2"/>
      <c r="G668" s="2"/>
      <c r="H668" s="2"/>
      <c r="AA668" s="33" t="str">
        <f t="shared" si="31"/>
        <v/>
      </c>
      <c r="AC668" s="33">
        <f t="shared" si="30"/>
        <v>1048540</v>
      </c>
      <c r="AD668" s="33" t="str">
        <f t="shared" si="32"/>
        <v/>
      </c>
      <c r="AE668" s="33" t="str" cm="1">
        <f t="array" ref="AE668">LOOKUP(2,1/($AB$2:$AB$1000=AB668),$AD$2:$AD$1000)</f>
        <v/>
      </c>
      <c r="AO668" s="33" t="str" cm="1">
        <f t="array" ref="AO668">IFERROR(INDEX($AA$2:$AA$282,MATCH(0,COUNTIF('Paste Here'!$AK$1:AK667,$AA$2:$AA$282),0)),"")</f>
        <v/>
      </c>
      <c r="AP668" s="33" t="str">
        <f>IF(COUNTIF('Paste Here'!$AK$2:AK668,'Paste Here'!AK668)=1,VALUE('Paste Here'!AK668),"")</f>
        <v/>
      </c>
    </row>
    <row r="669" spans="1:42" x14ac:dyDescent="0.3">
      <c r="A669" s="2"/>
      <c r="B669" s="2"/>
      <c r="C669" s="2"/>
      <c r="D669" s="3"/>
      <c r="E669" s="2"/>
      <c r="F669" s="2"/>
      <c r="G669" s="2"/>
      <c r="H669" s="2"/>
      <c r="AA669" s="33" t="str">
        <f t="shared" si="31"/>
        <v/>
      </c>
      <c r="AC669" s="33">
        <f t="shared" si="30"/>
        <v>1048540</v>
      </c>
      <c r="AD669" s="33" t="str">
        <f t="shared" si="32"/>
        <v/>
      </c>
      <c r="AE669" s="33" t="str" cm="1">
        <f t="array" ref="AE669">LOOKUP(2,1/($AB$2:$AB$1000=AB669),$AD$2:$AD$1000)</f>
        <v/>
      </c>
      <c r="AO669" s="33" t="str" cm="1">
        <f t="array" ref="AO669">IFERROR(INDEX($AA$2:$AA$282,MATCH(0,COUNTIF('Paste Here'!$AK$1:AK668,$AA$2:$AA$282),0)),"")</f>
        <v/>
      </c>
      <c r="AP669" s="33" t="str">
        <f>IF(COUNTIF('Paste Here'!$AK$2:AK669,'Paste Here'!AK669)=1,VALUE('Paste Here'!AK669),"")</f>
        <v/>
      </c>
    </row>
    <row r="670" spans="1:42" x14ac:dyDescent="0.3">
      <c r="A670" s="2"/>
      <c r="B670" s="2"/>
      <c r="C670" s="2"/>
      <c r="D670" s="3"/>
      <c r="E670" s="2"/>
      <c r="F670" s="2"/>
      <c r="G670" s="2"/>
      <c r="H670" s="2"/>
      <c r="AA670" s="33" t="str">
        <f t="shared" si="31"/>
        <v/>
      </c>
      <c r="AC670" s="33">
        <f t="shared" si="30"/>
        <v>1048540</v>
      </c>
      <c r="AD670" s="33" t="str">
        <f t="shared" si="32"/>
        <v/>
      </c>
      <c r="AE670" s="33" t="str" cm="1">
        <f t="array" ref="AE670">LOOKUP(2,1/($AB$2:$AB$1000=AB670),$AD$2:$AD$1000)</f>
        <v/>
      </c>
      <c r="AO670" s="33" t="str" cm="1">
        <f t="array" ref="AO670">IFERROR(INDEX($AA$2:$AA$282,MATCH(0,COUNTIF('Paste Here'!$AK$1:AK669,$AA$2:$AA$282),0)),"")</f>
        <v/>
      </c>
      <c r="AP670" s="33" t="str">
        <f>IF(COUNTIF('Paste Here'!$AK$2:AK670,'Paste Here'!AK670)=1,VALUE('Paste Here'!AK670),"")</f>
        <v/>
      </c>
    </row>
    <row r="671" spans="1:42" x14ac:dyDescent="0.3">
      <c r="A671" s="2"/>
      <c r="B671" s="2"/>
      <c r="C671" s="2"/>
      <c r="D671" s="3"/>
      <c r="E671" s="2"/>
      <c r="F671" s="2"/>
      <c r="G671" s="2"/>
      <c r="H671" s="2"/>
      <c r="AA671" s="33" t="str">
        <f t="shared" si="31"/>
        <v/>
      </c>
      <c r="AC671" s="33">
        <f t="shared" si="30"/>
        <v>1048540</v>
      </c>
      <c r="AD671" s="33" t="str">
        <f t="shared" si="32"/>
        <v/>
      </c>
      <c r="AE671" s="33" t="str" cm="1">
        <f t="array" ref="AE671">LOOKUP(2,1/($AB$2:$AB$1000=AB671),$AD$2:$AD$1000)</f>
        <v/>
      </c>
      <c r="AO671" s="33" t="str" cm="1">
        <f t="array" ref="AO671">IFERROR(INDEX($AA$2:$AA$282,MATCH(0,COUNTIF('Paste Here'!$AK$1:AK670,$AA$2:$AA$282),0)),"")</f>
        <v/>
      </c>
      <c r="AP671" s="33" t="str">
        <f>IF(COUNTIF('Paste Here'!$AK$2:AK671,'Paste Here'!AK671)=1,VALUE('Paste Here'!AK671),"")</f>
        <v/>
      </c>
    </row>
    <row r="672" spans="1:42" x14ac:dyDescent="0.3">
      <c r="A672" s="2"/>
      <c r="B672" s="2"/>
      <c r="C672" s="2"/>
      <c r="D672" s="3"/>
      <c r="E672" s="2"/>
      <c r="F672" s="2"/>
      <c r="G672" s="2"/>
      <c r="H672" s="2"/>
      <c r="AA672" s="33" t="str">
        <f t="shared" si="31"/>
        <v/>
      </c>
      <c r="AC672" s="33">
        <f t="shared" si="30"/>
        <v>1048540</v>
      </c>
      <c r="AD672" s="33" t="str">
        <f t="shared" si="32"/>
        <v/>
      </c>
      <c r="AE672" s="33" t="str" cm="1">
        <f t="array" ref="AE672">LOOKUP(2,1/($AB$2:$AB$1000=AB672),$AD$2:$AD$1000)</f>
        <v/>
      </c>
      <c r="AO672" s="33" t="str" cm="1">
        <f t="array" ref="AO672">IFERROR(INDEX($AA$2:$AA$282,MATCH(0,COUNTIF('Paste Here'!$AK$1:AK671,$AA$2:$AA$282),0)),"")</f>
        <v/>
      </c>
      <c r="AP672" s="33" t="str">
        <f>IF(COUNTIF('Paste Here'!$AK$2:AK672,'Paste Here'!AK672)=1,VALUE('Paste Here'!AK672),"")</f>
        <v/>
      </c>
    </row>
    <row r="673" spans="1:42" x14ac:dyDescent="0.3">
      <c r="A673" s="2"/>
      <c r="B673" s="2"/>
      <c r="C673" s="2"/>
      <c r="D673" s="3"/>
      <c r="E673" s="2"/>
      <c r="F673" s="2"/>
      <c r="G673" s="2"/>
      <c r="H673" s="2"/>
      <c r="AA673" s="33" t="str">
        <f t="shared" si="31"/>
        <v/>
      </c>
      <c r="AC673" s="33">
        <f t="shared" si="30"/>
        <v>1048540</v>
      </c>
      <c r="AD673" s="33" t="str">
        <f t="shared" si="32"/>
        <v/>
      </c>
      <c r="AE673" s="33" t="str" cm="1">
        <f t="array" ref="AE673">LOOKUP(2,1/($AB$2:$AB$1000=AB673),$AD$2:$AD$1000)</f>
        <v/>
      </c>
      <c r="AO673" s="33" t="str" cm="1">
        <f t="array" ref="AO673">IFERROR(INDEX($AA$2:$AA$282,MATCH(0,COUNTIF('Paste Here'!$AK$1:AK672,$AA$2:$AA$282),0)),"")</f>
        <v/>
      </c>
      <c r="AP673" s="33" t="str">
        <f>IF(COUNTIF('Paste Here'!$AK$2:AK673,'Paste Here'!AK673)=1,VALUE('Paste Here'!AK673),"")</f>
        <v/>
      </c>
    </row>
    <row r="674" spans="1:42" x14ac:dyDescent="0.3">
      <c r="A674" s="2"/>
      <c r="B674" s="2"/>
      <c r="C674" s="2"/>
      <c r="D674" s="3"/>
      <c r="E674" s="2"/>
      <c r="F674" s="2"/>
      <c r="G674" s="2"/>
      <c r="H674" s="2"/>
      <c r="AA674" s="33" t="str">
        <f t="shared" si="31"/>
        <v/>
      </c>
      <c r="AC674" s="33">
        <f t="shared" si="30"/>
        <v>1048540</v>
      </c>
      <c r="AD674" s="33" t="str">
        <f t="shared" si="32"/>
        <v/>
      </c>
      <c r="AE674" s="33" t="str" cm="1">
        <f t="array" ref="AE674">LOOKUP(2,1/($AB$2:$AB$1000=AB674),$AD$2:$AD$1000)</f>
        <v/>
      </c>
      <c r="AO674" s="33" t="str" cm="1">
        <f t="array" ref="AO674">IFERROR(INDEX($AA$2:$AA$282,MATCH(0,COUNTIF('Paste Here'!$AK$1:AK673,$AA$2:$AA$282),0)),"")</f>
        <v/>
      </c>
      <c r="AP674" s="33" t="str">
        <f>IF(COUNTIF('Paste Here'!$AK$2:AK674,'Paste Here'!AK674)=1,VALUE('Paste Here'!AK674),"")</f>
        <v/>
      </c>
    </row>
    <row r="675" spans="1:42" x14ac:dyDescent="0.3">
      <c r="A675" s="2"/>
      <c r="B675" s="2"/>
      <c r="C675" s="2"/>
      <c r="D675" s="3"/>
      <c r="E675" s="2"/>
      <c r="F675" s="2"/>
      <c r="G675" s="2"/>
      <c r="H675" s="2"/>
      <c r="AA675" s="33" t="str">
        <f t="shared" si="31"/>
        <v/>
      </c>
      <c r="AC675" s="33">
        <f t="shared" si="30"/>
        <v>1048540</v>
      </c>
      <c r="AD675" s="33" t="str">
        <f t="shared" si="32"/>
        <v/>
      </c>
      <c r="AE675" s="33" t="str" cm="1">
        <f t="array" ref="AE675">LOOKUP(2,1/($AB$2:$AB$1000=AB675),$AD$2:$AD$1000)</f>
        <v/>
      </c>
      <c r="AO675" s="33" t="str" cm="1">
        <f t="array" ref="AO675">IFERROR(INDEX($AA$2:$AA$282,MATCH(0,COUNTIF('Paste Here'!$AK$1:AK674,$AA$2:$AA$282),0)),"")</f>
        <v/>
      </c>
      <c r="AP675" s="33" t="str">
        <f>IF(COUNTIF('Paste Here'!$AK$2:AK675,'Paste Here'!AK675)=1,VALUE('Paste Here'!AK675),"")</f>
        <v/>
      </c>
    </row>
    <row r="676" spans="1:42" x14ac:dyDescent="0.3">
      <c r="A676" s="2"/>
      <c r="B676" s="2"/>
      <c r="C676" s="2"/>
      <c r="D676" s="3"/>
      <c r="E676" s="2"/>
      <c r="F676" s="2"/>
      <c r="G676" s="2"/>
      <c r="H676" s="2"/>
      <c r="AA676" s="33" t="str">
        <f t="shared" si="31"/>
        <v/>
      </c>
      <c r="AC676" s="33">
        <f t="shared" si="30"/>
        <v>1048540</v>
      </c>
      <c r="AD676" s="33" t="str">
        <f t="shared" si="32"/>
        <v/>
      </c>
      <c r="AE676" s="33" t="str" cm="1">
        <f t="array" ref="AE676">LOOKUP(2,1/($AB$2:$AB$1000=AB676),$AD$2:$AD$1000)</f>
        <v/>
      </c>
      <c r="AO676" s="33" t="str" cm="1">
        <f t="array" ref="AO676">IFERROR(INDEX($AA$2:$AA$282,MATCH(0,COUNTIF('Paste Here'!$AK$1:AK675,$AA$2:$AA$282),0)),"")</f>
        <v/>
      </c>
      <c r="AP676" s="33" t="str">
        <f>IF(COUNTIF('Paste Here'!$AK$2:AK676,'Paste Here'!AK676)=1,VALUE('Paste Here'!AK676),"")</f>
        <v/>
      </c>
    </row>
    <row r="677" spans="1:42" x14ac:dyDescent="0.3">
      <c r="A677" s="2"/>
      <c r="B677" s="2"/>
      <c r="C677" s="2"/>
      <c r="D677" s="3"/>
      <c r="E677" s="2"/>
      <c r="F677" s="2"/>
      <c r="G677" s="2"/>
      <c r="H677" s="2"/>
      <c r="AA677" s="33" t="str">
        <f t="shared" si="31"/>
        <v/>
      </c>
      <c r="AC677" s="33">
        <f t="shared" si="30"/>
        <v>1048540</v>
      </c>
      <c r="AD677" s="33" t="str">
        <f t="shared" si="32"/>
        <v/>
      </c>
      <c r="AE677" s="33" t="str" cm="1">
        <f t="array" ref="AE677">LOOKUP(2,1/($AB$2:$AB$1000=AB677),$AD$2:$AD$1000)</f>
        <v/>
      </c>
      <c r="AO677" s="33" t="str" cm="1">
        <f t="array" ref="AO677">IFERROR(INDEX($AA$2:$AA$282,MATCH(0,COUNTIF('Paste Here'!$AK$1:AK676,$AA$2:$AA$282),0)),"")</f>
        <v/>
      </c>
      <c r="AP677" s="33" t="str">
        <f>IF(COUNTIF('Paste Here'!$AK$2:AK677,'Paste Here'!AK677)=1,VALUE('Paste Here'!AK677),"")</f>
        <v/>
      </c>
    </row>
    <row r="678" spans="1:42" x14ac:dyDescent="0.3">
      <c r="A678" s="2"/>
      <c r="B678" s="2"/>
      <c r="C678" s="2"/>
      <c r="D678" s="3"/>
      <c r="E678" s="2"/>
      <c r="F678" s="2"/>
      <c r="G678" s="2"/>
      <c r="H678" s="2"/>
      <c r="AA678" s="33" t="str">
        <f t="shared" si="31"/>
        <v/>
      </c>
      <c r="AC678" s="33">
        <f t="shared" si="30"/>
        <v>1048540</v>
      </c>
      <c r="AD678" s="33" t="str">
        <f t="shared" si="32"/>
        <v/>
      </c>
      <c r="AE678" s="33" t="str" cm="1">
        <f t="array" ref="AE678">LOOKUP(2,1/($AB$2:$AB$1000=AB678),$AD$2:$AD$1000)</f>
        <v/>
      </c>
      <c r="AO678" s="33" t="str" cm="1">
        <f t="array" ref="AO678">IFERROR(INDEX($AA$2:$AA$282,MATCH(0,COUNTIF('Paste Here'!$AK$1:AK677,$AA$2:$AA$282),0)),"")</f>
        <v/>
      </c>
      <c r="AP678" s="33" t="str">
        <f>IF(COUNTIF('Paste Here'!$AK$2:AK678,'Paste Here'!AK678)=1,VALUE('Paste Here'!AK678),"")</f>
        <v/>
      </c>
    </row>
    <row r="679" spans="1:42" x14ac:dyDescent="0.3">
      <c r="A679" s="2"/>
      <c r="B679" s="2"/>
      <c r="C679" s="2"/>
      <c r="D679" s="3"/>
      <c r="E679" s="2"/>
      <c r="F679" s="2"/>
      <c r="G679" s="2"/>
      <c r="H679" s="2"/>
      <c r="AA679" s="33" t="str">
        <f t="shared" si="31"/>
        <v/>
      </c>
      <c r="AC679" s="33">
        <f t="shared" si="30"/>
        <v>1048540</v>
      </c>
      <c r="AD679" s="33" t="str">
        <f t="shared" si="32"/>
        <v/>
      </c>
      <c r="AE679" s="33" t="str" cm="1">
        <f t="array" ref="AE679">LOOKUP(2,1/($AB$2:$AB$1000=AB679),$AD$2:$AD$1000)</f>
        <v/>
      </c>
      <c r="AO679" s="33" t="str" cm="1">
        <f t="array" ref="AO679">IFERROR(INDEX($AA$2:$AA$282,MATCH(0,COUNTIF('Paste Here'!$AK$1:AK678,$AA$2:$AA$282),0)),"")</f>
        <v/>
      </c>
      <c r="AP679" s="33" t="str">
        <f>IF(COUNTIF('Paste Here'!$AK$2:AK679,'Paste Here'!AK679)=1,VALUE('Paste Here'!AK679),"")</f>
        <v/>
      </c>
    </row>
    <row r="680" spans="1:42" x14ac:dyDescent="0.3">
      <c r="A680" s="2"/>
      <c r="B680" s="2"/>
      <c r="C680" s="2"/>
      <c r="D680" s="3"/>
      <c r="E680" s="2"/>
      <c r="F680" s="2"/>
      <c r="G680" s="2"/>
      <c r="H680" s="2"/>
      <c r="AA680" s="33" t="str">
        <f t="shared" si="31"/>
        <v/>
      </c>
      <c r="AC680" s="33">
        <f t="shared" si="30"/>
        <v>1048540</v>
      </c>
      <c r="AD680" s="33" t="str">
        <f t="shared" si="32"/>
        <v/>
      </c>
      <c r="AE680" s="33" t="str" cm="1">
        <f t="array" ref="AE680">LOOKUP(2,1/($AB$2:$AB$1000=AB680),$AD$2:$AD$1000)</f>
        <v/>
      </c>
      <c r="AO680" s="33" t="str" cm="1">
        <f t="array" ref="AO680">IFERROR(INDEX($AA$2:$AA$282,MATCH(0,COUNTIF('Paste Here'!$AK$1:AK679,$AA$2:$AA$282),0)),"")</f>
        <v/>
      </c>
      <c r="AP680" s="33" t="str">
        <f>IF(COUNTIF('Paste Here'!$AK$2:AK680,'Paste Here'!AK680)=1,VALUE('Paste Here'!AK680),"")</f>
        <v/>
      </c>
    </row>
    <row r="681" spans="1:42" x14ac:dyDescent="0.3">
      <c r="A681"/>
      <c r="B681"/>
      <c r="C681"/>
      <c r="D681" s="4"/>
      <c r="E681"/>
      <c r="F681"/>
      <c r="G681"/>
      <c r="H681"/>
      <c r="AA681" s="33" t="str">
        <f t="shared" si="31"/>
        <v/>
      </c>
      <c r="AC681" s="33">
        <f t="shared" si="30"/>
        <v>1048540</v>
      </c>
      <c r="AD681" s="33" t="str">
        <f t="shared" si="32"/>
        <v/>
      </c>
      <c r="AE681" s="33" t="str" cm="1">
        <f t="array" ref="AE681">LOOKUP(2,1/($AB$2:$AB$1000=AB681),$AD$2:$AD$1000)</f>
        <v/>
      </c>
      <c r="AO681" s="33" t="str" cm="1">
        <f t="array" ref="AO681">IFERROR(INDEX($AA$2:$AA$282,MATCH(0,COUNTIF('Paste Here'!$AK$1:AK680,$AA$2:$AA$282),0)),"")</f>
        <v/>
      </c>
      <c r="AP681" s="33" t="str">
        <f>IF(COUNTIF('Paste Here'!$AK$2:AK681,'Paste Here'!AK681)=1,VALUE('Paste Here'!AK681),"")</f>
        <v/>
      </c>
    </row>
    <row r="682" spans="1:42" x14ac:dyDescent="0.3">
      <c r="A682"/>
      <c r="B682"/>
      <c r="C682"/>
      <c r="D682" s="4"/>
      <c r="E682"/>
      <c r="F682"/>
      <c r="G682"/>
      <c r="H682"/>
      <c r="AA682" s="33" t="str">
        <f t="shared" si="31"/>
        <v/>
      </c>
      <c r="AC682" s="33">
        <f t="shared" si="30"/>
        <v>1048540</v>
      </c>
      <c r="AD682" s="33" t="str">
        <f t="shared" si="32"/>
        <v/>
      </c>
      <c r="AE682" s="33" t="str" cm="1">
        <f t="array" ref="AE682">LOOKUP(2,1/($AB$2:$AB$1000=AB682),$AD$2:$AD$1000)</f>
        <v/>
      </c>
      <c r="AO682" s="33" t="str" cm="1">
        <f t="array" ref="AO682">IFERROR(INDEX($AA$2:$AA$282,MATCH(0,COUNTIF('Paste Here'!$AK$1:AK681,$AA$2:$AA$282),0)),"")</f>
        <v/>
      </c>
      <c r="AP682" s="33" t="str">
        <f>IF(COUNTIF('Paste Here'!$AK$2:AK682,'Paste Here'!AK682)=1,VALUE('Paste Here'!AK682),"")</f>
        <v/>
      </c>
    </row>
    <row r="683" spans="1:42" x14ac:dyDescent="0.3">
      <c r="A683"/>
      <c r="B683"/>
      <c r="C683"/>
      <c r="D683" s="4"/>
      <c r="E683"/>
      <c r="F683"/>
      <c r="G683"/>
      <c r="H683"/>
      <c r="AA683" s="33" t="str">
        <f t="shared" si="31"/>
        <v/>
      </c>
      <c r="AC683" s="33">
        <f t="shared" si="30"/>
        <v>1048540</v>
      </c>
      <c r="AD683" s="33" t="str">
        <f t="shared" si="32"/>
        <v/>
      </c>
      <c r="AE683" s="33" t="str" cm="1">
        <f t="array" ref="AE683">LOOKUP(2,1/($AB$2:$AB$1000=AB683),$AD$2:$AD$1000)</f>
        <v/>
      </c>
      <c r="AO683" s="33" t="str" cm="1">
        <f t="array" ref="AO683">IFERROR(INDEX($AA$2:$AA$282,MATCH(0,COUNTIF('Paste Here'!$AK$1:AK682,$AA$2:$AA$282),0)),"")</f>
        <v/>
      </c>
      <c r="AP683" s="33" t="str">
        <f>IF(COUNTIF('Paste Here'!$AK$2:AK683,'Paste Here'!AK683)=1,VALUE('Paste Here'!AK683),"")</f>
        <v/>
      </c>
    </row>
    <row r="684" spans="1:42" x14ac:dyDescent="0.3">
      <c r="A684" s="2"/>
      <c r="B684" s="2"/>
      <c r="C684" s="2"/>
      <c r="D684" s="3"/>
      <c r="E684" s="2"/>
      <c r="F684" s="2"/>
      <c r="G684" s="2"/>
      <c r="H684" s="2"/>
      <c r="AA684" s="33" t="str">
        <f t="shared" si="31"/>
        <v/>
      </c>
      <c r="AC684" s="33">
        <f t="shared" si="30"/>
        <v>1048540</v>
      </c>
      <c r="AD684" s="33" t="str">
        <f t="shared" si="32"/>
        <v/>
      </c>
      <c r="AE684" s="33" t="str" cm="1">
        <f t="array" ref="AE684">LOOKUP(2,1/($AB$2:$AB$1000=AB684),$AD$2:$AD$1000)</f>
        <v/>
      </c>
      <c r="AO684" s="33" t="str" cm="1">
        <f t="array" ref="AO684">IFERROR(INDEX($AA$2:$AA$282,MATCH(0,COUNTIF('Paste Here'!$AK$1:AK683,$AA$2:$AA$282),0)),"")</f>
        <v/>
      </c>
      <c r="AP684" s="33" t="str">
        <f>IF(COUNTIF('Paste Here'!$AK$2:AK684,'Paste Here'!AK684)=1,VALUE('Paste Here'!AK684),"")</f>
        <v/>
      </c>
    </row>
    <row r="685" spans="1:42" x14ac:dyDescent="0.3">
      <c r="A685" s="2"/>
      <c r="B685" s="2"/>
      <c r="C685" s="2"/>
      <c r="D685" s="3"/>
      <c r="E685" s="2"/>
      <c r="F685" s="2"/>
      <c r="G685" s="2"/>
      <c r="H685" s="2"/>
      <c r="AA685" s="33" t="str">
        <f t="shared" si="31"/>
        <v/>
      </c>
      <c r="AC685" s="33">
        <f t="shared" si="30"/>
        <v>1048540</v>
      </c>
      <c r="AD685" s="33" t="str">
        <f t="shared" si="32"/>
        <v/>
      </c>
      <c r="AE685" s="33" t="str" cm="1">
        <f t="array" ref="AE685">LOOKUP(2,1/($AB$2:$AB$1000=AB685),$AD$2:$AD$1000)</f>
        <v/>
      </c>
      <c r="AO685" s="33" t="str" cm="1">
        <f t="array" ref="AO685">IFERROR(INDEX($AA$2:$AA$282,MATCH(0,COUNTIF('Paste Here'!$AK$1:AK684,$AA$2:$AA$282),0)),"")</f>
        <v/>
      </c>
      <c r="AP685" s="33" t="str">
        <f>IF(COUNTIF('Paste Here'!$AK$2:AK685,'Paste Here'!AK685)=1,VALUE('Paste Here'!AK685),"")</f>
        <v/>
      </c>
    </row>
    <row r="686" spans="1:42" x14ac:dyDescent="0.3">
      <c r="A686" s="2"/>
      <c r="B686" s="2"/>
      <c r="C686" s="2"/>
      <c r="D686" s="3"/>
      <c r="E686" s="2"/>
      <c r="F686" s="2"/>
      <c r="G686" s="2"/>
      <c r="H686" s="2"/>
      <c r="AA686" s="33" t="str">
        <f t="shared" si="31"/>
        <v/>
      </c>
      <c r="AC686" s="33">
        <f t="shared" si="30"/>
        <v>1048540</v>
      </c>
      <c r="AD686" s="33" t="str">
        <f t="shared" si="32"/>
        <v/>
      </c>
      <c r="AE686" s="33" t="str" cm="1">
        <f t="array" ref="AE686">LOOKUP(2,1/($AB$2:$AB$1000=AB686),$AD$2:$AD$1000)</f>
        <v/>
      </c>
      <c r="AO686" s="33" t="str" cm="1">
        <f t="array" ref="AO686">IFERROR(INDEX($AA$2:$AA$282,MATCH(0,COUNTIF('Paste Here'!$AK$1:AK685,$AA$2:$AA$282),0)),"")</f>
        <v/>
      </c>
      <c r="AP686" s="33" t="str">
        <f>IF(COUNTIF('Paste Here'!$AK$2:AK686,'Paste Here'!AK686)=1,VALUE('Paste Here'!AK686),"")</f>
        <v/>
      </c>
    </row>
    <row r="687" spans="1:42" x14ac:dyDescent="0.3">
      <c r="A687"/>
      <c r="B687"/>
      <c r="C687"/>
      <c r="D687" s="4"/>
      <c r="E687"/>
      <c r="F687"/>
      <c r="G687"/>
      <c r="H687"/>
      <c r="AA687" s="33" t="str">
        <f t="shared" si="31"/>
        <v/>
      </c>
      <c r="AC687" s="33">
        <f t="shared" si="30"/>
        <v>1048540</v>
      </c>
      <c r="AD687" s="33" t="str">
        <f t="shared" si="32"/>
        <v/>
      </c>
      <c r="AE687" s="33" t="str" cm="1">
        <f t="array" ref="AE687">LOOKUP(2,1/($AB$2:$AB$1000=AB687),$AD$2:$AD$1000)</f>
        <v/>
      </c>
      <c r="AO687" s="33" t="str" cm="1">
        <f t="array" ref="AO687">IFERROR(INDEX($AA$2:$AA$282,MATCH(0,COUNTIF('Paste Here'!$AK$1:AK686,$AA$2:$AA$282),0)),"")</f>
        <v/>
      </c>
      <c r="AP687" s="33" t="str">
        <f>IF(COUNTIF('Paste Here'!$AK$2:AK687,'Paste Here'!AK687)=1,VALUE('Paste Here'!AK687),"")</f>
        <v/>
      </c>
    </row>
    <row r="688" spans="1:42" x14ac:dyDescent="0.3">
      <c r="A688"/>
      <c r="B688"/>
      <c r="C688"/>
      <c r="D688" s="4"/>
      <c r="E688"/>
      <c r="F688"/>
      <c r="G688"/>
      <c r="H688"/>
      <c r="AA688" s="33" t="str">
        <f t="shared" si="31"/>
        <v/>
      </c>
      <c r="AC688" s="33">
        <f t="shared" si="30"/>
        <v>1048540</v>
      </c>
      <c r="AD688" s="33" t="str">
        <f t="shared" si="32"/>
        <v/>
      </c>
      <c r="AE688" s="33" t="str" cm="1">
        <f t="array" ref="AE688">LOOKUP(2,1/($AB$2:$AB$1000=AB688),$AD$2:$AD$1000)</f>
        <v/>
      </c>
      <c r="AO688" s="33" t="str" cm="1">
        <f t="array" ref="AO688">IFERROR(INDEX($AA$2:$AA$282,MATCH(0,COUNTIF('Paste Here'!$AK$1:AK687,$AA$2:$AA$282),0)),"")</f>
        <v/>
      </c>
      <c r="AP688" s="33" t="str">
        <f>IF(COUNTIF('Paste Here'!$AK$2:AK688,'Paste Here'!AK688)=1,VALUE('Paste Here'!AK688),"")</f>
        <v/>
      </c>
    </row>
    <row r="689" spans="1:42" x14ac:dyDescent="0.3">
      <c r="A689"/>
      <c r="B689"/>
      <c r="C689"/>
      <c r="D689" s="4"/>
      <c r="E689"/>
      <c r="F689"/>
      <c r="G689"/>
      <c r="H689"/>
      <c r="AA689" s="33" t="str">
        <f t="shared" si="31"/>
        <v/>
      </c>
      <c r="AC689" s="33">
        <f t="shared" si="30"/>
        <v>1048540</v>
      </c>
      <c r="AD689" s="33" t="str">
        <f t="shared" si="32"/>
        <v/>
      </c>
      <c r="AE689" s="33" t="str" cm="1">
        <f t="array" ref="AE689">LOOKUP(2,1/($AB$2:$AB$1000=AB689),$AD$2:$AD$1000)</f>
        <v/>
      </c>
      <c r="AO689" s="33" t="str" cm="1">
        <f t="array" ref="AO689">IFERROR(INDEX($AA$2:$AA$282,MATCH(0,COUNTIF('Paste Here'!$AK$1:AK688,$AA$2:$AA$282),0)),"")</f>
        <v/>
      </c>
      <c r="AP689" s="33" t="str">
        <f>IF(COUNTIF('Paste Here'!$AK$2:AK689,'Paste Here'!AK689)=1,VALUE('Paste Here'!AK689),"")</f>
        <v/>
      </c>
    </row>
    <row r="690" spans="1:42" x14ac:dyDescent="0.3">
      <c r="A690"/>
      <c r="B690"/>
      <c r="C690"/>
      <c r="D690" s="4"/>
      <c r="E690"/>
      <c r="F690"/>
      <c r="G690"/>
      <c r="H690"/>
      <c r="AA690" s="33" t="str">
        <f t="shared" si="31"/>
        <v/>
      </c>
      <c r="AC690" s="33">
        <f t="shared" si="30"/>
        <v>1048540</v>
      </c>
      <c r="AD690" s="33" t="str">
        <f t="shared" si="32"/>
        <v/>
      </c>
      <c r="AE690" s="33" t="str" cm="1">
        <f t="array" ref="AE690">LOOKUP(2,1/($AB$2:$AB$1000=AB690),$AD$2:$AD$1000)</f>
        <v/>
      </c>
      <c r="AO690" s="33" t="str" cm="1">
        <f t="array" ref="AO690">IFERROR(INDEX($AA$2:$AA$282,MATCH(0,COUNTIF('Paste Here'!$AK$1:AK689,$AA$2:$AA$282),0)),"")</f>
        <v/>
      </c>
      <c r="AP690" s="33" t="str">
        <f>IF(COUNTIF('Paste Here'!$AK$2:AK690,'Paste Here'!AK690)=1,VALUE('Paste Here'!AK690),"")</f>
        <v/>
      </c>
    </row>
    <row r="691" spans="1:42" x14ac:dyDescent="0.3">
      <c r="A691"/>
      <c r="B691"/>
      <c r="C691"/>
      <c r="D691" s="4"/>
      <c r="E691"/>
      <c r="F691"/>
      <c r="G691"/>
      <c r="H691"/>
      <c r="AA691" s="33" t="str">
        <f t="shared" si="31"/>
        <v/>
      </c>
      <c r="AC691" s="33">
        <f t="shared" si="30"/>
        <v>1048540</v>
      </c>
      <c r="AD691" s="33" t="str">
        <f t="shared" si="32"/>
        <v/>
      </c>
      <c r="AE691" s="33" t="str" cm="1">
        <f t="array" ref="AE691">LOOKUP(2,1/($AB$2:$AB$1000=AB691),$AD$2:$AD$1000)</f>
        <v/>
      </c>
      <c r="AO691" s="33" t="str" cm="1">
        <f t="array" ref="AO691">IFERROR(INDEX($AA$2:$AA$282,MATCH(0,COUNTIF('Paste Here'!$AK$1:AK690,$AA$2:$AA$282),0)),"")</f>
        <v/>
      </c>
      <c r="AP691" s="33" t="str">
        <f>IF(COUNTIF('Paste Here'!$AK$2:AK691,'Paste Here'!AK691)=1,VALUE('Paste Here'!AK691),"")</f>
        <v/>
      </c>
    </row>
    <row r="692" spans="1:42" x14ac:dyDescent="0.3">
      <c r="A692"/>
      <c r="B692"/>
      <c r="C692"/>
      <c r="D692" s="4"/>
      <c r="E692"/>
      <c r="F692"/>
      <c r="G692"/>
      <c r="H692"/>
      <c r="AA692" s="33" t="str">
        <f t="shared" si="31"/>
        <v/>
      </c>
      <c r="AC692" s="33">
        <f t="shared" si="30"/>
        <v>1048540</v>
      </c>
      <c r="AD692" s="33" t="str">
        <f t="shared" si="32"/>
        <v/>
      </c>
      <c r="AE692" s="33" t="str" cm="1">
        <f t="array" ref="AE692">LOOKUP(2,1/($AB$2:$AB$1000=AB692),$AD$2:$AD$1000)</f>
        <v/>
      </c>
      <c r="AO692" s="33" t="str" cm="1">
        <f t="array" ref="AO692">IFERROR(INDEX($AA$2:$AA$282,MATCH(0,COUNTIF('Paste Here'!$AK$1:AK691,$AA$2:$AA$282),0)),"")</f>
        <v/>
      </c>
      <c r="AP692" s="33" t="str">
        <f>IF(COUNTIF('Paste Here'!$AK$2:AK692,'Paste Here'!AK692)=1,VALUE('Paste Here'!AK692),"")</f>
        <v/>
      </c>
    </row>
    <row r="693" spans="1:42" x14ac:dyDescent="0.3">
      <c r="A693"/>
      <c r="B693"/>
      <c r="C693"/>
      <c r="D693" s="4"/>
      <c r="E693"/>
      <c r="F693"/>
      <c r="G693"/>
      <c r="H693"/>
      <c r="AA693" s="33" t="str">
        <f t="shared" si="31"/>
        <v/>
      </c>
      <c r="AC693" s="33">
        <f t="shared" si="30"/>
        <v>1048540</v>
      </c>
      <c r="AD693" s="33" t="str">
        <f t="shared" si="32"/>
        <v/>
      </c>
      <c r="AE693" s="33" t="str" cm="1">
        <f t="array" ref="AE693">LOOKUP(2,1/($AB$2:$AB$1000=AB693),$AD$2:$AD$1000)</f>
        <v/>
      </c>
      <c r="AO693" s="33" t="str" cm="1">
        <f t="array" ref="AO693">IFERROR(INDEX($AA$2:$AA$282,MATCH(0,COUNTIF('Paste Here'!$AK$1:AK692,$AA$2:$AA$282),0)),"")</f>
        <v/>
      </c>
      <c r="AP693" s="33" t="str">
        <f>IF(COUNTIF('Paste Here'!$AK$2:AK693,'Paste Here'!AK693)=1,VALUE('Paste Here'!AK693),"")</f>
        <v/>
      </c>
    </row>
    <row r="694" spans="1:42" x14ac:dyDescent="0.3">
      <c r="A694"/>
      <c r="B694"/>
      <c r="C694"/>
      <c r="D694" s="4"/>
      <c r="E694"/>
      <c r="F694"/>
      <c r="G694"/>
      <c r="H694"/>
      <c r="AA694" s="33" t="str">
        <f t="shared" si="31"/>
        <v/>
      </c>
      <c r="AC694" s="33">
        <f t="shared" si="30"/>
        <v>1048540</v>
      </c>
      <c r="AD694" s="33" t="str">
        <f t="shared" si="32"/>
        <v/>
      </c>
      <c r="AE694" s="33" t="str" cm="1">
        <f t="array" ref="AE694">LOOKUP(2,1/($AB$2:$AB$1000=AB694),$AD$2:$AD$1000)</f>
        <v/>
      </c>
      <c r="AO694" s="33" t="str" cm="1">
        <f t="array" ref="AO694">IFERROR(INDEX($AA$2:$AA$282,MATCH(0,COUNTIF('Paste Here'!$AK$1:AK693,$AA$2:$AA$282),0)),"")</f>
        <v/>
      </c>
      <c r="AP694" s="33" t="str">
        <f>IF(COUNTIF('Paste Here'!$AK$2:AK694,'Paste Here'!AK694)=1,VALUE('Paste Here'!AK694),"")</f>
        <v/>
      </c>
    </row>
    <row r="695" spans="1:42" x14ac:dyDescent="0.3">
      <c r="A695"/>
      <c r="B695"/>
      <c r="C695"/>
      <c r="D695" s="4"/>
      <c r="E695"/>
      <c r="F695"/>
      <c r="G695"/>
      <c r="H695"/>
      <c r="AA695" s="33" t="str">
        <f t="shared" si="31"/>
        <v/>
      </c>
      <c r="AC695" s="33">
        <f t="shared" si="30"/>
        <v>1048540</v>
      </c>
      <c r="AD695" s="33" t="str">
        <f t="shared" si="32"/>
        <v/>
      </c>
      <c r="AE695" s="33" t="str" cm="1">
        <f t="array" ref="AE695">LOOKUP(2,1/($AB$2:$AB$1000=AB695),$AD$2:$AD$1000)</f>
        <v/>
      </c>
      <c r="AO695" s="33" t="str" cm="1">
        <f t="array" ref="AO695">IFERROR(INDEX($AA$2:$AA$282,MATCH(0,COUNTIF('Paste Here'!$AK$1:AK694,$AA$2:$AA$282),0)),"")</f>
        <v/>
      </c>
      <c r="AP695" s="33" t="str">
        <f>IF(COUNTIF('Paste Here'!$AK$2:AK695,'Paste Here'!AK695)=1,VALUE('Paste Here'!AK695),"")</f>
        <v/>
      </c>
    </row>
    <row r="696" spans="1:42" x14ac:dyDescent="0.3">
      <c r="A696"/>
      <c r="B696"/>
      <c r="C696"/>
      <c r="D696" s="4"/>
      <c r="E696"/>
      <c r="F696"/>
      <c r="G696"/>
      <c r="H696"/>
      <c r="AA696" s="33" t="str">
        <f t="shared" si="31"/>
        <v/>
      </c>
      <c r="AC696" s="33">
        <f t="shared" si="30"/>
        <v>1048540</v>
      </c>
      <c r="AD696" s="33" t="str">
        <f t="shared" si="32"/>
        <v/>
      </c>
      <c r="AE696" s="33" t="str" cm="1">
        <f t="array" ref="AE696">LOOKUP(2,1/($AB$2:$AB$1000=AB696),$AD$2:$AD$1000)</f>
        <v/>
      </c>
      <c r="AO696" s="33" t="str" cm="1">
        <f t="array" ref="AO696">IFERROR(INDEX($AA$2:$AA$282,MATCH(0,COUNTIF('Paste Here'!$AK$1:AK695,$AA$2:$AA$282),0)),"")</f>
        <v/>
      </c>
      <c r="AP696" s="33" t="str">
        <f>IF(COUNTIF('Paste Here'!$AK$2:AK696,'Paste Here'!AK696)=1,VALUE('Paste Here'!AK696),"")</f>
        <v/>
      </c>
    </row>
    <row r="697" spans="1:42" x14ac:dyDescent="0.3">
      <c r="A697"/>
      <c r="B697"/>
      <c r="C697"/>
      <c r="D697" s="4"/>
      <c r="E697"/>
      <c r="F697"/>
      <c r="G697"/>
      <c r="H697"/>
      <c r="AA697" s="33" t="str">
        <f t="shared" si="31"/>
        <v/>
      </c>
      <c r="AC697" s="33">
        <f t="shared" si="30"/>
        <v>1048540</v>
      </c>
      <c r="AD697" s="33" t="str">
        <f t="shared" si="32"/>
        <v/>
      </c>
      <c r="AE697" s="33" t="str" cm="1">
        <f t="array" ref="AE697">LOOKUP(2,1/($AB$2:$AB$1000=AB697),$AD$2:$AD$1000)</f>
        <v/>
      </c>
      <c r="AO697" s="33" t="str" cm="1">
        <f t="array" ref="AO697">IFERROR(INDEX($AA$2:$AA$282,MATCH(0,COUNTIF('Paste Here'!$AK$1:AK696,$AA$2:$AA$282),0)),"")</f>
        <v/>
      </c>
      <c r="AP697" s="33" t="str">
        <f>IF(COUNTIF('Paste Here'!$AK$2:AK697,'Paste Here'!AK697)=1,VALUE('Paste Here'!AK697),"")</f>
        <v/>
      </c>
    </row>
    <row r="698" spans="1:42" x14ac:dyDescent="0.3">
      <c r="A698"/>
      <c r="B698"/>
      <c r="C698"/>
      <c r="D698" s="4"/>
      <c r="E698"/>
      <c r="F698"/>
      <c r="G698"/>
      <c r="H698"/>
      <c r="AA698" s="33" t="str">
        <f t="shared" si="31"/>
        <v/>
      </c>
      <c r="AC698" s="33">
        <f t="shared" si="30"/>
        <v>1048540</v>
      </c>
      <c r="AD698" s="33" t="str">
        <f t="shared" si="32"/>
        <v/>
      </c>
      <c r="AE698" s="33" t="str" cm="1">
        <f t="array" ref="AE698">LOOKUP(2,1/($AB$2:$AB$1000=AB698),$AD$2:$AD$1000)</f>
        <v/>
      </c>
      <c r="AO698" s="33" t="str" cm="1">
        <f t="array" ref="AO698">IFERROR(INDEX($AA$2:$AA$282,MATCH(0,COUNTIF('Paste Here'!$AK$1:AK697,$AA$2:$AA$282),0)),"")</f>
        <v/>
      </c>
      <c r="AP698" s="33" t="str">
        <f>IF(COUNTIF('Paste Here'!$AK$2:AK698,'Paste Here'!AK698)=1,VALUE('Paste Here'!AK698),"")</f>
        <v/>
      </c>
    </row>
    <row r="699" spans="1:42" x14ac:dyDescent="0.3">
      <c r="A699"/>
      <c r="B699"/>
      <c r="C699"/>
      <c r="D699" s="4"/>
      <c r="E699"/>
      <c r="F699"/>
      <c r="G699"/>
      <c r="H699"/>
      <c r="AA699" s="33" t="str">
        <f t="shared" si="31"/>
        <v/>
      </c>
      <c r="AC699" s="33">
        <f t="shared" si="30"/>
        <v>1048540</v>
      </c>
      <c r="AD699" s="33" t="str">
        <f t="shared" si="32"/>
        <v/>
      </c>
      <c r="AE699" s="33" t="str" cm="1">
        <f t="array" ref="AE699">LOOKUP(2,1/($AB$2:$AB$1000=AB699),$AD$2:$AD$1000)</f>
        <v/>
      </c>
      <c r="AO699" s="33" t="str" cm="1">
        <f t="array" ref="AO699">IFERROR(INDEX($AA$2:$AA$282,MATCH(0,COUNTIF('Paste Here'!$AK$1:AK698,$AA$2:$AA$282),0)),"")</f>
        <v/>
      </c>
      <c r="AP699" s="33" t="str">
        <f>IF(COUNTIF('Paste Here'!$AK$2:AK699,'Paste Here'!AK699)=1,VALUE('Paste Here'!AK699),"")</f>
        <v/>
      </c>
    </row>
    <row r="700" spans="1:42" x14ac:dyDescent="0.3">
      <c r="A700"/>
      <c r="B700"/>
      <c r="C700"/>
      <c r="D700" s="4"/>
      <c r="E700"/>
      <c r="F700"/>
      <c r="G700"/>
      <c r="H700"/>
      <c r="AA700" s="33" t="str">
        <f t="shared" si="31"/>
        <v/>
      </c>
      <c r="AC700" s="33">
        <f t="shared" si="30"/>
        <v>1048540</v>
      </c>
      <c r="AD700" s="33" t="str">
        <f t="shared" si="32"/>
        <v/>
      </c>
      <c r="AE700" s="33" t="str" cm="1">
        <f t="array" ref="AE700">LOOKUP(2,1/($AB$2:$AB$1000=AB700),$AD$2:$AD$1000)</f>
        <v/>
      </c>
      <c r="AO700" s="33" t="str" cm="1">
        <f t="array" ref="AO700">IFERROR(INDEX($AA$2:$AA$282,MATCH(0,COUNTIF('Paste Here'!$AK$1:AK699,$AA$2:$AA$282),0)),"")</f>
        <v/>
      </c>
      <c r="AP700" s="33" t="str">
        <f>IF(COUNTIF('Paste Here'!$AK$2:AK700,'Paste Here'!AK700)=1,VALUE('Paste Here'!AK700),"")</f>
        <v/>
      </c>
    </row>
    <row r="701" spans="1:42" x14ac:dyDescent="0.3">
      <c r="A701"/>
      <c r="B701"/>
      <c r="C701"/>
      <c r="D701" s="4"/>
      <c r="E701"/>
      <c r="F701"/>
      <c r="G701"/>
      <c r="H701"/>
      <c r="AA701" s="33" t="str">
        <f t="shared" si="31"/>
        <v/>
      </c>
      <c r="AC701" s="33">
        <f t="shared" si="30"/>
        <v>1048540</v>
      </c>
      <c r="AD701" s="33" t="str">
        <f t="shared" si="32"/>
        <v/>
      </c>
      <c r="AE701" s="33" t="str" cm="1">
        <f t="array" ref="AE701">LOOKUP(2,1/($AB$2:$AB$1000=AB701),$AD$2:$AD$1000)</f>
        <v/>
      </c>
      <c r="AO701" s="33" t="str" cm="1">
        <f t="array" ref="AO701">IFERROR(INDEX($AA$2:$AA$282,MATCH(0,COUNTIF('Paste Here'!$AK$1:AK700,$AA$2:$AA$282),0)),"")</f>
        <v/>
      </c>
      <c r="AP701" s="33" t="str">
        <f>IF(COUNTIF('Paste Here'!$AK$2:AK701,'Paste Here'!AK701)=1,VALUE('Paste Here'!AK701),"")</f>
        <v/>
      </c>
    </row>
    <row r="702" spans="1:42" x14ac:dyDescent="0.3">
      <c r="A702" s="2"/>
      <c r="B702" s="2"/>
      <c r="C702" s="2"/>
      <c r="D702" s="3"/>
      <c r="E702" s="2"/>
      <c r="F702" s="2"/>
      <c r="G702" s="2"/>
      <c r="H702" s="2"/>
      <c r="AA702" s="33" t="str">
        <f t="shared" si="31"/>
        <v/>
      </c>
      <c r="AC702" s="33">
        <f t="shared" si="30"/>
        <v>1048540</v>
      </c>
      <c r="AD702" s="33" t="str">
        <f t="shared" si="32"/>
        <v/>
      </c>
      <c r="AE702" s="33" t="str" cm="1">
        <f t="array" ref="AE702">LOOKUP(2,1/($AB$2:$AB$1000=AB702),$AD$2:$AD$1000)</f>
        <v/>
      </c>
      <c r="AO702" s="33" t="str" cm="1">
        <f t="array" ref="AO702">IFERROR(INDEX($AA$2:$AA$282,MATCH(0,COUNTIF('Paste Here'!$AK$1:AK701,$AA$2:$AA$282),0)),"")</f>
        <v/>
      </c>
      <c r="AP702" s="33" t="str">
        <f>IF(COUNTIF('Paste Here'!$AK$2:AK702,'Paste Here'!AK702)=1,VALUE('Paste Here'!AK702),"")</f>
        <v/>
      </c>
    </row>
    <row r="703" spans="1:42" x14ac:dyDescent="0.3">
      <c r="A703" s="2"/>
      <c r="B703" s="2"/>
      <c r="C703" s="2"/>
      <c r="D703" s="3"/>
      <c r="E703" s="2"/>
      <c r="F703" s="2"/>
      <c r="G703" s="2"/>
      <c r="H703" s="2"/>
      <c r="AA703" s="33" t="str">
        <f t="shared" si="31"/>
        <v/>
      </c>
      <c r="AC703" s="33">
        <f t="shared" si="30"/>
        <v>1048540</v>
      </c>
      <c r="AD703" s="33" t="str">
        <f t="shared" si="32"/>
        <v/>
      </c>
      <c r="AE703" s="33" t="str" cm="1">
        <f t="array" ref="AE703">LOOKUP(2,1/($AB$2:$AB$1000=AB703),$AD$2:$AD$1000)</f>
        <v/>
      </c>
      <c r="AO703" s="33" t="str" cm="1">
        <f t="array" ref="AO703">IFERROR(INDEX($AA$2:$AA$282,MATCH(0,COUNTIF('Paste Here'!$AK$1:AK702,$AA$2:$AA$282),0)),"")</f>
        <v/>
      </c>
      <c r="AP703" s="33" t="str">
        <f>IF(COUNTIF('Paste Here'!$AK$2:AK703,'Paste Here'!AK703)=1,VALUE('Paste Here'!AK703),"")</f>
        <v/>
      </c>
    </row>
    <row r="704" spans="1:42" x14ac:dyDescent="0.3">
      <c r="A704" s="2"/>
      <c r="B704" s="2"/>
      <c r="C704" s="2"/>
      <c r="D704" s="3"/>
      <c r="E704" s="2"/>
      <c r="F704" s="2"/>
      <c r="G704" s="2"/>
      <c r="H704" s="2"/>
      <c r="AA704" s="33" t="str">
        <f t="shared" si="31"/>
        <v/>
      </c>
      <c r="AC704" s="33">
        <f t="shared" si="30"/>
        <v>1048540</v>
      </c>
      <c r="AD704" s="33" t="str">
        <f t="shared" si="32"/>
        <v/>
      </c>
      <c r="AE704" s="33" t="str" cm="1">
        <f t="array" ref="AE704">LOOKUP(2,1/($AB$2:$AB$1000=AB704),$AD$2:$AD$1000)</f>
        <v/>
      </c>
      <c r="AO704" s="33" t="str" cm="1">
        <f t="array" ref="AO704">IFERROR(INDEX($AA$2:$AA$282,MATCH(0,COUNTIF('Paste Here'!$AK$1:AK703,$AA$2:$AA$282),0)),"")</f>
        <v/>
      </c>
      <c r="AP704" s="33" t="str">
        <f>IF(COUNTIF('Paste Here'!$AK$2:AK704,'Paste Here'!AK704)=1,VALUE('Paste Here'!AK704),"")</f>
        <v/>
      </c>
    </row>
    <row r="705" spans="1:42" x14ac:dyDescent="0.3">
      <c r="A705" s="2"/>
      <c r="B705" s="2"/>
      <c r="C705" s="2"/>
      <c r="D705" s="3"/>
      <c r="E705" s="2"/>
      <c r="F705" s="2"/>
      <c r="G705" s="2"/>
      <c r="H705" s="2"/>
      <c r="AA705" s="33" t="str">
        <f t="shared" si="31"/>
        <v/>
      </c>
      <c r="AC705" s="33">
        <f t="shared" si="30"/>
        <v>1048540</v>
      </c>
      <c r="AD705" s="33" t="str">
        <f t="shared" si="32"/>
        <v/>
      </c>
      <c r="AE705" s="33" t="str" cm="1">
        <f t="array" ref="AE705">LOOKUP(2,1/($AB$2:$AB$1000=AB705),$AD$2:$AD$1000)</f>
        <v/>
      </c>
      <c r="AO705" s="33" t="str" cm="1">
        <f t="array" ref="AO705">IFERROR(INDEX($AA$2:$AA$282,MATCH(0,COUNTIF('Paste Here'!$AK$1:AK704,$AA$2:$AA$282),0)),"")</f>
        <v/>
      </c>
      <c r="AP705" s="33" t="str">
        <f>IF(COUNTIF('Paste Here'!$AK$2:AK705,'Paste Here'!AK705)=1,VALUE('Paste Here'!AK705),"")</f>
        <v/>
      </c>
    </row>
    <row r="706" spans="1:42" x14ac:dyDescent="0.3">
      <c r="A706" s="2"/>
      <c r="B706" s="2"/>
      <c r="C706" s="2"/>
      <c r="D706" s="3"/>
      <c r="E706" s="2"/>
      <c r="F706" s="2"/>
      <c r="G706" s="2"/>
      <c r="H706" s="2"/>
      <c r="AA706" s="33" t="str">
        <f t="shared" si="31"/>
        <v/>
      </c>
      <c r="AC706" s="33">
        <f t="shared" ref="AC706:AC769" si="33">COUNTIF($AA:$AA,AA706)</f>
        <v>1048540</v>
      </c>
      <c r="AD706" s="33" t="str">
        <f t="shared" si="32"/>
        <v/>
      </c>
      <c r="AE706" s="33" t="str" cm="1">
        <f t="array" ref="AE706">LOOKUP(2,1/($AB$2:$AB$1000=AB706),$AD$2:$AD$1000)</f>
        <v/>
      </c>
      <c r="AO706" s="33" t="str" cm="1">
        <f t="array" ref="AO706">IFERROR(INDEX($AA$2:$AA$282,MATCH(0,COUNTIF('Paste Here'!$AK$1:AK705,$AA$2:$AA$282),0)),"")</f>
        <v/>
      </c>
      <c r="AP706" s="33" t="str">
        <f>IF(COUNTIF('Paste Here'!$AK$2:AK706,'Paste Here'!AK706)=1,VALUE('Paste Here'!AK706),"")</f>
        <v/>
      </c>
    </row>
    <row r="707" spans="1:42" x14ac:dyDescent="0.3">
      <c r="A707" s="2"/>
      <c r="B707" s="2"/>
      <c r="C707" s="2"/>
      <c r="D707" s="3"/>
      <c r="E707" s="2"/>
      <c r="F707" s="2"/>
      <c r="G707" s="2"/>
      <c r="H707" s="2"/>
      <c r="AA707" s="33" t="str">
        <f t="shared" ref="AA707:AA770" si="34">IFERROR(MID(G707,FIND("LR-",G707)+3,FIND("-",G707,FIND("LR-",G707)+3)-FIND("LR-",G707)-3),"")</f>
        <v/>
      </c>
      <c r="AC707" s="33">
        <f t="shared" si="33"/>
        <v>1048540</v>
      </c>
      <c r="AD707" s="33" t="str">
        <f t="shared" ref="AD707:AD770" si="35">IF(F707=0,"",F707)</f>
        <v/>
      </c>
      <c r="AE707" s="33" t="str" cm="1">
        <f t="array" ref="AE707">LOOKUP(2,1/($AB$2:$AB$1000=AB707),$AD$2:$AD$1000)</f>
        <v/>
      </c>
      <c r="AO707" s="33" t="str" cm="1">
        <f t="array" ref="AO707">IFERROR(INDEX($AA$2:$AA$282,MATCH(0,COUNTIF('Paste Here'!$AK$1:AK706,$AA$2:$AA$282),0)),"")</f>
        <v/>
      </c>
      <c r="AP707" s="33" t="str">
        <f>IF(COUNTIF('Paste Here'!$AK$2:AK707,'Paste Here'!AK707)=1,VALUE('Paste Here'!AK707),"")</f>
        <v/>
      </c>
    </row>
    <row r="708" spans="1:42" x14ac:dyDescent="0.3">
      <c r="A708" s="2"/>
      <c r="B708" s="2"/>
      <c r="C708" s="2"/>
      <c r="D708" s="3"/>
      <c r="E708" s="2"/>
      <c r="F708" s="2"/>
      <c r="G708" s="2"/>
      <c r="H708" s="2"/>
      <c r="AA708" s="33" t="str">
        <f t="shared" si="34"/>
        <v/>
      </c>
      <c r="AC708" s="33">
        <f t="shared" si="33"/>
        <v>1048540</v>
      </c>
      <c r="AD708" s="33" t="str">
        <f t="shared" si="35"/>
        <v/>
      </c>
      <c r="AE708" s="33" t="str" cm="1">
        <f t="array" ref="AE708">LOOKUP(2,1/($AB$2:$AB$1000=AB708),$AD$2:$AD$1000)</f>
        <v/>
      </c>
      <c r="AO708" s="33" t="str" cm="1">
        <f t="array" ref="AO708">IFERROR(INDEX($AA$2:$AA$282,MATCH(0,COUNTIF('Paste Here'!$AK$1:AK707,$AA$2:$AA$282),0)),"")</f>
        <v/>
      </c>
      <c r="AP708" s="33" t="str">
        <f>IF(COUNTIF('Paste Here'!$AK$2:AK708,'Paste Here'!AK708)=1,VALUE('Paste Here'!AK708),"")</f>
        <v/>
      </c>
    </row>
    <row r="709" spans="1:42" x14ac:dyDescent="0.3">
      <c r="A709" s="2"/>
      <c r="B709" s="2"/>
      <c r="C709" s="2"/>
      <c r="D709" s="3"/>
      <c r="E709" s="2"/>
      <c r="F709" s="2"/>
      <c r="G709" s="2"/>
      <c r="H709" s="2"/>
      <c r="AA709" s="33" t="str">
        <f t="shared" si="34"/>
        <v/>
      </c>
      <c r="AC709" s="33">
        <f t="shared" si="33"/>
        <v>1048540</v>
      </c>
      <c r="AD709" s="33" t="str">
        <f t="shared" si="35"/>
        <v/>
      </c>
      <c r="AE709" s="33" t="str" cm="1">
        <f t="array" ref="AE709">LOOKUP(2,1/($AB$2:$AB$1000=AB709),$AD$2:$AD$1000)</f>
        <v/>
      </c>
      <c r="AO709" s="33" t="str" cm="1">
        <f t="array" ref="AO709">IFERROR(INDEX($AA$2:$AA$282,MATCH(0,COUNTIF('Paste Here'!$AK$1:AK708,$AA$2:$AA$282),0)),"")</f>
        <v/>
      </c>
      <c r="AP709" s="33" t="str">
        <f>IF(COUNTIF('Paste Here'!$AK$2:AK709,'Paste Here'!AK709)=1,VALUE('Paste Here'!AK709),"")</f>
        <v/>
      </c>
    </row>
    <row r="710" spans="1:42" x14ac:dyDescent="0.3">
      <c r="A710" s="2"/>
      <c r="B710" s="2"/>
      <c r="C710" s="2"/>
      <c r="D710" s="3"/>
      <c r="E710" s="2"/>
      <c r="F710" s="2"/>
      <c r="G710" s="2"/>
      <c r="H710" s="2"/>
      <c r="AA710" s="33" t="str">
        <f t="shared" si="34"/>
        <v/>
      </c>
      <c r="AC710" s="33">
        <f t="shared" si="33"/>
        <v>1048540</v>
      </c>
      <c r="AD710" s="33" t="str">
        <f t="shared" si="35"/>
        <v/>
      </c>
      <c r="AE710" s="33" t="str" cm="1">
        <f t="array" ref="AE710">LOOKUP(2,1/($AB$2:$AB$1000=AB710),$AD$2:$AD$1000)</f>
        <v/>
      </c>
      <c r="AO710" s="33" t="str" cm="1">
        <f t="array" ref="AO710">IFERROR(INDEX($AA$2:$AA$282,MATCH(0,COUNTIF('Paste Here'!$AK$1:AK709,$AA$2:$AA$282),0)),"")</f>
        <v/>
      </c>
      <c r="AP710" s="33" t="str">
        <f>IF(COUNTIF('Paste Here'!$AK$2:AK710,'Paste Here'!AK710)=1,VALUE('Paste Here'!AK710),"")</f>
        <v/>
      </c>
    </row>
    <row r="711" spans="1:42" x14ac:dyDescent="0.3">
      <c r="A711" s="2"/>
      <c r="B711" s="2"/>
      <c r="C711" s="2"/>
      <c r="D711" s="3"/>
      <c r="E711" s="2"/>
      <c r="F711" s="2"/>
      <c r="G711" s="2"/>
      <c r="H711" s="2"/>
      <c r="AA711" s="33" t="str">
        <f t="shared" si="34"/>
        <v/>
      </c>
      <c r="AC711" s="33">
        <f t="shared" si="33"/>
        <v>1048540</v>
      </c>
      <c r="AD711" s="33" t="str">
        <f t="shared" si="35"/>
        <v/>
      </c>
      <c r="AE711" s="33" t="str" cm="1">
        <f t="array" ref="AE711">LOOKUP(2,1/($AB$2:$AB$1000=AB711),$AD$2:$AD$1000)</f>
        <v/>
      </c>
      <c r="AO711" s="33" t="str" cm="1">
        <f t="array" ref="AO711">IFERROR(INDEX($AA$2:$AA$282,MATCH(0,COUNTIF('Paste Here'!$AK$1:AK710,$AA$2:$AA$282),0)),"")</f>
        <v/>
      </c>
      <c r="AP711" s="33" t="str">
        <f>IF(COUNTIF('Paste Here'!$AK$2:AK711,'Paste Here'!AK711)=1,VALUE('Paste Here'!AK711),"")</f>
        <v/>
      </c>
    </row>
    <row r="712" spans="1:42" x14ac:dyDescent="0.3">
      <c r="A712" s="2"/>
      <c r="B712" s="2"/>
      <c r="C712" s="2"/>
      <c r="D712" s="3"/>
      <c r="E712" s="2"/>
      <c r="F712" s="2"/>
      <c r="G712" s="2"/>
      <c r="H712" s="2"/>
      <c r="AA712" s="33" t="str">
        <f t="shared" si="34"/>
        <v/>
      </c>
      <c r="AC712" s="33">
        <f t="shared" si="33"/>
        <v>1048540</v>
      </c>
      <c r="AD712" s="33" t="str">
        <f t="shared" si="35"/>
        <v/>
      </c>
      <c r="AE712" s="33" t="str" cm="1">
        <f t="array" ref="AE712">LOOKUP(2,1/($AB$2:$AB$1000=AB712),$AD$2:$AD$1000)</f>
        <v/>
      </c>
      <c r="AO712" s="33" t="str" cm="1">
        <f t="array" ref="AO712">IFERROR(INDEX($AA$2:$AA$282,MATCH(0,COUNTIF('Paste Here'!$AK$1:AK711,$AA$2:$AA$282),0)),"")</f>
        <v/>
      </c>
      <c r="AP712" s="33" t="str">
        <f>IF(COUNTIF('Paste Here'!$AK$2:AK712,'Paste Here'!AK712)=1,VALUE('Paste Here'!AK712),"")</f>
        <v/>
      </c>
    </row>
    <row r="713" spans="1:42" x14ac:dyDescent="0.3">
      <c r="A713" s="2"/>
      <c r="B713" s="2"/>
      <c r="C713" s="2"/>
      <c r="D713" s="3"/>
      <c r="E713" s="2"/>
      <c r="F713" s="2"/>
      <c r="G713" s="2"/>
      <c r="H713" s="2"/>
      <c r="AA713" s="33" t="str">
        <f t="shared" si="34"/>
        <v/>
      </c>
      <c r="AC713" s="33">
        <f t="shared" si="33"/>
        <v>1048540</v>
      </c>
      <c r="AD713" s="33" t="str">
        <f t="shared" si="35"/>
        <v/>
      </c>
      <c r="AE713" s="33" t="str" cm="1">
        <f t="array" ref="AE713">LOOKUP(2,1/($AB$2:$AB$1000=AB713),$AD$2:$AD$1000)</f>
        <v/>
      </c>
      <c r="AO713" s="33" t="str" cm="1">
        <f t="array" ref="AO713">IFERROR(INDEX($AA$2:$AA$282,MATCH(0,COUNTIF('Paste Here'!$AK$1:AK712,$AA$2:$AA$282),0)),"")</f>
        <v/>
      </c>
      <c r="AP713" s="33" t="str">
        <f>IF(COUNTIF('Paste Here'!$AK$2:AK713,'Paste Here'!AK713)=1,VALUE('Paste Here'!AK713),"")</f>
        <v/>
      </c>
    </row>
    <row r="714" spans="1:42" x14ac:dyDescent="0.3">
      <c r="A714" s="2"/>
      <c r="B714" s="2"/>
      <c r="C714" s="2"/>
      <c r="D714" s="3"/>
      <c r="E714" s="2"/>
      <c r="F714" s="2"/>
      <c r="G714" s="2"/>
      <c r="H714" s="2"/>
      <c r="AA714" s="33" t="str">
        <f t="shared" si="34"/>
        <v/>
      </c>
      <c r="AC714" s="33">
        <f t="shared" si="33"/>
        <v>1048540</v>
      </c>
      <c r="AD714" s="33" t="str">
        <f t="shared" si="35"/>
        <v/>
      </c>
      <c r="AE714" s="33" t="str" cm="1">
        <f t="array" ref="AE714">LOOKUP(2,1/($AB$2:$AB$1000=AB714),$AD$2:$AD$1000)</f>
        <v/>
      </c>
      <c r="AO714" s="33" t="str" cm="1">
        <f t="array" ref="AO714">IFERROR(INDEX($AA$2:$AA$282,MATCH(0,COUNTIF('Paste Here'!$AK$1:AK713,$AA$2:$AA$282),0)),"")</f>
        <v/>
      </c>
      <c r="AP714" s="33" t="str">
        <f>IF(COUNTIF('Paste Here'!$AK$2:AK714,'Paste Here'!AK714)=1,VALUE('Paste Here'!AK714),"")</f>
        <v/>
      </c>
    </row>
    <row r="715" spans="1:42" x14ac:dyDescent="0.3">
      <c r="A715" s="2"/>
      <c r="B715" s="2"/>
      <c r="C715" s="2"/>
      <c r="D715" s="3"/>
      <c r="E715" s="2"/>
      <c r="F715" s="2"/>
      <c r="G715" s="2"/>
      <c r="H715" s="2"/>
      <c r="AA715" s="33" t="str">
        <f t="shared" si="34"/>
        <v/>
      </c>
      <c r="AC715" s="33">
        <f t="shared" si="33"/>
        <v>1048540</v>
      </c>
      <c r="AD715" s="33" t="str">
        <f t="shared" si="35"/>
        <v/>
      </c>
      <c r="AE715" s="33" t="str" cm="1">
        <f t="array" ref="AE715">LOOKUP(2,1/($AB$2:$AB$1000=AB715),$AD$2:$AD$1000)</f>
        <v/>
      </c>
      <c r="AO715" s="33" t="str" cm="1">
        <f t="array" ref="AO715">IFERROR(INDEX($AA$2:$AA$282,MATCH(0,COUNTIF('Paste Here'!$AK$1:AK714,$AA$2:$AA$282),0)),"")</f>
        <v/>
      </c>
      <c r="AP715" s="33" t="str">
        <f>IF(COUNTIF('Paste Here'!$AK$2:AK715,'Paste Here'!AK715)=1,VALUE('Paste Here'!AK715),"")</f>
        <v/>
      </c>
    </row>
    <row r="716" spans="1:42" x14ac:dyDescent="0.3">
      <c r="A716" s="2"/>
      <c r="B716" s="2"/>
      <c r="C716" s="2"/>
      <c r="D716" s="3"/>
      <c r="E716" s="2"/>
      <c r="F716" s="2"/>
      <c r="G716" s="2"/>
      <c r="H716" s="2"/>
      <c r="AA716" s="33" t="str">
        <f t="shared" si="34"/>
        <v/>
      </c>
      <c r="AC716" s="33">
        <f t="shared" si="33"/>
        <v>1048540</v>
      </c>
      <c r="AD716" s="33" t="str">
        <f t="shared" si="35"/>
        <v/>
      </c>
      <c r="AE716" s="33" t="str" cm="1">
        <f t="array" ref="AE716">LOOKUP(2,1/($AB$2:$AB$1000=AB716),$AD$2:$AD$1000)</f>
        <v/>
      </c>
      <c r="AO716" s="33" t="str" cm="1">
        <f t="array" ref="AO716">IFERROR(INDEX($AA$2:$AA$282,MATCH(0,COUNTIF('Paste Here'!$AK$1:AK715,$AA$2:$AA$282),0)),"")</f>
        <v/>
      </c>
      <c r="AP716" s="33" t="str">
        <f>IF(COUNTIF('Paste Here'!$AK$2:AK716,'Paste Here'!AK716)=1,VALUE('Paste Here'!AK716),"")</f>
        <v/>
      </c>
    </row>
    <row r="717" spans="1:42" x14ac:dyDescent="0.3">
      <c r="A717" s="2"/>
      <c r="B717" s="2"/>
      <c r="C717" s="2"/>
      <c r="D717" s="3"/>
      <c r="E717" s="2"/>
      <c r="F717" s="2"/>
      <c r="G717" s="2"/>
      <c r="H717" s="2"/>
      <c r="AA717" s="33" t="str">
        <f t="shared" si="34"/>
        <v/>
      </c>
      <c r="AC717" s="33">
        <f t="shared" si="33"/>
        <v>1048540</v>
      </c>
      <c r="AD717" s="33" t="str">
        <f t="shared" si="35"/>
        <v/>
      </c>
      <c r="AE717" s="33" t="str" cm="1">
        <f t="array" ref="AE717">LOOKUP(2,1/($AB$2:$AB$1000=AB717),$AD$2:$AD$1000)</f>
        <v/>
      </c>
      <c r="AO717" s="33" t="str" cm="1">
        <f t="array" ref="AO717">IFERROR(INDEX($AA$2:$AA$282,MATCH(0,COUNTIF('Paste Here'!$AK$1:AK716,$AA$2:$AA$282),0)),"")</f>
        <v/>
      </c>
      <c r="AP717" s="33" t="str">
        <f>IF(COUNTIF('Paste Here'!$AK$2:AK717,'Paste Here'!AK717)=1,VALUE('Paste Here'!AK717),"")</f>
        <v/>
      </c>
    </row>
    <row r="718" spans="1:42" x14ac:dyDescent="0.3">
      <c r="A718"/>
      <c r="B718"/>
      <c r="C718"/>
      <c r="D718" s="4"/>
      <c r="E718"/>
      <c r="F718"/>
      <c r="G718"/>
      <c r="H718"/>
      <c r="AA718" s="33" t="str">
        <f t="shared" si="34"/>
        <v/>
      </c>
      <c r="AC718" s="33">
        <f t="shared" si="33"/>
        <v>1048540</v>
      </c>
      <c r="AD718" s="33" t="str">
        <f t="shared" si="35"/>
        <v/>
      </c>
      <c r="AE718" s="33" t="str" cm="1">
        <f t="array" ref="AE718">LOOKUP(2,1/($AB$2:$AB$1000=AB718),$AD$2:$AD$1000)</f>
        <v/>
      </c>
      <c r="AO718" s="33" t="str" cm="1">
        <f t="array" ref="AO718">IFERROR(INDEX($AA$2:$AA$282,MATCH(0,COUNTIF('Paste Here'!$AK$1:AK717,$AA$2:$AA$282),0)),"")</f>
        <v/>
      </c>
      <c r="AP718" s="33" t="str">
        <f>IF(COUNTIF('Paste Here'!$AK$2:AK718,'Paste Here'!AK718)=1,VALUE('Paste Here'!AK718),"")</f>
        <v/>
      </c>
    </row>
    <row r="719" spans="1:42" x14ac:dyDescent="0.3">
      <c r="A719"/>
      <c r="B719"/>
      <c r="C719"/>
      <c r="D719" s="4"/>
      <c r="E719"/>
      <c r="F719"/>
      <c r="G719"/>
      <c r="H719"/>
      <c r="AA719" s="33" t="str">
        <f t="shared" si="34"/>
        <v/>
      </c>
      <c r="AC719" s="33">
        <f t="shared" si="33"/>
        <v>1048540</v>
      </c>
      <c r="AD719" s="33" t="str">
        <f t="shared" si="35"/>
        <v/>
      </c>
      <c r="AE719" s="33" t="str" cm="1">
        <f t="array" ref="AE719">LOOKUP(2,1/($AB$2:$AB$1000=AB719),$AD$2:$AD$1000)</f>
        <v/>
      </c>
      <c r="AO719" s="33" t="str" cm="1">
        <f t="array" ref="AO719">IFERROR(INDEX($AA$2:$AA$282,MATCH(0,COUNTIF('Paste Here'!$AK$1:AK718,$AA$2:$AA$282),0)),"")</f>
        <v/>
      </c>
      <c r="AP719" s="33" t="str">
        <f>IF(COUNTIF('Paste Here'!$AK$2:AK719,'Paste Here'!AK719)=1,VALUE('Paste Here'!AK719),"")</f>
        <v/>
      </c>
    </row>
    <row r="720" spans="1:42" x14ac:dyDescent="0.3">
      <c r="A720"/>
      <c r="B720"/>
      <c r="C720"/>
      <c r="D720" s="4"/>
      <c r="E720"/>
      <c r="F720"/>
      <c r="G720"/>
      <c r="H720"/>
      <c r="AA720" s="33" t="str">
        <f t="shared" si="34"/>
        <v/>
      </c>
      <c r="AC720" s="33">
        <f t="shared" si="33"/>
        <v>1048540</v>
      </c>
      <c r="AD720" s="33" t="str">
        <f t="shared" si="35"/>
        <v/>
      </c>
      <c r="AE720" s="33" t="str" cm="1">
        <f t="array" ref="AE720">LOOKUP(2,1/($AB$2:$AB$1000=AB720),$AD$2:$AD$1000)</f>
        <v/>
      </c>
      <c r="AO720" s="33" t="str" cm="1">
        <f t="array" ref="AO720">IFERROR(INDEX($AA$2:$AA$282,MATCH(0,COUNTIF('Paste Here'!$AK$1:AK719,$AA$2:$AA$282),0)),"")</f>
        <v/>
      </c>
      <c r="AP720" s="33" t="str">
        <f>IF(COUNTIF('Paste Here'!$AK$2:AK720,'Paste Here'!AK720)=1,VALUE('Paste Here'!AK720),"")</f>
        <v/>
      </c>
    </row>
    <row r="721" spans="1:42" x14ac:dyDescent="0.3">
      <c r="A721"/>
      <c r="B721"/>
      <c r="C721"/>
      <c r="D721" s="4"/>
      <c r="E721"/>
      <c r="F721"/>
      <c r="G721"/>
      <c r="H721"/>
      <c r="AA721" s="33" t="str">
        <f t="shared" si="34"/>
        <v/>
      </c>
      <c r="AC721" s="33">
        <f t="shared" si="33"/>
        <v>1048540</v>
      </c>
      <c r="AD721" s="33" t="str">
        <f t="shared" si="35"/>
        <v/>
      </c>
      <c r="AE721" s="33" t="str" cm="1">
        <f t="array" ref="AE721">LOOKUP(2,1/($AB$2:$AB$1000=AB721),$AD$2:$AD$1000)</f>
        <v/>
      </c>
      <c r="AO721" s="33" t="str" cm="1">
        <f t="array" ref="AO721">IFERROR(INDEX($AA$2:$AA$282,MATCH(0,COUNTIF('Paste Here'!$AK$1:AK720,$AA$2:$AA$282),0)),"")</f>
        <v/>
      </c>
      <c r="AP721" s="33" t="str">
        <f>IF(COUNTIF('Paste Here'!$AK$2:AK721,'Paste Here'!AK721)=1,VALUE('Paste Here'!AK721),"")</f>
        <v/>
      </c>
    </row>
    <row r="722" spans="1:42" x14ac:dyDescent="0.3">
      <c r="A722" s="2"/>
      <c r="B722" s="2"/>
      <c r="C722" s="2"/>
      <c r="D722" s="3"/>
      <c r="E722" s="2"/>
      <c r="F722" s="2"/>
      <c r="G722" s="2"/>
      <c r="H722" s="2"/>
      <c r="AA722" s="33" t="str">
        <f t="shared" si="34"/>
        <v/>
      </c>
      <c r="AC722" s="33">
        <f t="shared" si="33"/>
        <v>1048540</v>
      </c>
      <c r="AD722" s="33" t="str">
        <f t="shared" si="35"/>
        <v/>
      </c>
      <c r="AE722" s="33" t="str" cm="1">
        <f t="array" ref="AE722">LOOKUP(2,1/($AB$2:$AB$1000=AB722),$AD$2:$AD$1000)</f>
        <v/>
      </c>
      <c r="AO722" s="33" t="str" cm="1">
        <f t="array" ref="AO722">IFERROR(INDEX($AA$2:$AA$282,MATCH(0,COUNTIF('Paste Here'!$AK$1:AK721,$AA$2:$AA$282),0)),"")</f>
        <v/>
      </c>
      <c r="AP722" s="33" t="str">
        <f>IF(COUNTIF('Paste Here'!$AK$2:AK722,'Paste Here'!AK722)=1,VALUE('Paste Here'!AK722),"")</f>
        <v/>
      </c>
    </row>
    <row r="723" spans="1:42" x14ac:dyDescent="0.3">
      <c r="A723" s="2"/>
      <c r="B723" s="2"/>
      <c r="C723" s="2"/>
      <c r="D723" s="3"/>
      <c r="E723" s="2"/>
      <c r="F723" s="2"/>
      <c r="G723" s="2"/>
      <c r="H723" s="2"/>
      <c r="AA723" s="33" t="str">
        <f t="shared" si="34"/>
        <v/>
      </c>
      <c r="AC723" s="33">
        <f t="shared" si="33"/>
        <v>1048540</v>
      </c>
      <c r="AD723" s="33" t="str">
        <f t="shared" si="35"/>
        <v/>
      </c>
      <c r="AE723" s="33" t="str" cm="1">
        <f t="array" ref="AE723">LOOKUP(2,1/($AB$2:$AB$1000=AB723),$AD$2:$AD$1000)</f>
        <v/>
      </c>
      <c r="AO723" s="33" t="str" cm="1">
        <f t="array" ref="AO723">IFERROR(INDEX($AA$2:$AA$282,MATCH(0,COUNTIF('Paste Here'!$AK$1:AK722,$AA$2:$AA$282),0)),"")</f>
        <v/>
      </c>
      <c r="AP723" s="33" t="str">
        <f>IF(COUNTIF('Paste Here'!$AK$2:AK723,'Paste Here'!AK723)=1,VALUE('Paste Here'!AK723),"")</f>
        <v/>
      </c>
    </row>
    <row r="724" spans="1:42" x14ac:dyDescent="0.3">
      <c r="A724" s="2"/>
      <c r="B724" s="2"/>
      <c r="C724" s="2"/>
      <c r="D724" s="3"/>
      <c r="E724" s="2"/>
      <c r="F724" s="2"/>
      <c r="G724" s="2"/>
      <c r="H724" s="2"/>
      <c r="AA724" s="33" t="str">
        <f t="shared" si="34"/>
        <v/>
      </c>
      <c r="AC724" s="33">
        <f t="shared" si="33"/>
        <v>1048540</v>
      </c>
      <c r="AD724" s="33" t="str">
        <f t="shared" si="35"/>
        <v/>
      </c>
      <c r="AE724" s="33" t="str" cm="1">
        <f t="array" ref="AE724">LOOKUP(2,1/($AB$2:$AB$1000=AB724),$AD$2:$AD$1000)</f>
        <v/>
      </c>
      <c r="AO724" s="33" t="str" cm="1">
        <f t="array" ref="AO724">IFERROR(INDEX($AA$2:$AA$282,MATCH(0,COUNTIF('Paste Here'!$AK$1:AK723,$AA$2:$AA$282),0)),"")</f>
        <v/>
      </c>
      <c r="AP724" s="33" t="str">
        <f>IF(COUNTIF('Paste Here'!$AK$2:AK724,'Paste Here'!AK724)=1,VALUE('Paste Here'!AK724),"")</f>
        <v/>
      </c>
    </row>
    <row r="725" spans="1:42" x14ac:dyDescent="0.3">
      <c r="A725" s="2"/>
      <c r="B725" s="2"/>
      <c r="C725" s="2"/>
      <c r="D725" s="3"/>
      <c r="E725" s="2"/>
      <c r="F725" s="2"/>
      <c r="G725" s="2"/>
      <c r="H725" s="2"/>
      <c r="AA725" s="33" t="str">
        <f t="shared" si="34"/>
        <v/>
      </c>
      <c r="AC725" s="33">
        <f t="shared" si="33"/>
        <v>1048540</v>
      </c>
      <c r="AD725" s="33" t="str">
        <f t="shared" si="35"/>
        <v/>
      </c>
      <c r="AE725" s="33" t="str" cm="1">
        <f t="array" ref="AE725">LOOKUP(2,1/($AB$2:$AB$1000=AB725),$AD$2:$AD$1000)</f>
        <v/>
      </c>
      <c r="AO725" s="33" t="str" cm="1">
        <f t="array" ref="AO725">IFERROR(INDEX($AA$2:$AA$282,MATCH(0,COUNTIF('Paste Here'!$AK$1:AK724,$AA$2:$AA$282),0)),"")</f>
        <v/>
      </c>
      <c r="AP725" s="33" t="str">
        <f>IF(COUNTIF('Paste Here'!$AK$2:AK725,'Paste Here'!AK725)=1,VALUE('Paste Here'!AK725),"")</f>
        <v/>
      </c>
    </row>
    <row r="726" spans="1:42" x14ac:dyDescent="0.3">
      <c r="A726"/>
      <c r="B726"/>
      <c r="C726"/>
      <c r="D726" s="4"/>
      <c r="E726"/>
      <c r="F726"/>
      <c r="G726"/>
      <c r="H726"/>
      <c r="AA726" s="33" t="str">
        <f t="shared" si="34"/>
        <v/>
      </c>
      <c r="AC726" s="33">
        <f t="shared" si="33"/>
        <v>1048540</v>
      </c>
      <c r="AD726" s="33" t="str">
        <f t="shared" si="35"/>
        <v/>
      </c>
      <c r="AE726" s="33" t="str" cm="1">
        <f t="array" ref="AE726">LOOKUP(2,1/($AB$2:$AB$1000=AB726),$AD$2:$AD$1000)</f>
        <v/>
      </c>
      <c r="AO726" s="33" t="str" cm="1">
        <f t="array" ref="AO726">IFERROR(INDEX($AA$2:$AA$282,MATCH(0,COUNTIF('Paste Here'!$AK$1:AK725,$AA$2:$AA$282),0)),"")</f>
        <v/>
      </c>
      <c r="AP726" s="33" t="str">
        <f>IF(COUNTIF('Paste Here'!$AK$2:AK726,'Paste Here'!AK726)=1,VALUE('Paste Here'!AK726),"")</f>
        <v/>
      </c>
    </row>
    <row r="727" spans="1:42" x14ac:dyDescent="0.3">
      <c r="A727"/>
      <c r="B727"/>
      <c r="C727"/>
      <c r="D727" s="4"/>
      <c r="E727"/>
      <c r="F727"/>
      <c r="G727"/>
      <c r="H727"/>
      <c r="AA727" s="33" t="str">
        <f t="shared" si="34"/>
        <v/>
      </c>
      <c r="AC727" s="33">
        <f t="shared" si="33"/>
        <v>1048540</v>
      </c>
      <c r="AD727" s="33" t="str">
        <f t="shared" si="35"/>
        <v/>
      </c>
      <c r="AE727" s="33" t="str" cm="1">
        <f t="array" ref="AE727">LOOKUP(2,1/($AB$2:$AB$1000=AB727),$AD$2:$AD$1000)</f>
        <v/>
      </c>
      <c r="AO727" s="33" t="str" cm="1">
        <f t="array" ref="AO727">IFERROR(INDEX($AA$2:$AA$282,MATCH(0,COUNTIF('Paste Here'!$AK$1:AK726,$AA$2:$AA$282),0)),"")</f>
        <v/>
      </c>
      <c r="AP727" s="33" t="str">
        <f>IF(COUNTIF('Paste Here'!$AK$2:AK727,'Paste Here'!AK727)=1,VALUE('Paste Here'!AK727),"")</f>
        <v/>
      </c>
    </row>
    <row r="728" spans="1:42" x14ac:dyDescent="0.3">
      <c r="A728"/>
      <c r="B728"/>
      <c r="C728"/>
      <c r="D728" s="4"/>
      <c r="E728"/>
      <c r="F728"/>
      <c r="G728"/>
      <c r="H728"/>
      <c r="AA728" s="33" t="str">
        <f t="shared" si="34"/>
        <v/>
      </c>
      <c r="AC728" s="33">
        <f t="shared" si="33"/>
        <v>1048540</v>
      </c>
      <c r="AD728" s="33" t="str">
        <f t="shared" si="35"/>
        <v/>
      </c>
      <c r="AE728" s="33" t="str" cm="1">
        <f t="array" ref="AE728">LOOKUP(2,1/($AB$2:$AB$1000=AB728),$AD$2:$AD$1000)</f>
        <v/>
      </c>
      <c r="AO728" s="33" t="str" cm="1">
        <f t="array" ref="AO728">IFERROR(INDEX($AA$2:$AA$282,MATCH(0,COUNTIF('Paste Here'!$AK$1:AK727,$AA$2:$AA$282),0)),"")</f>
        <v/>
      </c>
      <c r="AP728" s="33" t="str">
        <f>IF(COUNTIF('Paste Here'!$AK$2:AK728,'Paste Here'!AK728)=1,VALUE('Paste Here'!AK728),"")</f>
        <v/>
      </c>
    </row>
    <row r="729" spans="1:42" x14ac:dyDescent="0.3">
      <c r="A729"/>
      <c r="B729"/>
      <c r="C729"/>
      <c r="D729" s="4"/>
      <c r="E729"/>
      <c r="F729"/>
      <c r="G729"/>
      <c r="H729"/>
      <c r="AA729" s="33" t="str">
        <f t="shared" si="34"/>
        <v/>
      </c>
      <c r="AC729" s="33">
        <f t="shared" si="33"/>
        <v>1048540</v>
      </c>
      <c r="AD729" s="33" t="str">
        <f t="shared" si="35"/>
        <v/>
      </c>
      <c r="AE729" s="33" t="str" cm="1">
        <f t="array" ref="AE729">LOOKUP(2,1/($AB$2:$AB$1000=AB729),$AD$2:$AD$1000)</f>
        <v/>
      </c>
      <c r="AO729" s="33" t="str" cm="1">
        <f t="array" ref="AO729">IFERROR(INDEX($AA$2:$AA$282,MATCH(0,COUNTIF('Paste Here'!$AK$1:AK728,$AA$2:$AA$282),0)),"")</f>
        <v/>
      </c>
      <c r="AP729" s="33" t="str">
        <f>IF(COUNTIF('Paste Here'!$AK$2:AK729,'Paste Here'!AK729)=1,VALUE('Paste Here'!AK729),"")</f>
        <v/>
      </c>
    </row>
    <row r="730" spans="1:42" x14ac:dyDescent="0.3">
      <c r="A730"/>
      <c r="B730"/>
      <c r="C730"/>
      <c r="D730" s="4"/>
      <c r="E730"/>
      <c r="F730"/>
      <c r="G730"/>
      <c r="H730"/>
      <c r="AA730" s="33" t="str">
        <f t="shared" si="34"/>
        <v/>
      </c>
      <c r="AC730" s="33">
        <f t="shared" si="33"/>
        <v>1048540</v>
      </c>
      <c r="AD730" s="33" t="str">
        <f t="shared" si="35"/>
        <v/>
      </c>
      <c r="AE730" s="33" t="str" cm="1">
        <f t="array" ref="AE730">LOOKUP(2,1/($AB$2:$AB$1000=AB730),$AD$2:$AD$1000)</f>
        <v/>
      </c>
      <c r="AO730" s="33" t="str" cm="1">
        <f t="array" ref="AO730">IFERROR(INDEX($AA$2:$AA$282,MATCH(0,COUNTIF('Paste Here'!$AK$1:AK729,$AA$2:$AA$282),0)),"")</f>
        <v/>
      </c>
      <c r="AP730" s="33" t="str">
        <f>IF(COUNTIF('Paste Here'!$AK$2:AK730,'Paste Here'!AK730)=1,VALUE('Paste Here'!AK730),"")</f>
        <v/>
      </c>
    </row>
    <row r="731" spans="1:42" x14ac:dyDescent="0.3">
      <c r="A731"/>
      <c r="B731"/>
      <c r="C731"/>
      <c r="D731" s="4"/>
      <c r="E731"/>
      <c r="F731"/>
      <c r="G731"/>
      <c r="H731"/>
      <c r="AA731" s="33" t="str">
        <f t="shared" si="34"/>
        <v/>
      </c>
      <c r="AC731" s="33">
        <f t="shared" si="33"/>
        <v>1048540</v>
      </c>
      <c r="AD731" s="33" t="str">
        <f t="shared" si="35"/>
        <v/>
      </c>
      <c r="AE731" s="33" t="str" cm="1">
        <f t="array" ref="AE731">LOOKUP(2,1/($AB$2:$AB$1000=AB731),$AD$2:$AD$1000)</f>
        <v/>
      </c>
      <c r="AO731" s="33" t="str" cm="1">
        <f t="array" ref="AO731">IFERROR(INDEX($AA$2:$AA$282,MATCH(0,COUNTIF('Paste Here'!$AK$1:AK730,$AA$2:$AA$282),0)),"")</f>
        <v/>
      </c>
      <c r="AP731" s="33" t="str">
        <f>IF(COUNTIF('Paste Here'!$AK$2:AK731,'Paste Here'!AK731)=1,VALUE('Paste Here'!AK731),"")</f>
        <v/>
      </c>
    </row>
    <row r="732" spans="1:42" x14ac:dyDescent="0.3">
      <c r="A732"/>
      <c r="B732"/>
      <c r="C732"/>
      <c r="D732" s="4"/>
      <c r="E732"/>
      <c r="F732"/>
      <c r="G732"/>
      <c r="H732"/>
      <c r="AA732" s="33" t="str">
        <f t="shared" si="34"/>
        <v/>
      </c>
      <c r="AC732" s="33">
        <f t="shared" si="33"/>
        <v>1048540</v>
      </c>
      <c r="AD732" s="33" t="str">
        <f t="shared" si="35"/>
        <v/>
      </c>
      <c r="AE732" s="33" t="str" cm="1">
        <f t="array" ref="AE732">LOOKUP(2,1/($AB$2:$AB$1000=AB732),$AD$2:$AD$1000)</f>
        <v/>
      </c>
      <c r="AO732" s="33" t="str" cm="1">
        <f t="array" ref="AO732">IFERROR(INDEX($AA$2:$AA$282,MATCH(0,COUNTIF('Paste Here'!$AK$1:AK731,$AA$2:$AA$282),0)),"")</f>
        <v/>
      </c>
      <c r="AP732" s="33" t="str">
        <f>IF(COUNTIF('Paste Here'!$AK$2:AK732,'Paste Here'!AK732)=1,VALUE('Paste Here'!AK732),"")</f>
        <v/>
      </c>
    </row>
    <row r="733" spans="1:42" x14ac:dyDescent="0.3">
      <c r="A733"/>
      <c r="B733"/>
      <c r="C733"/>
      <c r="D733" s="4"/>
      <c r="E733"/>
      <c r="F733"/>
      <c r="G733"/>
      <c r="H733"/>
      <c r="AA733" s="33" t="str">
        <f t="shared" si="34"/>
        <v/>
      </c>
      <c r="AC733" s="33">
        <f t="shared" si="33"/>
        <v>1048540</v>
      </c>
      <c r="AD733" s="33" t="str">
        <f t="shared" si="35"/>
        <v/>
      </c>
      <c r="AE733" s="33" t="str" cm="1">
        <f t="array" ref="AE733">LOOKUP(2,1/($AB$2:$AB$1000=AB733),$AD$2:$AD$1000)</f>
        <v/>
      </c>
      <c r="AO733" s="33" t="str" cm="1">
        <f t="array" ref="AO733">IFERROR(INDEX($AA$2:$AA$282,MATCH(0,COUNTIF('Paste Here'!$AK$1:AK732,$AA$2:$AA$282),0)),"")</f>
        <v/>
      </c>
      <c r="AP733" s="33" t="str">
        <f>IF(COUNTIF('Paste Here'!$AK$2:AK733,'Paste Here'!AK733)=1,VALUE('Paste Here'!AK733),"")</f>
        <v/>
      </c>
    </row>
    <row r="734" spans="1:42" x14ac:dyDescent="0.3">
      <c r="A734"/>
      <c r="B734"/>
      <c r="C734"/>
      <c r="D734" s="4"/>
      <c r="E734"/>
      <c r="F734"/>
      <c r="G734"/>
      <c r="H734"/>
      <c r="AA734" s="33" t="str">
        <f t="shared" si="34"/>
        <v/>
      </c>
      <c r="AC734" s="33">
        <f t="shared" si="33"/>
        <v>1048540</v>
      </c>
      <c r="AD734" s="33" t="str">
        <f t="shared" si="35"/>
        <v/>
      </c>
      <c r="AE734" s="33" t="str" cm="1">
        <f t="array" ref="AE734">LOOKUP(2,1/($AB$2:$AB$1000=AB734),$AD$2:$AD$1000)</f>
        <v/>
      </c>
      <c r="AO734" s="33" t="str" cm="1">
        <f t="array" ref="AO734">IFERROR(INDEX($AA$2:$AA$282,MATCH(0,COUNTIF('Paste Here'!$AK$1:AK733,$AA$2:$AA$282),0)),"")</f>
        <v/>
      </c>
      <c r="AP734" s="33" t="str">
        <f>IF(COUNTIF('Paste Here'!$AK$2:AK734,'Paste Here'!AK734)=1,VALUE('Paste Here'!AK734),"")</f>
        <v/>
      </c>
    </row>
    <row r="735" spans="1:42" x14ac:dyDescent="0.3">
      <c r="A735"/>
      <c r="B735"/>
      <c r="C735"/>
      <c r="D735" s="4"/>
      <c r="E735"/>
      <c r="F735"/>
      <c r="G735"/>
      <c r="H735"/>
      <c r="AA735" s="33" t="str">
        <f t="shared" si="34"/>
        <v/>
      </c>
      <c r="AC735" s="33">
        <f t="shared" si="33"/>
        <v>1048540</v>
      </c>
      <c r="AD735" s="33" t="str">
        <f t="shared" si="35"/>
        <v/>
      </c>
      <c r="AE735" s="33" t="str" cm="1">
        <f t="array" ref="AE735">LOOKUP(2,1/($AB$2:$AB$1000=AB735),$AD$2:$AD$1000)</f>
        <v/>
      </c>
      <c r="AO735" s="33" t="str" cm="1">
        <f t="array" ref="AO735">IFERROR(INDEX($AA$2:$AA$282,MATCH(0,COUNTIF('Paste Here'!$AK$1:AK734,$AA$2:$AA$282),0)),"")</f>
        <v/>
      </c>
      <c r="AP735" s="33" t="str">
        <f>IF(COUNTIF('Paste Here'!$AK$2:AK735,'Paste Here'!AK735)=1,VALUE('Paste Here'!AK735),"")</f>
        <v/>
      </c>
    </row>
    <row r="736" spans="1:42" x14ac:dyDescent="0.3">
      <c r="A736"/>
      <c r="B736"/>
      <c r="C736"/>
      <c r="D736" s="4"/>
      <c r="E736"/>
      <c r="F736"/>
      <c r="G736"/>
      <c r="H736"/>
      <c r="AA736" s="33" t="str">
        <f t="shared" si="34"/>
        <v/>
      </c>
      <c r="AC736" s="33">
        <f t="shared" si="33"/>
        <v>1048540</v>
      </c>
      <c r="AD736" s="33" t="str">
        <f t="shared" si="35"/>
        <v/>
      </c>
      <c r="AE736" s="33" t="str" cm="1">
        <f t="array" ref="AE736">LOOKUP(2,1/($AB$2:$AB$1000=AB736),$AD$2:$AD$1000)</f>
        <v/>
      </c>
      <c r="AO736" s="33" t="str" cm="1">
        <f t="array" ref="AO736">IFERROR(INDEX($AA$2:$AA$282,MATCH(0,COUNTIF('Paste Here'!$AK$1:AK735,$AA$2:$AA$282),0)),"")</f>
        <v/>
      </c>
      <c r="AP736" s="33" t="str">
        <f>IF(COUNTIF('Paste Here'!$AK$2:AK736,'Paste Here'!AK736)=1,VALUE('Paste Here'!AK736),"")</f>
        <v/>
      </c>
    </row>
    <row r="737" spans="1:42" x14ac:dyDescent="0.3">
      <c r="A737"/>
      <c r="B737"/>
      <c r="C737"/>
      <c r="D737" s="4"/>
      <c r="E737"/>
      <c r="F737"/>
      <c r="G737"/>
      <c r="H737"/>
      <c r="AA737" s="33" t="str">
        <f t="shared" si="34"/>
        <v/>
      </c>
      <c r="AC737" s="33">
        <f t="shared" si="33"/>
        <v>1048540</v>
      </c>
      <c r="AD737" s="33" t="str">
        <f t="shared" si="35"/>
        <v/>
      </c>
      <c r="AE737" s="33" t="str" cm="1">
        <f t="array" ref="AE737">LOOKUP(2,1/($AB$2:$AB$1000=AB737),$AD$2:$AD$1000)</f>
        <v/>
      </c>
      <c r="AO737" s="33" t="str" cm="1">
        <f t="array" ref="AO737">IFERROR(INDEX($AA$2:$AA$282,MATCH(0,COUNTIF('Paste Here'!$AK$1:AK736,$AA$2:$AA$282),0)),"")</f>
        <v/>
      </c>
      <c r="AP737" s="33" t="str">
        <f>IF(COUNTIF('Paste Here'!$AK$2:AK737,'Paste Here'!AK737)=1,VALUE('Paste Here'!AK737),"")</f>
        <v/>
      </c>
    </row>
    <row r="738" spans="1:42" x14ac:dyDescent="0.3">
      <c r="A738"/>
      <c r="B738"/>
      <c r="C738"/>
      <c r="D738" s="4"/>
      <c r="E738"/>
      <c r="F738"/>
      <c r="G738"/>
      <c r="H738"/>
      <c r="AA738" s="33" t="str">
        <f t="shared" si="34"/>
        <v/>
      </c>
      <c r="AC738" s="33">
        <f t="shared" si="33"/>
        <v>1048540</v>
      </c>
      <c r="AD738" s="33" t="str">
        <f t="shared" si="35"/>
        <v/>
      </c>
      <c r="AE738" s="33" t="str" cm="1">
        <f t="array" ref="AE738">LOOKUP(2,1/($AB$2:$AB$1000=AB738),$AD$2:$AD$1000)</f>
        <v/>
      </c>
      <c r="AO738" s="33" t="str" cm="1">
        <f t="array" ref="AO738">IFERROR(INDEX($AA$2:$AA$282,MATCH(0,COUNTIF('Paste Here'!$AK$1:AK737,$AA$2:$AA$282),0)),"")</f>
        <v/>
      </c>
      <c r="AP738" s="33" t="str">
        <f>IF(COUNTIF('Paste Here'!$AK$2:AK738,'Paste Here'!AK738)=1,VALUE('Paste Here'!AK738),"")</f>
        <v/>
      </c>
    </row>
    <row r="739" spans="1:42" x14ac:dyDescent="0.3">
      <c r="A739"/>
      <c r="B739"/>
      <c r="C739"/>
      <c r="D739" s="4"/>
      <c r="E739"/>
      <c r="F739"/>
      <c r="G739"/>
      <c r="H739"/>
      <c r="AA739" s="33" t="str">
        <f t="shared" si="34"/>
        <v/>
      </c>
      <c r="AC739" s="33">
        <f t="shared" si="33"/>
        <v>1048540</v>
      </c>
      <c r="AD739" s="33" t="str">
        <f t="shared" si="35"/>
        <v/>
      </c>
      <c r="AE739" s="33" t="str" cm="1">
        <f t="array" ref="AE739">LOOKUP(2,1/($AB$2:$AB$1000=AB739),$AD$2:$AD$1000)</f>
        <v/>
      </c>
      <c r="AO739" s="33" t="str" cm="1">
        <f t="array" ref="AO739">IFERROR(INDEX($AA$2:$AA$282,MATCH(0,COUNTIF('Paste Here'!$AK$1:AK738,$AA$2:$AA$282),0)),"")</f>
        <v/>
      </c>
      <c r="AP739" s="33" t="str">
        <f>IF(COUNTIF('Paste Here'!$AK$2:AK739,'Paste Here'!AK739)=1,VALUE('Paste Here'!AK739),"")</f>
        <v/>
      </c>
    </row>
    <row r="740" spans="1:42" x14ac:dyDescent="0.3">
      <c r="A740" s="2"/>
      <c r="B740" s="2"/>
      <c r="C740" s="2"/>
      <c r="D740" s="3"/>
      <c r="E740" s="2"/>
      <c r="F740" s="2"/>
      <c r="G740" s="2"/>
      <c r="H740" s="2"/>
      <c r="AA740" s="33" t="str">
        <f t="shared" si="34"/>
        <v/>
      </c>
      <c r="AC740" s="33">
        <f t="shared" si="33"/>
        <v>1048540</v>
      </c>
      <c r="AD740" s="33" t="str">
        <f t="shared" si="35"/>
        <v/>
      </c>
      <c r="AE740" s="33" t="str" cm="1">
        <f t="array" ref="AE740">LOOKUP(2,1/($AB$2:$AB$1000=AB740),$AD$2:$AD$1000)</f>
        <v/>
      </c>
      <c r="AO740" s="33" t="str" cm="1">
        <f t="array" ref="AO740">IFERROR(INDEX($AA$2:$AA$282,MATCH(0,COUNTIF('Paste Here'!$AK$1:AK739,$AA$2:$AA$282),0)),"")</f>
        <v/>
      </c>
      <c r="AP740" s="33" t="str">
        <f>IF(COUNTIF('Paste Here'!$AK$2:AK740,'Paste Here'!AK740)=1,VALUE('Paste Here'!AK740),"")</f>
        <v/>
      </c>
    </row>
    <row r="741" spans="1:42" x14ac:dyDescent="0.3">
      <c r="A741" s="2"/>
      <c r="B741" s="2"/>
      <c r="C741" s="2"/>
      <c r="D741" s="3"/>
      <c r="E741" s="2"/>
      <c r="F741" s="2"/>
      <c r="G741" s="2"/>
      <c r="H741" s="2"/>
      <c r="AA741" s="33" t="str">
        <f t="shared" si="34"/>
        <v/>
      </c>
      <c r="AC741" s="33">
        <f t="shared" si="33"/>
        <v>1048540</v>
      </c>
      <c r="AD741" s="33" t="str">
        <f t="shared" si="35"/>
        <v/>
      </c>
      <c r="AE741" s="33" t="str" cm="1">
        <f t="array" ref="AE741">LOOKUP(2,1/($AB$2:$AB$1000=AB741),$AD$2:$AD$1000)</f>
        <v/>
      </c>
      <c r="AO741" s="33" t="str" cm="1">
        <f t="array" ref="AO741">IFERROR(INDEX($AA$2:$AA$282,MATCH(0,COUNTIF('Paste Here'!$AK$1:AK740,$AA$2:$AA$282),0)),"")</f>
        <v/>
      </c>
      <c r="AP741" s="33" t="str">
        <f>IF(COUNTIF('Paste Here'!$AK$2:AK741,'Paste Here'!AK741)=1,VALUE('Paste Here'!AK741),"")</f>
        <v/>
      </c>
    </row>
    <row r="742" spans="1:42" x14ac:dyDescent="0.3">
      <c r="A742" s="2"/>
      <c r="B742" s="2"/>
      <c r="C742" s="2"/>
      <c r="D742" s="3"/>
      <c r="E742" s="2"/>
      <c r="F742" s="2"/>
      <c r="G742" s="2"/>
      <c r="H742" s="2"/>
      <c r="AA742" s="33" t="str">
        <f t="shared" si="34"/>
        <v/>
      </c>
      <c r="AC742" s="33">
        <f t="shared" si="33"/>
        <v>1048540</v>
      </c>
      <c r="AD742" s="33" t="str">
        <f t="shared" si="35"/>
        <v/>
      </c>
      <c r="AE742" s="33" t="str" cm="1">
        <f t="array" ref="AE742">LOOKUP(2,1/($AB$2:$AB$1000=AB742),$AD$2:$AD$1000)</f>
        <v/>
      </c>
      <c r="AO742" s="33" t="str" cm="1">
        <f t="array" ref="AO742">IFERROR(INDEX($AA$2:$AA$282,MATCH(0,COUNTIF('Paste Here'!$AK$1:AK741,$AA$2:$AA$282),0)),"")</f>
        <v/>
      </c>
      <c r="AP742" s="33" t="str">
        <f>IF(COUNTIF('Paste Here'!$AK$2:AK742,'Paste Here'!AK742)=1,VALUE('Paste Here'!AK742),"")</f>
        <v/>
      </c>
    </row>
    <row r="743" spans="1:42" x14ac:dyDescent="0.3">
      <c r="A743" s="2"/>
      <c r="B743" s="2"/>
      <c r="C743" s="2"/>
      <c r="D743" s="3"/>
      <c r="E743" s="2"/>
      <c r="F743" s="2"/>
      <c r="G743" s="2"/>
      <c r="H743" s="2"/>
      <c r="AA743" s="33" t="str">
        <f t="shared" si="34"/>
        <v/>
      </c>
      <c r="AC743" s="33">
        <f t="shared" si="33"/>
        <v>1048540</v>
      </c>
      <c r="AD743" s="33" t="str">
        <f t="shared" si="35"/>
        <v/>
      </c>
      <c r="AE743" s="33" t="str" cm="1">
        <f t="array" ref="AE743">LOOKUP(2,1/($AB$2:$AB$1000=AB743),$AD$2:$AD$1000)</f>
        <v/>
      </c>
      <c r="AO743" s="33" t="str" cm="1">
        <f t="array" ref="AO743">IFERROR(INDEX($AA$2:$AA$282,MATCH(0,COUNTIF('Paste Here'!$AK$1:AK742,$AA$2:$AA$282),0)),"")</f>
        <v/>
      </c>
      <c r="AP743" s="33" t="str">
        <f>IF(COUNTIF('Paste Here'!$AK$2:AK743,'Paste Here'!AK743)=1,VALUE('Paste Here'!AK743),"")</f>
        <v/>
      </c>
    </row>
    <row r="744" spans="1:42" x14ac:dyDescent="0.3">
      <c r="A744" s="2"/>
      <c r="B744" s="2"/>
      <c r="C744" s="2"/>
      <c r="D744" s="3"/>
      <c r="E744" s="2"/>
      <c r="F744" s="2"/>
      <c r="G744" s="2"/>
      <c r="H744" s="2"/>
      <c r="AA744" s="33" t="str">
        <f t="shared" si="34"/>
        <v/>
      </c>
      <c r="AC744" s="33">
        <f t="shared" si="33"/>
        <v>1048540</v>
      </c>
      <c r="AD744" s="33" t="str">
        <f t="shared" si="35"/>
        <v/>
      </c>
      <c r="AE744" s="33" t="str" cm="1">
        <f t="array" ref="AE744">LOOKUP(2,1/($AB$2:$AB$1000=AB744),$AD$2:$AD$1000)</f>
        <v/>
      </c>
      <c r="AO744" s="33" t="str" cm="1">
        <f t="array" ref="AO744">IFERROR(INDEX($AA$2:$AA$282,MATCH(0,COUNTIF('Paste Here'!$AK$1:AK743,$AA$2:$AA$282),0)),"")</f>
        <v/>
      </c>
      <c r="AP744" s="33" t="str">
        <f>IF(COUNTIF('Paste Here'!$AK$2:AK744,'Paste Here'!AK744)=1,VALUE('Paste Here'!AK744),"")</f>
        <v/>
      </c>
    </row>
    <row r="745" spans="1:42" x14ac:dyDescent="0.3">
      <c r="A745" s="2"/>
      <c r="B745" s="2"/>
      <c r="C745" s="2"/>
      <c r="D745" s="3"/>
      <c r="E745" s="2"/>
      <c r="F745" s="2"/>
      <c r="G745" s="2"/>
      <c r="H745" s="2"/>
      <c r="AA745" s="33" t="str">
        <f t="shared" si="34"/>
        <v/>
      </c>
      <c r="AC745" s="33">
        <f t="shared" si="33"/>
        <v>1048540</v>
      </c>
      <c r="AD745" s="33" t="str">
        <f t="shared" si="35"/>
        <v/>
      </c>
      <c r="AE745" s="33" t="str" cm="1">
        <f t="array" ref="AE745">LOOKUP(2,1/($AB$2:$AB$1000=AB745),$AD$2:$AD$1000)</f>
        <v/>
      </c>
      <c r="AO745" s="33" t="str" cm="1">
        <f t="array" ref="AO745">IFERROR(INDEX($AA$2:$AA$282,MATCH(0,COUNTIF('Paste Here'!$AK$1:AK744,$AA$2:$AA$282),0)),"")</f>
        <v/>
      </c>
      <c r="AP745" s="33" t="str">
        <f>IF(COUNTIF('Paste Here'!$AK$2:AK745,'Paste Here'!AK745)=1,VALUE('Paste Here'!AK745),"")</f>
        <v/>
      </c>
    </row>
    <row r="746" spans="1:42" x14ac:dyDescent="0.3">
      <c r="A746" s="2"/>
      <c r="B746" s="2"/>
      <c r="C746" s="2"/>
      <c r="D746" s="3"/>
      <c r="E746" s="2"/>
      <c r="F746" s="2"/>
      <c r="G746" s="2"/>
      <c r="H746" s="2"/>
      <c r="AA746" s="33" t="str">
        <f t="shared" si="34"/>
        <v/>
      </c>
      <c r="AC746" s="33">
        <f t="shared" si="33"/>
        <v>1048540</v>
      </c>
      <c r="AD746" s="33" t="str">
        <f t="shared" si="35"/>
        <v/>
      </c>
      <c r="AE746" s="33" t="str" cm="1">
        <f t="array" ref="AE746">LOOKUP(2,1/($AB$2:$AB$1000=AB746),$AD$2:$AD$1000)</f>
        <v/>
      </c>
      <c r="AO746" s="33" t="str" cm="1">
        <f t="array" ref="AO746">IFERROR(INDEX($AA$2:$AA$282,MATCH(0,COUNTIF('Paste Here'!$AK$1:AK745,$AA$2:$AA$282),0)),"")</f>
        <v/>
      </c>
      <c r="AP746" s="33" t="str">
        <f>IF(COUNTIF('Paste Here'!$AK$2:AK746,'Paste Here'!AK746)=1,VALUE('Paste Here'!AK746),"")</f>
        <v/>
      </c>
    </row>
    <row r="747" spans="1:42" x14ac:dyDescent="0.3">
      <c r="A747" s="2"/>
      <c r="B747" s="2"/>
      <c r="C747" s="2"/>
      <c r="D747" s="3"/>
      <c r="E747" s="2"/>
      <c r="F747" s="2"/>
      <c r="G747" s="2"/>
      <c r="H747" s="2"/>
      <c r="AA747" s="33" t="str">
        <f t="shared" si="34"/>
        <v/>
      </c>
      <c r="AC747" s="33">
        <f t="shared" si="33"/>
        <v>1048540</v>
      </c>
      <c r="AD747" s="33" t="str">
        <f t="shared" si="35"/>
        <v/>
      </c>
      <c r="AE747" s="33" t="str" cm="1">
        <f t="array" ref="AE747">LOOKUP(2,1/($AB$2:$AB$1000=AB747),$AD$2:$AD$1000)</f>
        <v/>
      </c>
      <c r="AO747" s="33" t="str" cm="1">
        <f t="array" ref="AO747">IFERROR(INDEX($AA$2:$AA$282,MATCH(0,COUNTIF('Paste Here'!$AK$1:AK746,$AA$2:$AA$282),0)),"")</f>
        <v/>
      </c>
      <c r="AP747" s="33" t="str">
        <f>IF(COUNTIF('Paste Here'!$AK$2:AK747,'Paste Here'!AK747)=1,VALUE('Paste Here'!AK747),"")</f>
        <v/>
      </c>
    </row>
    <row r="748" spans="1:42" x14ac:dyDescent="0.3">
      <c r="A748" s="2"/>
      <c r="B748" s="2"/>
      <c r="C748" s="2"/>
      <c r="D748" s="3"/>
      <c r="E748" s="2"/>
      <c r="F748" s="2"/>
      <c r="G748" s="2"/>
      <c r="H748" s="2"/>
      <c r="AA748" s="33" t="str">
        <f t="shared" si="34"/>
        <v/>
      </c>
      <c r="AC748" s="33">
        <f t="shared" si="33"/>
        <v>1048540</v>
      </c>
      <c r="AD748" s="33" t="str">
        <f t="shared" si="35"/>
        <v/>
      </c>
      <c r="AE748" s="33" t="str" cm="1">
        <f t="array" ref="AE748">LOOKUP(2,1/($AB$2:$AB$1000=AB748),$AD$2:$AD$1000)</f>
        <v/>
      </c>
      <c r="AO748" s="33" t="str" cm="1">
        <f t="array" ref="AO748">IFERROR(INDEX($AA$2:$AA$282,MATCH(0,COUNTIF('Paste Here'!$AK$1:AK747,$AA$2:$AA$282),0)),"")</f>
        <v/>
      </c>
      <c r="AP748" s="33" t="str">
        <f>IF(COUNTIF('Paste Here'!$AK$2:AK748,'Paste Here'!AK748)=1,VALUE('Paste Here'!AK748),"")</f>
        <v/>
      </c>
    </row>
    <row r="749" spans="1:42" x14ac:dyDescent="0.3">
      <c r="A749" s="2"/>
      <c r="B749" s="2"/>
      <c r="C749" s="2"/>
      <c r="D749" s="3"/>
      <c r="E749" s="2"/>
      <c r="F749" s="2"/>
      <c r="G749" s="2"/>
      <c r="H749" s="2"/>
      <c r="AA749" s="33" t="str">
        <f t="shared" si="34"/>
        <v/>
      </c>
      <c r="AC749" s="33">
        <f t="shared" si="33"/>
        <v>1048540</v>
      </c>
      <c r="AD749" s="33" t="str">
        <f t="shared" si="35"/>
        <v/>
      </c>
      <c r="AE749" s="33" t="str" cm="1">
        <f t="array" ref="AE749">LOOKUP(2,1/($AB$2:$AB$1000=AB749),$AD$2:$AD$1000)</f>
        <v/>
      </c>
      <c r="AO749" s="33" t="str" cm="1">
        <f t="array" ref="AO749">IFERROR(INDEX($AA$2:$AA$282,MATCH(0,COUNTIF('Paste Here'!$AK$1:AK748,$AA$2:$AA$282),0)),"")</f>
        <v/>
      </c>
      <c r="AP749" s="33" t="str">
        <f>IF(COUNTIF('Paste Here'!$AK$2:AK749,'Paste Here'!AK749)=1,VALUE('Paste Here'!AK749),"")</f>
        <v/>
      </c>
    </row>
    <row r="750" spans="1:42" x14ac:dyDescent="0.3">
      <c r="A750" s="2"/>
      <c r="B750" s="2"/>
      <c r="C750" s="2"/>
      <c r="D750" s="3"/>
      <c r="E750" s="2"/>
      <c r="F750" s="2"/>
      <c r="G750" s="2"/>
      <c r="H750" s="2"/>
      <c r="AA750" s="33" t="str">
        <f t="shared" si="34"/>
        <v/>
      </c>
      <c r="AC750" s="33">
        <f t="shared" si="33"/>
        <v>1048540</v>
      </c>
      <c r="AD750" s="33" t="str">
        <f t="shared" si="35"/>
        <v/>
      </c>
      <c r="AE750" s="33" t="str" cm="1">
        <f t="array" ref="AE750">LOOKUP(2,1/($AB$2:$AB$1000=AB750),$AD$2:$AD$1000)</f>
        <v/>
      </c>
      <c r="AO750" s="33" t="str" cm="1">
        <f t="array" ref="AO750">IFERROR(INDEX($AA$2:$AA$282,MATCH(0,COUNTIF('Paste Here'!$AK$1:AK749,$AA$2:$AA$282),0)),"")</f>
        <v/>
      </c>
      <c r="AP750" s="33" t="str">
        <f>IF(COUNTIF('Paste Here'!$AK$2:AK750,'Paste Here'!AK750)=1,VALUE('Paste Here'!AK750),"")</f>
        <v/>
      </c>
    </row>
    <row r="751" spans="1:42" x14ac:dyDescent="0.3">
      <c r="A751" s="2"/>
      <c r="B751" s="2"/>
      <c r="C751" s="2"/>
      <c r="D751" s="3"/>
      <c r="E751" s="2"/>
      <c r="F751" s="2"/>
      <c r="G751" s="2"/>
      <c r="H751" s="2"/>
      <c r="AA751" s="33" t="str">
        <f t="shared" si="34"/>
        <v/>
      </c>
      <c r="AC751" s="33">
        <f t="shared" si="33"/>
        <v>1048540</v>
      </c>
      <c r="AD751" s="33" t="str">
        <f t="shared" si="35"/>
        <v/>
      </c>
      <c r="AE751" s="33" t="str" cm="1">
        <f t="array" ref="AE751">LOOKUP(2,1/($AB$2:$AB$1000=AB751),$AD$2:$AD$1000)</f>
        <v/>
      </c>
      <c r="AO751" s="33" t="str" cm="1">
        <f t="array" ref="AO751">IFERROR(INDEX($AA$2:$AA$282,MATCH(0,COUNTIF('Paste Here'!$AK$1:AK750,$AA$2:$AA$282),0)),"")</f>
        <v/>
      </c>
      <c r="AP751" s="33" t="str">
        <f>IF(COUNTIF('Paste Here'!$AK$2:AK751,'Paste Here'!AK751)=1,VALUE('Paste Here'!AK751),"")</f>
        <v/>
      </c>
    </row>
    <row r="752" spans="1:42" x14ac:dyDescent="0.3">
      <c r="A752" s="2"/>
      <c r="B752" s="2"/>
      <c r="C752" s="2"/>
      <c r="D752" s="3"/>
      <c r="E752" s="2"/>
      <c r="F752" s="2"/>
      <c r="G752" s="2"/>
      <c r="H752" s="2"/>
      <c r="AA752" s="33" t="str">
        <f t="shared" si="34"/>
        <v/>
      </c>
      <c r="AC752" s="33">
        <f t="shared" si="33"/>
        <v>1048540</v>
      </c>
      <c r="AD752" s="33" t="str">
        <f t="shared" si="35"/>
        <v/>
      </c>
      <c r="AE752" s="33" t="str" cm="1">
        <f t="array" ref="AE752">LOOKUP(2,1/($AB$2:$AB$1000=AB752),$AD$2:$AD$1000)</f>
        <v/>
      </c>
      <c r="AO752" s="33" t="str" cm="1">
        <f t="array" ref="AO752">IFERROR(INDEX($AA$2:$AA$282,MATCH(0,COUNTIF('Paste Here'!$AK$1:AK751,$AA$2:$AA$282),0)),"")</f>
        <v/>
      </c>
      <c r="AP752" s="33" t="str">
        <f>IF(COUNTIF('Paste Here'!$AK$2:AK752,'Paste Here'!AK752)=1,VALUE('Paste Here'!AK752),"")</f>
        <v/>
      </c>
    </row>
    <row r="753" spans="1:42" x14ac:dyDescent="0.3">
      <c r="A753" s="2"/>
      <c r="B753" s="2"/>
      <c r="C753" s="2"/>
      <c r="D753" s="3"/>
      <c r="E753" s="2"/>
      <c r="F753" s="2"/>
      <c r="G753" s="2"/>
      <c r="H753" s="2"/>
      <c r="AA753" s="33" t="str">
        <f t="shared" si="34"/>
        <v/>
      </c>
      <c r="AC753" s="33">
        <f t="shared" si="33"/>
        <v>1048540</v>
      </c>
      <c r="AD753" s="33" t="str">
        <f t="shared" si="35"/>
        <v/>
      </c>
      <c r="AE753" s="33" t="str" cm="1">
        <f t="array" ref="AE753">LOOKUP(2,1/($AB$2:$AB$1000=AB753),$AD$2:$AD$1000)</f>
        <v/>
      </c>
      <c r="AO753" s="33" t="str" cm="1">
        <f t="array" ref="AO753">IFERROR(INDEX($AA$2:$AA$282,MATCH(0,COUNTIF('Paste Here'!$AK$1:AK752,$AA$2:$AA$282),0)),"")</f>
        <v/>
      </c>
      <c r="AP753" s="33" t="str">
        <f>IF(COUNTIF('Paste Here'!$AK$2:AK753,'Paste Here'!AK753)=1,VALUE('Paste Here'!AK753),"")</f>
        <v/>
      </c>
    </row>
    <row r="754" spans="1:42" x14ac:dyDescent="0.3">
      <c r="A754" s="2"/>
      <c r="B754" s="2"/>
      <c r="C754" s="2"/>
      <c r="D754" s="3"/>
      <c r="E754" s="2"/>
      <c r="F754" s="2"/>
      <c r="G754" s="2"/>
      <c r="H754" s="2"/>
      <c r="AA754" s="33" t="str">
        <f t="shared" si="34"/>
        <v/>
      </c>
      <c r="AC754" s="33">
        <f t="shared" si="33"/>
        <v>1048540</v>
      </c>
      <c r="AD754" s="33" t="str">
        <f t="shared" si="35"/>
        <v/>
      </c>
      <c r="AE754" s="33" t="str" cm="1">
        <f t="array" ref="AE754">LOOKUP(2,1/($AB$2:$AB$1000=AB754),$AD$2:$AD$1000)</f>
        <v/>
      </c>
      <c r="AO754" s="33" t="str" cm="1">
        <f t="array" ref="AO754">IFERROR(INDEX($AA$2:$AA$282,MATCH(0,COUNTIF('Paste Here'!$AK$1:AK753,$AA$2:$AA$282),0)),"")</f>
        <v/>
      </c>
      <c r="AP754" s="33" t="str">
        <f>IF(COUNTIF('Paste Here'!$AK$2:AK754,'Paste Here'!AK754)=1,VALUE('Paste Here'!AK754),"")</f>
        <v/>
      </c>
    </row>
    <row r="755" spans="1:42" x14ac:dyDescent="0.3">
      <c r="A755" s="2"/>
      <c r="B755" s="2"/>
      <c r="C755" s="2"/>
      <c r="D755" s="3"/>
      <c r="E755" s="2"/>
      <c r="F755" s="2"/>
      <c r="G755" s="2"/>
      <c r="H755" s="2"/>
      <c r="AA755" s="33" t="str">
        <f t="shared" si="34"/>
        <v/>
      </c>
      <c r="AC755" s="33">
        <f t="shared" si="33"/>
        <v>1048540</v>
      </c>
      <c r="AD755" s="33" t="str">
        <f t="shared" si="35"/>
        <v/>
      </c>
      <c r="AE755" s="33" t="str" cm="1">
        <f t="array" ref="AE755">LOOKUP(2,1/($AB$2:$AB$1000=AB755),$AD$2:$AD$1000)</f>
        <v/>
      </c>
      <c r="AO755" s="33" t="str" cm="1">
        <f t="array" ref="AO755">IFERROR(INDEX($AA$2:$AA$282,MATCH(0,COUNTIF('Paste Here'!$AK$1:AK754,$AA$2:$AA$282),0)),"")</f>
        <v/>
      </c>
      <c r="AP755" s="33" t="str">
        <f>IF(COUNTIF('Paste Here'!$AK$2:AK755,'Paste Here'!AK755)=1,VALUE('Paste Here'!AK755),"")</f>
        <v/>
      </c>
    </row>
    <row r="756" spans="1:42" x14ac:dyDescent="0.3">
      <c r="A756" s="2"/>
      <c r="B756" s="2"/>
      <c r="C756" s="2"/>
      <c r="D756" s="3"/>
      <c r="E756" s="2"/>
      <c r="F756" s="2"/>
      <c r="G756" s="2"/>
      <c r="H756" s="2"/>
      <c r="AA756" s="33" t="str">
        <f t="shared" si="34"/>
        <v/>
      </c>
      <c r="AC756" s="33">
        <f t="shared" si="33"/>
        <v>1048540</v>
      </c>
      <c r="AD756" s="33" t="str">
        <f t="shared" si="35"/>
        <v/>
      </c>
      <c r="AE756" s="33" t="str" cm="1">
        <f t="array" ref="AE756">LOOKUP(2,1/($AB$2:$AB$1000=AB756),$AD$2:$AD$1000)</f>
        <v/>
      </c>
      <c r="AO756" s="33" t="str" cm="1">
        <f t="array" ref="AO756">IFERROR(INDEX($AA$2:$AA$282,MATCH(0,COUNTIF('Paste Here'!$AK$1:AK755,$AA$2:$AA$282),0)),"")</f>
        <v/>
      </c>
      <c r="AP756" s="33" t="str">
        <f>IF(COUNTIF('Paste Here'!$AK$2:AK756,'Paste Here'!AK756)=1,VALUE('Paste Here'!AK756),"")</f>
        <v/>
      </c>
    </row>
    <row r="757" spans="1:42" x14ac:dyDescent="0.3">
      <c r="A757" s="2"/>
      <c r="B757" s="2"/>
      <c r="C757" s="2"/>
      <c r="D757" s="3"/>
      <c r="E757" s="2"/>
      <c r="F757" s="2"/>
      <c r="G757" s="2"/>
      <c r="H757" s="2"/>
      <c r="AA757" s="33" t="str">
        <f t="shared" si="34"/>
        <v/>
      </c>
      <c r="AC757" s="33">
        <f t="shared" si="33"/>
        <v>1048540</v>
      </c>
      <c r="AD757" s="33" t="str">
        <f t="shared" si="35"/>
        <v/>
      </c>
      <c r="AE757" s="33" t="str" cm="1">
        <f t="array" ref="AE757">LOOKUP(2,1/($AB$2:$AB$1000=AB757),$AD$2:$AD$1000)</f>
        <v/>
      </c>
      <c r="AO757" s="33" t="str" cm="1">
        <f t="array" ref="AO757">IFERROR(INDEX($AA$2:$AA$282,MATCH(0,COUNTIF('Paste Here'!$AK$1:AK756,$AA$2:$AA$282),0)),"")</f>
        <v/>
      </c>
      <c r="AP757" s="33" t="str">
        <f>IF(COUNTIF('Paste Here'!$AK$2:AK757,'Paste Here'!AK757)=1,VALUE('Paste Here'!AK757),"")</f>
        <v/>
      </c>
    </row>
    <row r="758" spans="1:42" x14ac:dyDescent="0.3">
      <c r="A758"/>
      <c r="B758"/>
      <c r="C758"/>
      <c r="D758" s="4"/>
      <c r="E758"/>
      <c r="F758"/>
      <c r="G758"/>
      <c r="H758"/>
      <c r="AA758" s="33" t="str">
        <f t="shared" si="34"/>
        <v/>
      </c>
      <c r="AC758" s="33">
        <f t="shared" si="33"/>
        <v>1048540</v>
      </c>
      <c r="AD758" s="33" t="str">
        <f t="shared" si="35"/>
        <v/>
      </c>
      <c r="AE758" s="33" t="str" cm="1">
        <f t="array" ref="AE758">LOOKUP(2,1/($AB$2:$AB$1000=AB758),$AD$2:$AD$1000)</f>
        <v/>
      </c>
      <c r="AO758" s="33" t="str" cm="1">
        <f t="array" ref="AO758">IFERROR(INDEX($AA$2:$AA$282,MATCH(0,COUNTIF('Paste Here'!$AK$1:AK757,$AA$2:$AA$282),0)),"")</f>
        <v/>
      </c>
      <c r="AP758" s="33" t="str">
        <f>IF(COUNTIF('Paste Here'!$AK$2:AK758,'Paste Here'!AK758)=1,VALUE('Paste Here'!AK758),"")</f>
        <v/>
      </c>
    </row>
    <row r="759" spans="1:42" x14ac:dyDescent="0.3">
      <c r="A759"/>
      <c r="B759"/>
      <c r="C759"/>
      <c r="D759" s="4"/>
      <c r="E759"/>
      <c r="F759"/>
      <c r="G759"/>
      <c r="H759"/>
      <c r="AA759" s="33" t="str">
        <f t="shared" si="34"/>
        <v/>
      </c>
      <c r="AC759" s="33">
        <f t="shared" si="33"/>
        <v>1048540</v>
      </c>
      <c r="AD759" s="33" t="str">
        <f t="shared" si="35"/>
        <v/>
      </c>
      <c r="AE759" s="33" t="str" cm="1">
        <f t="array" ref="AE759">LOOKUP(2,1/($AB$2:$AB$1000=AB759),$AD$2:$AD$1000)</f>
        <v/>
      </c>
      <c r="AO759" s="33" t="str" cm="1">
        <f t="array" ref="AO759">IFERROR(INDEX($AA$2:$AA$282,MATCH(0,COUNTIF('Paste Here'!$AK$1:AK758,$AA$2:$AA$282),0)),"")</f>
        <v/>
      </c>
      <c r="AP759" s="33" t="str">
        <f>IF(COUNTIF('Paste Here'!$AK$2:AK759,'Paste Here'!AK759)=1,VALUE('Paste Here'!AK759),"")</f>
        <v/>
      </c>
    </row>
    <row r="760" spans="1:42" x14ac:dyDescent="0.3">
      <c r="A760"/>
      <c r="B760"/>
      <c r="C760"/>
      <c r="D760" s="4"/>
      <c r="E760"/>
      <c r="F760"/>
      <c r="G760"/>
      <c r="H760"/>
      <c r="AA760" s="33" t="str">
        <f t="shared" si="34"/>
        <v/>
      </c>
      <c r="AC760" s="33">
        <f t="shared" si="33"/>
        <v>1048540</v>
      </c>
      <c r="AD760" s="33" t="str">
        <f t="shared" si="35"/>
        <v/>
      </c>
      <c r="AE760" s="33" t="str" cm="1">
        <f t="array" ref="AE760">LOOKUP(2,1/($AB$2:$AB$1000=AB760),$AD$2:$AD$1000)</f>
        <v/>
      </c>
      <c r="AO760" s="33" t="str" cm="1">
        <f t="array" ref="AO760">IFERROR(INDEX($AA$2:$AA$282,MATCH(0,COUNTIF('Paste Here'!$AK$1:AK759,$AA$2:$AA$282),0)),"")</f>
        <v/>
      </c>
      <c r="AP760" s="33" t="str">
        <f>IF(COUNTIF('Paste Here'!$AK$2:AK760,'Paste Here'!AK760)=1,VALUE('Paste Here'!AK760),"")</f>
        <v/>
      </c>
    </row>
    <row r="761" spans="1:42" x14ac:dyDescent="0.3">
      <c r="A761" s="2"/>
      <c r="B761" s="2"/>
      <c r="C761" s="2"/>
      <c r="D761" s="3"/>
      <c r="E761" s="2"/>
      <c r="F761" s="2"/>
      <c r="G761" s="2"/>
      <c r="H761" s="2"/>
      <c r="AA761" s="33" t="str">
        <f t="shared" si="34"/>
        <v/>
      </c>
      <c r="AC761" s="33">
        <f t="shared" si="33"/>
        <v>1048540</v>
      </c>
      <c r="AD761" s="33" t="str">
        <f t="shared" si="35"/>
        <v/>
      </c>
      <c r="AE761" s="33" t="str" cm="1">
        <f t="array" ref="AE761">LOOKUP(2,1/($AB$2:$AB$1000=AB761),$AD$2:$AD$1000)</f>
        <v/>
      </c>
      <c r="AO761" s="33" t="str" cm="1">
        <f t="array" ref="AO761">IFERROR(INDEX($AA$2:$AA$282,MATCH(0,COUNTIF('Paste Here'!$AK$1:AK760,$AA$2:$AA$282),0)),"")</f>
        <v/>
      </c>
      <c r="AP761" s="33" t="str">
        <f>IF(COUNTIF('Paste Here'!$AK$2:AK761,'Paste Here'!AK761)=1,VALUE('Paste Here'!AK761),"")</f>
        <v/>
      </c>
    </row>
    <row r="762" spans="1:42" x14ac:dyDescent="0.3">
      <c r="A762" s="2"/>
      <c r="B762" s="2"/>
      <c r="C762" s="2"/>
      <c r="D762" s="3"/>
      <c r="E762" s="2"/>
      <c r="F762" s="2"/>
      <c r="G762" s="2"/>
      <c r="H762" s="2"/>
      <c r="AA762" s="33" t="str">
        <f t="shared" si="34"/>
        <v/>
      </c>
      <c r="AC762" s="33">
        <f t="shared" si="33"/>
        <v>1048540</v>
      </c>
      <c r="AD762" s="33" t="str">
        <f t="shared" si="35"/>
        <v/>
      </c>
      <c r="AE762" s="33" t="str" cm="1">
        <f t="array" ref="AE762">LOOKUP(2,1/($AB$2:$AB$1000=AB762),$AD$2:$AD$1000)</f>
        <v/>
      </c>
      <c r="AO762" s="33" t="str" cm="1">
        <f t="array" ref="AO762">IFERROR(INDEX($AA$2:$AA$282,MATCH(0,COUNTIF('Paste Here'!$AK$1:AK761,$AA$2:$AA$282),0)),"")</f>
        <v/>
      </c>
      <c r="AP762" s="33" t="str">
        <f>IF(COUNTIF('Paste Here'!$AK$2:AK762,'Paste Here'!AK762)=1,VALUE('Paste Here'!AK762),"")</f>
        <v/>
      </c>
    </row>
    <row r="763" spans="1:42" x14ac:dyDescent="0.3">
      <c r="A763" s="2"/>
      <c r="B763" s="2"/>
      <c r="C763" s="2"/>
      <c r="D763" s="3"/>
      <c r="E763" s="2"/>
      <c r="F763" s="2"/>
      <c r="G763" s="2"/>
      <c r="H763" s="2"/>
      <c r="AA763" s="33" t="str">
        <f t="shared" si="34"/>
        <v/>
      </c>
      <c r="AC763" s="33">
        <f t="shared" si="33"/>
        <v>1048540</v>
      </c>
      <c r="AD763" s="33" t="str">
        <f t="shared" si="35"/>
        <v/>
      </c>
      <c r="AE763" s="33" t="str" cm="1">
        <f t="array" ref="AE763">LOOKUP(2,1/($AB$2:$AB$1000=AB763),$AD$2:$AD$1000)</f>
        <v/>
      </c>
      <c r="AO763" s="33" t="str" cm="1">
        <f t="array" ref="AO763">IFERROR(INDEX($AA$2:$AA$282,MATCH(0,COUNTIF('Paste Here'!$AK$1:AK762,$AA$2:$AA$282),0)),"")</f>
        <v/>
      </c>
      <c r="AP763" s="33" t="str">
        <f>IF(COUNTIF('Paste Here'!$AK$2:AK763,'Paste Here'!AK763)=1,VALUE('Paste Here'!AK763),"")</f>
        <v/>
      </c>
    </row>
    <row r="764" spans="1:42" x14ac:dyDescent="0.3">
      <c r="A764"/>
      <c r="B764"/>
      <c r="C764"/>
      <c r="D764" s="4"/>
      <c r="E764"/>
      <c r="F764"/>
      <c r="G764"/>
      <c r="H764"/>
      <c r="AA764" s="33" t="str">
        <f t="shared" si="34"/>
        <v/>
      </c>
      <c r="AC764" s="33">
        <f t="shared" si="33"/>
        <v>1048540</v>
      </c>
      <c r="AD764" s="33" t="str">
        <f t="shared" si="35"/>
        <v/>
      </c>
      <c r="AE764" s="33" t="str" cm="1">
        <f t="array" ref="AE764">LOOKUP(2,1/($AB$2:$AB$1000=AB764),$AD$2:$AD$1000)</f>
        <v/>
      </c>
      <c r="AO764" s="33" t="str" cm="1">
        <f t="array" ref="AO764">IFERROR(INDEX($AA$2:$AA$282,MATCH(0,COUNTIF('Paste Here'!$AK$1:AK763,$AA$2:$AA$282),0)),"")</f>
        <v/>
      </c>
      <c r="AP764" s="33" t="str">
        <f>IF(COUNTIF('Paste Here'!$AK$2:AK764,'Paste Here'!AK764)=1,VALUE('Paste Here'!AK764),"")</f>
        <v/>
      </c>
    </row>
    <row r="765" spans="1:42" x14ac:dyDescent="0.3">
      <c r="A765"/>
      <c r="B765"/>
      <c r="C765"/>
      <c r="D765" s="4"/>
      <c r="E765"/>
      <c r="F765"/>
      <c r="G765"/>
      <c r="H765"/>
      <c r="AA765" s="33" t="str">
        <f t="shared" si="34"/>
        <v/>
      </c>
      <c r="AC765" s="33">
        <f t="shared" si="33"/>
        <v>1048540</v>
      </c>
      <c r="AD765" s="33" t="str">
        <f t="shared" si="35"/>
        <v/>
      </c>
      <c r="AE765" s="33" t="str" cm="1">
        <f t="array" ref="AE765">LOOKUP(2,1/($AB$2:$AB$1000=AB765),$AD$2:$AD$1000)</f>
        <v/>
      </c>
      <c r="AO765" s="33" t="str" cm="1">
        <f t="array" ref="AO765">IFERROR(INDEX($AA$2:$AA$282,MATCH(0,COUNTIF('Paste Here'!$AK$1:AK764,$AA$2:$AA$282),0)),"")</f>
        <v/>
      </c>
      <c r="AP765" s="33" t="str">
        <f>IF(COUNTIF('Paste Here'!$AK$2:AK765,'Paste Here'!AK765)=1,VALUE('Paste Here'!AK765),"")</f>
        <v/>
      </c>
    </row>
    <row r="766" spans="1:42" x14ac:dyDescent="0.3">
      <c r="A766"/>
      <c r="B766"/>
      <c r="C766"/>
      <c r="D766" s="4"/>
      <c r="E766"/>
      <c r="F766"/>
      <c r="G766"/>
      <c r="H766"/>
      <c r="AA766" s="33" t="str">
        <f t="shared" si="34"/>
        <v/>
      </c>
      <c r="AC766" s="33">
        <f t="shared" si="33"/>
        <v>1048540</v>
      </c>
      <c r="AD766" s="33" t="str">
        <f t="shared" si="35"/>
        <v/>
      </c>
      <c r="AE766" s="33" t="str" cm="1">
        <f t="array" ref="AE766">LOOKUP(2,1/($AB$2:$AB$1000=AB766),$AD$2:$AD$1000)</f>
        <v/>
      </c>
      <c r="AO766" s="33" t="str" cm="1">
        <f t="array" ref="AO766">IFERROR(INDEX($AA$2:$AA$282,MATCH(0,COUNTIF('Paste Here'!$AK$1:AK765,$AA$2:$AA$282),0)),"")</f>
        <v/>
      </c>
      <c r="AP766" s="33" t="str">
        <f>IF(COUNTIF('Paste Here'!$AK$2:AK766,'Paste Here'!AK766)=1,VALUE('Paste Here'!AK766),"")</f>
        <v/>
      </c>
    </row>
    <row r="767" spans="1:42" x14ac:dyDescent="0.3">
      <c r="A767"/>
      <c r="B767"/>
      <c r="C767"/>
      <c r="D767" s="4"/>
      <c r="E767"/>
      <c r="F767"/>
      <c r="G767"/>
      <c r="H767"/>
      <c r="AA767" s="33" t="str">
        <f t="shared" si="34"/>
        <v/>
      </c>
      <c r="AC767" s="33">
        <f t="shared" si="33"/>
        <v>1048540</v>
      </c>
      <c r="AD767" s="33" t="str">
        <f t="shared" si="35"/>
        <v/>
      </c>
      <c r="AE767" s="33" t="str" cm="1">
        <f t="array" ref="AE767">LOOKUP(2,1/($AB$2:$AB$1000=AB767),$AD$2:$AD$1000)</f>
        <v/>
      </c>
      <c r="AO767" s="33" t="str" cm="1">
        <f t="array" ref="AO767">IFERROR(INDEX($AA$2:$AA$282,MATCH(0,COUNTIF('Paste Here'!$AK$1:AK766,$AA$2:$AA$282),0)),"")</f>
        <v/>
      </c>
      <c r="AP767" s="33" t="str">
        <f>IF(COUNTIF('Paste Here'!$AK$2:AK767,'Paste Here'!AK767)=1,VALUE('Paste Here'!AK767),"")</f>
        <v/>
      </c>
    </row>
    <row r="768" spans="1:42" x14ac:dyDescent="0.3">
      <c r="A768"/>
      <c r="B768"/>
      <c r="C768"/>
      <c r="D768" s="4"/>
      <c r="E768"/>
      <c r="F768"/>
      <c r="G768"/>
      <c r="H768"/>
      <c r="AA768" s="33" t="str">
        <f t="shared" si="34"/>
        <v/>
      </c>
      <c r="AC768" s="33">
        <f t="shared" si="33"/>
        <v>1048540</v>
      </c>
      <c r="AD768" s="33" t="str">
        <f t="shared" si="35"/>
        <v/>
      </c>
      <c r="AE768" s="33" t="str" cm="1">
        <f t="array" ref="AE768">LOOKUP(2,1/($AB$2:$AB$1000=AB768),$AD$2:$AD$1000)</f>
        <v/>
      </c>
      <c r="AO768" s="33" t="str" cm="1">
        <f t="array" ref="AO768">IFERROR(INDEX($AA$2:$AA$282,MATCH(0,COUNTIF('Paste Here'!$AK$1:AK767,$AA$2:$AA$282),0)),"")</f>
        <v/>
      </c>
      <c r="AP768" s="33" t="str">
        <f>IF(COUNTIF('Paste Here'!$AK$2:AK768,'Paste Here'!AK768)=1,VALUE('Paste Here'!AK768),"")</f>
        <v/>
      </c>
    </row>
    <row r="769" spans="1:42" x14ac:dyDescent="0.3">
      <c r="A769"/>
      <c r="B769"/>
      <c r="C769"/>
      <c r="D769" s="4"/>
      <c r="E769"/>
      <c r="F769"/>
      <c r="G769"/>
      <c r="H769"/>
      <c r="AA769" s="33" t="str">
        <f t="shared" si="34"/>
        <v/>
      </c>
      <c r="AC769" s="33">
        <f t="shared" si="33"/>
        <v>1048540</v>
      </c>
      <c r="AD769" s="33" t="str">
        <f t="shared" si="35"/>
        <v/>
      </c>
      <c r="AE769" s="33" t="str" cm="1">
        <f t="array" ref="AE769">LOOKUP(2,1/($AB$2:$AB$1000=AB769),$AD$2:$AD$1000)</f>
        <v/>
      </c>
      <c r="AO769" s="33" t="str" cm="1">
        <f t="array" ref="AO769">IFERROR(INDEX($AA$2:$AA$282,MATCH(0,COUNTIF('Paste Here'!$AK$1:AK768,$AA$2:$AA$282),0)),"")</f>
        <v/>
      </c>
      <c r="AP769" s="33" t="str">
        <f>IF(COUNTIF('Paste Here'!$AK$2:AK769,'Paste Here'!AK769)=1,VALUE('Paste Here'!AK769),"")</f>
        <v/>
      </c>
    </row>
    <row r="770" spans="1:42" x14ac:dyDescent="0.3">
      <c r="A770"/>
      <c r="B770"/>
      <c r="C770"/>
      <c r="D770" s="4"/>
      <c r="E770"/>
      <c r="F770"/>
      <c r="G770"/>
      <c r="H770"/>
      <c r="AA770" s="33" t="str">
        <f t="shared" si="34"/>
        <v/>
      </c>
      <c r="AC770" s="33">
        <f t="shared" ref="AC770:AC833" si="36">COUNTIF($AA:$AA,AA770)</f>
        <v>1048540</v>
      </c>
      <c r="AD770" s="33" t="str">
        <f t="shared" si="35"/>
        <v/>
      </c>
      <c r="AE770" s="33" t="str" cm="1">
        <f t="array" ref="AE770">LOOKUP(2,1/($AB$2:$AB$1000=AB770),$AD$2:$AD$1000)</f>
        <v/>
      </c>
      <c r="AO770" s="33" t="str" cm="1">
        <f t="array" ref="AO770">IFERROR(INDEX($AA$2:$AA$282,MATCH(0,COUNTIF('Paste Here'!$AK$1:AK769,$AA$2:$AA$282),0)),"")</f>
        <v/>
      </c>
      <c r="AP770" s="33" t="str">
        <f>IF(COUNTIF('Paste Here'!$AK$2:AK770,'Paste Here'!AK770)=1,VALUE('Paste Here'!AK770),"")</f>
        <v/>
      </c>
    </row>
    <row r="771" spans="1:42" x14ac:dyDescent="0.3">
      <c r="A771"/>
      <c r="B771"/>
      <c r="C771"/>
      <c r="D771" s="4"/>
      <c r="E771"/>
      <c r="F771"/>
      <c r="G771"/>
      <c r="H771"/>
      <c r="AA771" s="33" t="str">
        <f t="shared" ref="AA771:AA834" si="37">IFERROR(MID(G771,FIND("LR-",G771)+3,FIND("-",G771,FIND("LR-",G771)+3)-FIND("LR-",G771)-3),"")</f>
        <v/>
      </c>
      <c r="AC771" s="33">
        <f t="shared" si="36"/>
        <v>1048540</v>
      </c>
      <c r="AD771" s="33" t="str">
        <f t="shared" ref="AD771:AD834" si="38">IF(F771=0,"",F771)</f>
        <v/>
      </c>
      <c r="AE771" s="33" t="str" cm="1">
        <f t="array" ref="AE771">LOOKUP(2,1/($AB$2:$AB$1000=AB771),$AD$2:$AD$1000)</f>
        <v/>
      </c>
      <c r="AO771" s="33" t="str" cm="1">
        <f t="array" ref="AO771">IFERROR(INDEX($AA$2:$AA$282,MATCH(0,COUNTIF('Paste Here'!$AK$1:AK770,$AA$2:$AA$282),0)),"")</f>
        <v/>
      </c>
      <c r="AP771" s="33" t="str">
        <f>IF(COUNTIF('Paste Here'!$AK$2:AK771,'Paste Here'!AK771)=1,VALUE('Paste Here'!AK771),"")</f>
        <v/>
      </c>
    </row>
    <row r="772" spans="1:42" x14ac:dyDescent="0.3">
      <c r="A772"/>
      <c r="B772"/>
      <c r="C772"/>
      <c r="D772" s="4"/>
      <c r="E772"/>
      <c r="F772"/>
      <c r="G772"/>
      <c r="H772"/>
      <c r="AA772" s="33" t="str">
        <f t="shared" si="37"/>
        <v/>
      </c>
      <c r="AC772" s="33">
        <f t="shared" si="36"/>
        <v>1048540</v>
      </c>
      <c r="AD772" s="33" t="str">
        <f t="shared" si="38"/>
        <v/>
      </c>
      <c r="AE772" s="33" t="str" cm="1">
        <f t="array" ref="AE772">LOOKUP(2,1/($AB$2:$AB$1000=AB772),$AD$2:$AD$1000)</f>
        <v/>
      </c>
      <c r="AO772" s="33" t="str" cm="1">
        <f t="array" ref="AO772">IFERROR(INDEX($AA$2:$AA$282,MATCH(0,COUNTIF('Paste Here'!$AK$1:AK771,$AA$2:$AA$282),0)),"")</f>
        <v/>
      </c>
      <c r="AP772" s="33" t="str">
        <f>IF(COUNTIF('Paste Here'!$AK$2:AK772,'Paste Here'!AK772)=1,VALUE('Paste Here'!AK772),"")</f>
        <v/>
      </c>
    </row>
    <row r="773" spans="1:42" x14ac:dyDescent="0.3">
      <c r="A773"/>
      <c r="B773"/>
      <c r="C773"/>
      <c r="D773" s="4"/>
      <c r="E773"/>
      <c r="F773"/>
      <c r="G773"/>
      <c r="H773"/>
      <c r="AA773" s="33" t="str">
        <f t="shared" si="37"/>
        <v/>
      </c>
      <c r="AC773" s="33">
        <f t="shared" si="36"/>
        <v>1048540</v>
      </c>
      <c r="AD773" s="33" t="str">
        <f t="shared" si="38"/>
        <v/>
      </c>
      <c r="AE773" s="33" t="str" cm="1">
        <f t="array" ref="AE773">LOOKUP(2,1/($AB$2:$AB$1000=AB773),$AD$2:$AD$1000)</f>
        <v/>
      </c>
      <c r="AO773" s="33" t="str" cm="1">
        <f t="array" ref="AO773">IFERROR(INDEX($AA$2:$AA$282,MATCH(0,COUNTIF('Paste Here'!$AK$1:AK772,$AA$2:$AA$282),0)),"")</f>
        <v/>
      </c>
      <c r="AP773" s="33" t="str">
        <f>IF(COUNTIF('Paste Here'!$AK$2:AK773,'Paste Here'!AK773)=1,VALUE('Paste Here'!AK773),"")</f>
        <v/>
      </c>
    </row>
    <row r="774" spans="1:42" x14ac:dyDescent="0.3">
      <c r="A774"/>
      <c r="B774"/>
      <c r="C774"/>
      <c r="D774" s="4"/>
      <c r="E774"/>
      <c r="F774"/>
      <c r="G774"/>
      <c r="H774"/>
      <c r="AA774" s="33" t="str">
        <f t="shared" si="37"/>
        <v/>
      </c>
      <c r="AC774" s="33">
        <f t="shared" si="36"/>
        <v>1048540</v>
      </c>
      <c r="AD774" s="33" t="str">
        <f t="shared" si="38"/>
        <v/>
      </c>
      <c r="AE774" s="33" t="str" cm="1">
        <f t="array" ref="AE774">LOOKUP(2,1/($AB$2:$AB$1000=AB774),$AD$2:$AD$1000)</f>
        <v/>
      </c>
      <c r="AO774" s="33" t="str" cm="1">
        <f t="array" ref="AO774">IFERROR(INDEX($AA$2:$AA$282,MATCH(0,COUNTIF('Paste Here'!$AK$1:AK773,$AA$2:$AA$282),0)),"")</f>
        <v/>
      </c>
      <c r="AP774" s="33" t="str">
        <f>IF(COUNTIF('Paste Here'!$AK$2:AK774,'Paste Here'!AK774)=1,VALUE('Paste Here'!AK774),"")</f>
        <v/>
      </c>
    </row>
    <row r="775" spans="1:42" x14ac:dyDescent="0.3">
      <c r="A775"/>
      <c r="B775"/>
      <c r="C775"/>
      <c r="D775" s="4"/>
      <c r="E775"/>
      <c r="F775"/>
      <c r="G775"/>
      <c r="H775"/>
      <c r="AA775" s="33" t="str">
        <f t="shared" si="37"/>
        <v/>
      </c>
      <c r="AC775" s="33">
        <f t="shared" si="36"/>
        <v>1048540</v>
      </c>
      <c r="AD775" s="33" t="str">
        <f t="shared" si="38"/>
        <v/>
      </c>
      <c r="AE775" s="33" t="str" cm="1">
        <f t="array" ref="AE775">LOOKUP(2,1/($AB$2:$AB$1000=AB775),$AD$2:$AD$1000)</f>
        <v/>
      </c>
      <c r="AO775" s="33" t="str" cm="1">
        <f t="array" ref="AO775">IFERROR(INDEX($AA$2:$AA$282,MATCH(0,COUNTIF('Paste Here'!$AK$1:AK774,$AA$2:$AA$282),0)),"")</f>
        <v/>
      </c>
      <c r="AP775" s="33" t="str">
        <f>IF(COUNTIF('Paste Here'!$AK$2:AK775,'Paste Here'!AK775)=1,VALUE('Paste Here'!AK775),"")</f>
        <v/>
      </c>
    </row>
    <row r="776" spans="1:42" x14ac:dyDescent="0.3">
      <c r="A776"/>
      <c r="B776"/>
      <c r="C776"/>
      <c r="D776" s="4"/>
      <c r="E776"/>
      <c r="F776"/>
      <c r="G776"/>
      <c r="H776"/>
      <c r="AA776" s="33" t="str">
        <f t="shared" si="37"/>
        <v/>
      </c>
      <c r="AC776" s="33">
        <f t="shared" si="36"/>
        <v>1048540</v>
      </c>
      <c r="AD776" s="33" t="str">
        <f t="shared" si="38"/>
        <v/>
      </c>
      <c r="AE776" s="33" t="str" cm="1">
        <f t="array" ref="AE776">LOOKUP(2,1/($AB$2:$AB$1000=AB776),$AD$2:$AD$1000)</f>
        <v/>
      </c>
      <c r="AO776" s="33" t="str" cm="1">
        <f t="array" ref="AO776">IFERROR(INDEX($AA$2:$AA$282,MATCH(0,COUNTIF('Paste Here'!$AK$1:AK775,$AA$2:$AA$282),0)),"")</f>
        <v/>
      </c>
      <c r="AP776" s="33" t="str">
        <f>IF(COUNTIF('Paste Here'!$AK$2:AK776,'Paste Here'!AK776)=1,VALUE('Paste Here'!AK776),"")</f>
        <v/>
      </c>
    </row>
    <row r="777" spans="1:42" x14ac:dyDescent="0.3">
      <c r="A777"/>
      <c r="B777"/>
      <c r="C777"/>
      <c r="D777" s="4"/>
      <c r="E777"/>
      <c r="F777"/>
      <c r="G777"/>
      <c r="H777"/>
      <c r="AA777" s="33" t="str">
        <f t="shared" si="37"/>
        <v/>
      </c>
      <c r="AC777" s="33">
        <f t="shared" si="36"/>
        <v>1048540</v>
      </c>
      <c r="AD777" s="33" t="str">
        <f t="shared" si="38"/>
        <v/>
      </c>
      <c r="AE777" s="33" t="str" cm="1">
        <f t="array" ref="AE777">LOOKUP(2,1/($AB$2:$AB$1000=AB777),$AD$2:$AD$1000)</f>
        <v/>
      </c>
      <c r="AO777" s="33" t="str" cm="1">
        <f t="array" ref="AO777">IFERROR(INDEX($AA$2:$AA$282,MATCH(0,COUNTIF('Paste Here'!$AK$1:AK776,$AA$2:$AA$282),0)),"")</f>
        <v/>
      </c>
      <c r="AP777" s="33" t="str">
        <f>IF(COUNTIF('Paste Here'!$AK$2:AK777,'Paste Here'!AK777)=1,VALUE('Paste Here'!AK777),"")</f>
        <v/>
      </c>
    </row>
    <row r="778" spans="1:42" x14ac:dyDescent="0.3">
      <c r="A778"/>
      <c r="B778"/>
      <c r="C778"/>
      <c r="D778" s="4"/>
      <c r="E778"/>
      <c r="F778"/>
      <c r="G778"/>
      <c r="H778"/>
      <c r="AA778" s="33" t="str">
        <f t="shared" si="37"/>
        <v/>
      </c>
      <c r="AC778" s="33">
        <f t="shared" si="36"/>
        <v>1048540</v>
      </c>
      <c r="AD778" s="33" t="str">
        <f t="shared" si="38"/>
        <v/>
      </c>
      <c r="AE778" s="33" t="str" cm="1">
        <f t="array" ref="AE778">LOOKUP(2,1/($AB$2:$AB$1000=AB778),$AD$2:$AD$1000)</f>
        <v/>
      </c>
      <c r="AO778" s="33" t="str" cm="1">
        <f t="array" ref="AO778">IFERROR(INDEX($AA$2:$AA$282,MATCH(0,COUNTIF('Paste Here'!$AK$1:AK777,$AA$2:$AA$282),0)),"")</f>
        <v/>
      </c>
      <c r="AP778" s="33" t="str">
        <f>IF(COUNTIF('Paste Here'!$AK$2:AK778,'Paste Here'!AK778)=1,VALUE('Paste Here'!AK778),"")</f>
        <v/>
      </c>
    </row>
    <row r="779" spans="1:42" x14ac:dyDescent="0.3">
      <c r="A779"/>
      <c r="B779"/>
      <c r="C779"/>
      <c r="D779" s="4"/>
      <c r="E779"/>
      <c r="F779"/>
      <c r="G779"/>
      <c r="H779"/>
      <c r="AA779" s="33" t="str">
        <f t="shared" si="37"/>
        <v/>
      </c>
      <c r="AC779" s="33">
        <f t="shared" si="36"/>
        <v>1048540</v>
      </c>
      <c r="AD779" s="33" t="str">
        <f t="shared" si="38"/>
        <v/>
      </c>
      <c r="AE779" s="33" t="str" cm="1">
        <f t="array" ref="AE779">LOOKUP(2,1/($AB$2:$AB$1000=AB779),$AD$2:$AD$1000)</f>
        <v/>
      </c>
      <c r="AO779" s="33" t="str" cm="1">
        <f t="array" ref="AO779">IFERROR(INDEX($AA$2:$AA$282,MATCH(0,COUNTIF('Paste Here'!$AK$1:AK778,$AA$2:$AA$282),0)),"")</f>
        <v/>
      </c>
      <c r="AP779" s="33" t="str">
        <f>IF(COUNTIF('Paste Here'!$AK$2:AK779,'Paste Here'!AK779)=1,VALUE('Paste Here'!AK779),"")</f>
        <v/>
      </c>
    </row>
    <row r="780" spans="1:42" x14ac:dyDescent="0.3">
      <c r="A780"/>
      <c r="B780"/>
      <c r="C780"/>
      <c r="D780" s="4"/>
      <c r="E780"/>
      <c r="F780"/>
      <c r="G780"/>
      <c r="H780"/>
      <c r="AA780" s="33" t="str">
        <f t="shared" si="37"/>
        <v/>
      </c>
      <c r="AC780" s="33">
        <f t="shared" si="36"/>
        <v>1048540</v>
      </c>
      <c r="AD780" s="33" t="str">
        <f t="shared" si="38"/>
        <v/>
      </c>
      <c r="AE780" s="33" t="str" cm="1">
        <f t="array" ref="AE780">LOOKUP(2,1/($AB$2:$AB$1000=AB780),$AD$2:$AD$1000)</f>
        <v/>
      </c>
      <c r="AO780" s="33" t="str" cm="1">
        <f t="array" ref="AO780">IFERROR(INDEX($AA$2:$AA$282,MATCH(0,COUNTIF('Paste Here'!$AK$1:AK779,$AA$2:$AA$282),0)),"")</f>
        <v/>
      </c>
      <c r="AP780" s="33" t="str">
        <f>IF(COUNTIF('Paste Here'!$AK$2:AK780,'Paste Here'!AK780)=1,VALUE('Paste Here'!AK780),"")</f>
        <v/>
      </c>
    </row>
    <row r="781" spans="1:42" x14ac:dyDescent="0.3">
      <c r="A781"/>
      <c r="B781"/>
      <c r="C781"/>
      <c r="D781" s="4"/>
      <c r="E781"/>
      <c r="F781"/>
      <c r="G781"/>
      <c r="H781"/>
      <c r="AA781" s="33" t="str">
        <f t="shared" si="37"/>
        <v/>
      </c>
      <c r="AC781" s="33">
        <f t="shared" si="36"/>
        <v>1048540</v>
      </c>
      <c r="AD781" s="33" t="str">
        <f t="shared" si="38"/>
        <v/>
      </c>
      <c r="AE781" s="33" t="str" cm="1">
        <f t="array" ref="AE781">LOOKUP(2,1/($AB$2:$AB$1000=AB781),$AD$2:$AD$1000)</f>
        <v/>
      </c>
      <c r="AO781" s="33" t="str" cm="1">
        <f t="array" ref="AO781">IFERROR(INDEX($AA$2:$AA$282,MATCH(0,COUNTIF('Paste Here'!$AK$1:AK780,$AA$2:$AA$282),0)),"")</f>
        <v/>
      </c>
      <c r="AP781" s="33" t="str">
        <f>IF(COUNTIF('Paste Here'!$AK$2:AK781,'Paste Here'!AK781)=1,VALUE('Paste Here'!AK781),"")</f>
        <v/>
      </c>
    </row>
    <row r="782" spans="1:42" x14ac:dyDescent="0.3">
      <c r="A782"/>
      <c r="B782"/>
      <c r="C782"/>
      <c r="D782" s="4"/>
      <c r="E782"/>
      <c r="F782"/>
      <c r="G782"/>
      <c r="H782"/>
      <c r="AA782" s="33" t="str">
        <f t="shared" si="37"/>
        <v/>
      </c>
      <c r="AC782" s="33">
        <f t="shared" si="36"/>
        <v>1048540</v>
      </c>
      <c r="AD782" s="33" t="str">
        <f t="shared" si="38"/>
        <v/>
      </c>
      <c r="AE782" s="33" t="str" cm="1">
        <f t="array" ref="AE782">LOOKUP(2,1/($AB$2:$AB$1000=AB782),$AD$2:$AD$1000)</f>
        <v/>
      </c>
      <c r="AO782" s="33" t="str" cm="1">
        <f t="array" ref="AO782">IFERROR(INDEX($AA$2:$AA$282,MATCH(0,COUNTIF('Paste Here'!$AK$1:AK781,$AA$2:$AA$282),0)),"")</f>
        <v/>
      </c>
      <c r="AP782" s="33" t="str">
        <f>IF(COUNTIF('Paste Here'!$AK$2:AK782,'Paste Here'!AK782)=1,VALUE('Paste Here'!AK782),"")</f>
        <v/>
      </c>
    </row>
    <row r="783" spans="1:42" x14ac:dyDescent="0.3">
      <c r="A783"/>
      <c r="B783"/>
      <c r="C783"/>
      <c r="D783" s="4"/>
      <c r="E783"/>
      <c r="F783"/>
      <c r="G783"/>
      <c r="H783"/>
      <c r="AA783" s="33" t="str">
        <f t="shared" si="37"/>
        <v/>
      </c>
      <c r="AC783" s="33">
        <f t="shared" si="36"/>
        <v>1048540</v>
      </c>
      <c r="AD783" s="33" t="str">
        <f t="shared" si="38"/>
        <v/>
      </c>
      <c r="AE783" s="33" t="str" cm="1">
        <f t="array" ref="AE783">LOOKUP(2,1/($AB$2:$AB$1000=AB783),$AD$2:$AD$1000)</f>
        <v/>
      </c>
      <c r="AO783" s="33" t="str" cm="1">
        <f t="array" ref="AO783">IFERROR(INDEX($AA$2:$AA$282,MATCH(0,COUNTIF('Paste Here'!$AK$1:AK782,$AA$2:$AA$282),0)),"")</f>
        <v/>
      </c>
      <c r="AP783" s="33" t="str">
        <f>IF(COUNTIF('Paste Here'!$AK$2:AK783,'Paste Here'!AK783)=1,VALUE('Paste Here'!AK783),"")</f>
        <v/>
      </c>
    </row>
    <row r="784" spans="1:42" x14ac:dyDescent="0.3">
      <c r="A784"/>
      <c r="B784"/>
      <c r="C784"/>
      <c r="D784" s="4"/>
      <c r="E784"/>
      <c r="F784"/>
      <c r="G784"/>
      <c r="H784"/>
      <c r="AA784" s="33" t="str">
        <f t="shared" si="37"/>
        <v/>
      </c>
      <c r="AC784" s="33">
        <f t="shared" si="36"/>
        <v>1048540</v>
      </c>
      <c r="AD784" s="33" t="str">
        <f t="shared" si="38"/>
        <v/>
      </c>
      <c r="AE784" s="33" t="str" cm="1">
        <f t="array" ref="AE784">LOOKUP(2,1/($AB$2:$AB$1000=AB784),$AD$2:$AD$1000)</f>
        <v/>
      </c>
      <c r="AO784" s="33" t="str" cm="1">
        <f t="array" ref="AO784">IFERROR(INDEX($AA$2:$AA$282,MATCH(0,COUNTIF('Paste Here'!$AK$1:AK783,$AA$2:$AA$282),0)),"")</f>
        <v/>
      </c>
      <c r="AP784" s="33" t="str">
        <f>IF(COUNTIF('Paste Here'!$AK$2:AK784,'Paste Here'!AK784)=1,VALUE('Paste Here'!AK784),"")</f>
        <v/>
      </c>
    </row>
    <row r="785" spans="1:42" x14ac:dyDescent="0.3">
      <c r="A785"/>
      <c r="B785"/>
      <c r="C785"/>
      <c r="D785" s="4"/>
      <c r="E785"/>
      <c r="F785"/>
      <c r="G785"/>
      <c r="H785"/>
      <c r="AA785" s="33" t="str">
        <f t="shared" si="37"/>
        <v/>
      </c>
      <c r="AC785" s="33">
        <f t="shared" si="36"/>
        <v>1048540</v>
      </c>
      <c r="AD785" s="33" t="str">
        <f t="shared" si="38"/>
        <v/>
      </c>
      <c r="AE785" s="33" t="str" cm="1">
        <f t="array" ref="AE785">LOOKUP(2,1/($AB$2:$AB$1000=AB785),$AD$2:$AD$1000)</f>
        <v/>
      </c>
      <c r="AO785" s="33" t="str" cm="1">
        <f t="array" ref="AO785">IFERROR(INDEX($AA$2:$AA$282,MATCH(0,COUNTIF('Paste Here'!$AK$1:AK784,$AA$2:$AA$282),0)),"")</f>
        <v/>
      </c>
      <c r="AP785" s="33" t="str">
        <f>IF(COUNTIF('Paste Here'!$AK$2:AK785,'Paste Here'!AK785)=1,VALUE('Paste Here'!AK785),"")</f>
        <v/>
      </c>
    </row>
    <row r="786" spans="1:42" x14ac:dyDescent="0.3">
      <c r="A786"/>
      <c r="B786"/>
      <c r="C786"/>
      <c r="D786" s="4"/>
      <c r="E786"/>
      <c r="F786"/>
      <c r="G786"/>
      <c r="H786"/>
      <c r="AA786" s="33" t="str">
        <f t="shared" si="37"/>
        <v/>
      </c>
      <c r="AC786" s="33">
        <f t="shared" si="36"/>
        <v>1048540</v>
      </c>
      <c r="AD786" s="33" t="str">
        <f t="shared" si="38"/>
        <v/>
      </c>
      <c r="AE786" s="33" t="str" cm="1">
        <f t="array" ref="AE786">LOOKUP(2,1/($AB$2:$AB$1000=AB786),$AD$2:$AD$1000)</f>
        <v/>
      </c>
      <c r="AO786" s="33" t="str" cm="1">
        <f t="array" ref="AO786">IFERROR(INDEX($AA$2:$AA$282,MATCH(0,COUNTIF('Paste Here'!$AK$1:AK785,$AA$2:$AA$282),0)),"")</f>
        <v/>
      </c>
      <c r="AP786" s="33" t="str">
        <f>IF(COUNTIF('Paste Here'!$AK$2:AK786,'Paste Here'!AK786)=1,VALUE('Paste Here'!AK786),"")</f>
        <v/>
      </c>
    </row>
    <row r="787" spans="1:42" x14ac:dyDescent="0.3">
      <c r="A787"/>
      <c r="B787"/>
      <c r="C787"/>
      <c r="D787" s="4"/>
      <c r="E787"/>
      <c r="F787"/>
      <c r="G787"/>
      <c r="H787"/>
      <c r="AA787" s="33" t="str">
        <f t="shared" si="37"/>
        <v/>
      </c>
      <c r="AC787" s="33">
        <f t="shared" si="36"/>
        <v>1048540</v>
      </c>
      <c r="AD787" s="33" t="str">
        <f t="shared" si="38"/>
        <v/>
      </c>
      <c r="AE787" s="33" t="str" cm="1">
        <f t="array" ref="AE787">LOOKUP(2,1/($AB$2:$AB$1000=AB787),$AD$2:$AD$1000)</f>
        <v/>
      </c>
      <c r="AO787" s="33" t="str" cm="1">
        <f t="array" ref="AO787">IFERROR(INDEX($AA$2:$AA$282,MATCH(0,COUNTIF('Paste Here'!$AK$1:AK786,$AA$2:$AA$282),0)),"")</f>
        <v/>
      </c>
      <c r="AP787" s="33" t="str">
        <f>IF(COUNTIF('Paste Here'!$AK$2:AK787,'Paste Here'!AK787)=1,VALUE('Paste Here'!AK787),"")</f>
        <v/>
      </c>
    </row>
    <row r="788" spans="1:42" x14ac:dyDescent="0.3">
      <c r="A788"/>
      <c r="B788"/>
      <c r="C788"/>
      <c r="D788" s="4"/>
      <c r="E788"/>
      <c r="F788"/>
      <c r="G788"/>
      <c r="H788"/>
      <c r="AA788" s="33" t="str">
        <f t="shared" si="37"/>
        <v/>
      </c>
      <c r="AC788" s="33">
        <f t="shared" si="36"/>
        <v>1048540</v>
      </c>
      <c r="AD788" s="33" t="str">
        <f t="shared" si="38"/>
        <v/>
      </c>
      <c r="AE788" s="33" t="str" cm="1">
        <f t="array" ref="AE788">LOOKUP(2,1/($AB$2:$AB$1000=AB788),$AD$2:$AD$1000)</f>
        <v/>
      </c>
      <c r="AO788" s="33" t="str" cm="1">
        <f t="array" ref="AO788">IFERROR(INDEX($AA$2:$AA$282,MATCH(0,COUNTIF('Paste Here'!$AK$1:AK787,$AA$2:$AA$282),0)),"")</f>
        <v/>
      </c>
      <c r="AP788" s="33" t="str">
        <f>IF(COUNTIF('Paste Here'!$AK$2:AK788,'Paste Here'!AK788)=1,VALUE('Paste Here'!AK788),"")</f>
        <v/>
      </c>
    </row>
    <row r="789" spans="1:42" x14ac:dyDescent="0.3">
      <c r="A789"/>
      <c r="B789"/>
      <c r="C789"/>
      <c r="D789" s="4"/>
      <c r="E789"/>
      <c r="F789"/>
      <c r="G789"/>
      <c r="H789"/>
      <c r="AA789" s="33" t="str">
        <f t="shared" si="37"/>
        <v/>
      </c>
      <c r="AC789" s="33">
        <f t="shared" si="36"/>
        <v>1048540</v>
      </c>
      <c r="AD789" s="33" t="str">
        <f t="shared" si="38"/>
        <v/>
      </c>
      <c r="AE789" s="33" t="str" cm="1">
        <f t="array" ref="AE789">LOOKUP(2,1/($AB$2:$AB$1000=AB789),$AD$2:$AD$1000)</f>
        <v/>
      </c>
      <c r="AO789" s="33" t="str" cm="1">
        <f t="array" ref="AO789">IFERROR(INDEX($AA$2:$AA$282,MATCH(0,COUNTIF('Paste Here'!$AK$1:AK788,$AA$2:$AA$282),0)),"")</f>
        <v/>
      </c>
      <c r="AP789" s="33" t="str">
        <f>IF(COUNTIF('Paste Here'!$AK$2:AK789,'Paste Here'!AK789)=1,VALUE('Paste Here'!AK789),"")</f>
        <v/>
      </c>
    </row>
    <row r="790" spans="1:42" x14ac:dyDescent="0.3">
      <c r="A790"/>
      <c r="B790"/>
      <c r="C790"/>
      <c r="D790" s="4"/>
      <c r="E790"/>
      <c r="F790"/>
      <c r="G790"/>
      <c r="H790"/>
      <c r="AA790" s="33" t="str">
        <f t="shared" si="37"/>
        <v/>
      </c>
      <c r="AC790" s="33">
        <f t="shared" si="36"/>
        <v>1048540</v>
      </c>
      <c r="AD790" s="33" t="str">
        <f t="shared" si="38"/>
        <v/>
      </c>
      <c r="AE790" s="33" t="str" cm="1">
        <f t="array" ref="AE790">LOOKUP(2,1/($AB$2:$AB$1000=AB790),$AD$2:$AD$1000)</f>
        <v/>
      </c>
      <c r="AO790" s="33" t="str" cm="1">
        <f t="array" ref="AO790">IFERROR(INDEX($AA$2:$AA$282,MATCH(0,COUNTIF('Paste Here'!$AK$1:AK789,$AA$2:$AA$282),0)),"")</f>
        <v/>
      </c>
      <c r="AP790" s="33" t="str">
        <f>IF(COUNTIF('Paste Here'!$AK$2:AK790,'Paste Here'!AK790)=1,VALUE('Paste Here'!AK790),"")</f>
        <v/>
      </c>
    </row>
    <row r="791" spans="1:42" x14ac:dyDescent="0.3">
      <c r="A791"/>
      <c r="B791"/>
      <c r="C791"/>
      <c r="D791" s="4"/>
      <c r="E791"/>
      <c r="F791"/>
      <c r="G791"/>
      <c r="H791"/>
      <c r="AA791" s="33" t="str">
        <f t="shared" si="37"/>
        <v/>
      </c>
      <c r="AC791" s="33">
        <f t="shared" si="36"/>
        <v>1048540</v>
      </c>
      <c r="AD791" s="33" t="str">
        <f t="shared" si="38"/>
        <v/>
      </c>
      <c r="AE791" s="33" t="str" cm="1">
        <f t="array" ref="AE791">LOOKUP(2,1/($AB$2:$AB$1000=AB791),$AD$2:$AD$1000)</f>
        <v/>
      </c>
      <c r="AO791" s="33" t="str" cm="1">
        <f t="array" ref="AO791">IFERROR(INDEX($AA$2:$AA$282,MATCH(0,COUNTIF('Paste Here'!$AK$1:AK790,$AA$2:$AA$282),0)),"")</f>
        <v/>
      </c>
      <c r="AP791" s="33" t="str">
        <f>IF(COUNTIF('Paste Here'!$AK$2:AK791,'Paste Here'!AK791)=1,VALUE('Paste Here'!AK791),"")</f>
        <v/>
      </c>
    </row>
    <row r="792" spans="1:42" x14ac:dyDescent="0.3">
      <c r="A792"/>
      <c r="B792"/>
      <c r="C792"/>
      <c r="D792" s="4"/>
      <c r="E792"/>
      <c r="F792"/>
      <c r="G792"/>
      <c r="H792"/>
      <c r="AA792" s="33" t="str">
        <f t="shared" si="37"/>
        <v/>
      </c>
      <c r="AC792" s="33">
        <f t="shared" si="36"/>
        <v>1048540</v>
      </c>
      <c r="AD792" s="33" t="str">
        <f t="shared" si="38"/>
        <v/>
      </c>
      <c r="AE792" s="33" t="str" cm="1">
        <f t="array" ref="AE792">LOOKUP(2,1/($AB$2:$AB$1000=AB792),$AD$2:$AD$1000)</f>
        <v/>
      </c>
      <c r="AO792" s="33" t="str" cm="1">
        <f t="array" ref="AO792">IFERROR(INDEX($AA$2:$AA$282,MATCH(0,COUNTIF('Paste Here'!$AK$1:AK791,$AA$2:$AA$282),0)),"")</f>
        <v/>
      </c>
      <c r="AP792" s="33" t="str">
        <f>IF(COUNTIF('Paste Here'!$AK$2:AK792,'Paste Here'!AK792)=1,VALUE('Paste Here'!AK792),"")</f>
        <v/>
      </c>
    </row>
    <row r="793" spans="1:42" x14ac:dyDescent="0.3">
      <c r="A793"/>
      <c r="B793"/>
      <c r="C793"/>
      <c r="D793" s="4"/>
      <c r="E793"/>
      <c r="F793"/>
      <c r="G793"/>
      <c r="H793"/>
      <c r="AA793" s="33" t="str">
        <f t="shared" si="37"/>
        <v/>
      </c>
      <c r="AC793" s="33">
        <f t="shared" si="36"/>
        <v>1048540</v>
      </c>
      <c r="AD793" s="33" t="str">
        <f t="shared" si="38"/>
        <v/>
      </c>
      <c r="AE793" s="33" t="str" cm="1">
        <f t="array" ref="AE793">LOOKUP(2,1/($AB$2:$AB$1000=AB793),$AD$2:$AD$1000)</f>
        <v/>
      </c>
      <c r="AO793" s="33" t="str" cm="1">
        <f t="array" ref="AO793">IFERROR(INDEX($AA$2:$AA$282,MATCH(0,COUNTIF('Paste Here'!$AK$1:AK792,$AA$2:$AA$282),0)),"")</f>
        <v/>
      </c>
      <c r="AP793" s="33" t="str">
        <f>IF(COUNTIF('Paste Here'!$AK$2:AK793,'Paste Here'!AK793)=1,VALUE('Paste Here'!AK793),"")</f>
        <v/>
      </c>
    </row>
    <row r="794" spans="1:42" x14ac:dyDescent="0.3">
      <c r="A794"/>
      <c r="B794"/>
      <c r="C794"/>
      <c r="D794" s="4"/>
      <c r="E794"/>
      <c r="F794"/>
      <c r="G794"/>
      <c r="H794"/>
      <c r="AA794" s="33" t="str">
        <f t="shared" si="37"/>
        <v/>
      </c>
      <c r="AC794" s="33">
        <f t="shared" si="36"/>
        <v>1048540</v>
      </c>
      <c r="AD794" s="33" t="str">
        <f t="shared" si="38"/>
        <v/>
      </c>
      <c r="AE794" s="33" t="str" cm="1">
        <f t="array" ref="AE794">LOOKUP(2,1/($AB$2:$AB$1000=AB794),$AD$2:$AD$1000)</f>
        <v/>
      </c>
      <c r="AO794" s="33" t="str" cm="1">
        <f t="array" ref="AO794">IFERROR(INDEX($AA$2:$AA$282,MATCH(0,COUNTIF('Paste Here'!$AK$1:AK793,$AA$2:$AA$282),0)),"")</f>
        <v/>
      </c>
      <c r="AP794" s="33" t="str">
        <f>IF(COUNTIF('Paste Here'!$AK$2:AK794,'Paste Here'!AK794)=1,VALUE('Paste Here'!AK794),"")</f>
        <v/>
      </c>
    </row>
    <row r="795" spans="1:42" x14ac:dyDescent="0.3">
      <c r="A795"/>
      <c r="B795"/>
      <c r="C795"/>
      <c r="D795" s="4"/>
      <c r="E795"/>
      <c r="F795"/>
      <c r="G795"/>
      <c r="H795"/>
      <c r="AA795" s="33" t="str">
        <f t="shared" si="37"/>
        <v/>
      </c>
      <c r="AC795" s="33">
        <f t="shared" si="36"/>
        <v>1048540</v>
      </c>
      <c r="AD795" s="33" t="str">
        <f t="shared" si="38"/>
        <v/>
      </c>
      <c r="AE795" s="33" t="str" cm="1">
        <f t="array" ref="AE795">LOOKUP(2,1/($AB$2:$AB$1000=AB795),$AD$2:$AD$1000)</f>
        <v/>
      </c>
      <c r="AO795" s="33" t="str" cm="1">
        <f t="array" ref="AO795">IFERROR(INDEX($AA$2:$AA$282,MATCH(0,COUNTIF('Paste Here'!$AK$1:AK794,$AA$2:$AA$282),0)),"")</f>
        <v/>
      </c>
      <c r="AP795" s="33" t="str">
        <f>IF(COUNTIF('Paste Here'!$AK$2:AK795,'Paste Here'!AK795)=1,VALUE('Paste Here'!AK795),"")</f>
        <v/>
      </c>
    </row>
    <row r="796" spans="1:42" x14ac:dyDescent="0.3">
      <c r="A796"/>
      <c r="B796"/>
      <c r="C796"/>
      <c r="D796" s="4"/>
      <c r="E796"/>
      <c r="F796"/>
      <c r="G796"/>
      <c r="H796"/>
      <c r="AA796" s="33" t="str">
        <f t="shared" si="37"/>
        <v/>
      </c>
      <c r="AC796" s="33">
        <f t="shared" si="36"/>
        <v>1048540</v>
      </c>
      <c r="AD796" s="33" t="str">
        <f t="shared" si="38"/>
        <v/>
      </c>
      <c r="AE796" s="33" t="str" cm="1">
        <f t="array" ref="AE796">LOOKUP(2,1/($AB$2:$AB$1000=AB796),$AD$2:$AD$1000)</f>
        <v/>
      </c>
      <c r="AO796" s="33" t="str" cm="1">
        <f t="array" ref="AO796">IFERROR(INDEX($AA$2:$AA$282,MATCH(0,COUNTIF('Paste Here'!$AK$1:AK795,$AA$2:$AA$282),0)),"")</f>
        <v/>
      </c>
      <c r="AP796" s="33" t="str">
        <f>IF(COUNTIF('Paste Here'!$AK$2:AK796,'Paste Here'!AK796)=1,VALUE('Paste Here'!AK796),"")</f>
        <v/>
      </c>
    </row>
    <row r="797" spans="1:42" x14ac:dyDescent="0.3">
      <c r="A797"/>
      <c r="B797"/>
      <c r="C797"/>
      <c r="D797" s="4"/>
      <c r="E797"/>
      <c r="F797"/>
      <c r="G797"/>
      <c r="H797"/>
      <c r="AA797" s="33" t="str">
        <f t="shared" si="37"/>
        <v/>
      </c>
      <c r="AC797" s="33">
        <f t="shared" si="36"/>
        <v>1048540</v>
      </c>
      <c r="AD797" s="33" t="str">
        <f t="shared" si="38"/>
        <v/>
      </c>
      <c r="AE797" s="33" t="str" cm="1">
        <f t="array" ref="AE797">LOOKUP(2,1/($AB$2:$AB$1000=AB797),$AD$2:$AD$1000)</f>
        <v/>
      </c>
      <c r="AO797" s="33" t="str" cm="1">
        <f t="array" ref="AO797">IFERROR(INDEX($AA$2:$AA$282,MATCH(0,COUNTIF('Paste Here'!$AK$1:AK796,$AA$2:$AA$282),0)),"")</f>
        <v/>
      </c>
      <c r="AP797" s="33" t="str">
        <f>IF(COUNTIF('Paste Here'!$AK$2:AK797,'Paste Here'!AK797)=1,VALUE('Paste Here'!AK797),"")</f>
        <v/>
      </c>
    </row>
    <row r="798" spans="1:42" x14ac:dyDescent="0.3">
      <c r="A798"/>
      <c r="B798"/>
      <c r="C798"/>
      <c r="D798" s="4"/>
      <c r="E798"/>
      <c r="F798"/>
      <c r="G798"/>
      <c r="H798"/>
      <c r="AA798" s="33" t="str">
        <f t="shared" si="37"/>
        <v/>
      </c>
      <c r="AC798" s="33">
        <f t="shared" si="36"/>
        <v>1048540</v>
      </c>
      <c r="AD798" s="33" t="str">
        <f t="shared" si="38"/>
        <v/>
      </c>
      <c r="AE798" s="33" t="str" cm="1">
        <f t="array" ref="AE798">LOOKUP(2,1/($AB$2:$AB$1000=AB798),$AD$2:$AD$1000)</f>
        <v/>
      </c>
      <c r="AO798" s="33" t="str" cm="1">
        <f t="array" ref="AO798">IFERROR(INDEX($AA$2:$AA$282,MATCH(0,COUNTIF('Paste Here'!$AK$1:AK797,$AA$2:$AA$282),0)),"")</f>
        <v/>
      </c>
      <c r="AP798" s="33" t="str">
        <f>IF(COUNTIF('Paste Here'!$AK$2:AK798,'Paste Here'!AK798)=1,VALUE('Paste Here'!AK798),"")</f>
        <v/>
      </c>
    </row>
    <row r="799" spans="1:42" x14ac:dyDescent="0.3">
      <c r="A799" s="2"/>
      <c r="B799" s="2"/>
      <c r="C799" s="2"/>
      <c r="D799" s="3"/>
      <c r="E799" s="2"/>
      <c r="F799" s="2"/>
      <c r="G799" s="2"/>
      <c r="H799" s="2"/>
      <c r="AA799" s="33" t="str">
        <f t="shared" si="37"/>
        <v/>
      </c>
      <c r="AC799" s="33">
        <f t="shared" si="36"/>
        <v>1048540</v>
      </c>
      <c r="AD799" s="33" t="str">
        <f t="shared" si="38"/>
        <v/>
      </c>
      <c r="AE799" s="33" t="str" cm="1">
        <f t="array" ref="AE799">LOOKUP(2,1/($AB$2:$AB$1000=AB799),$AD$2:$AD$1000)</f>
        <v/>
      </c>
      <c r="AO799" s="33" t="str" cm="1">
        <f t="array" ref="AO799">IFERROR(INDEX($AA$2:$AA$282,MATCH(0,COUNTIF('Paste Here'!$AK$1:AK798,$AA$2:$AA$282),0)),"")</f>
        <v/>
      </c>
      <c r="AP799" s="33" t="str">
        <f>IF(COUNTIF('Paste Here'!$AK$2:AK799,'Paste Here'!AK799)=1,VALUE('Paste Here'!AK799),"")</f>
        <v/>
      </c>
    </row>
    <row r="800" spans="1:42" x14ac:dyDescent="0.3">
      <c r="A800" s="2"/>
      <c r="B800" s="2"/>
      <c r="C800" s="2"/>
      <c r="D800" s="3"/>
      <c r="E800" s="2"/>
      <c r="F800" s="2"/>
      <c r="G800" s="2"/>
      <c r="H800" s="2"/>
      <c r="AA800" s="33" t="str">
        <f t="shared" si="37"/>
        <v/>
      </c>
      <c r="AC800" s="33">
        <f t="shared" si="36"/>
        <v>1048540</v>
      </c>
      <c r="AD800" s="33" t="str">
        <f t="shared" si="38"/>
        <v/>
      </c>
      <c r="AE800" s="33" t="str" cm="1">
        <f t="array" ref="AE800">LOOKUP(2,1/($AB$2:$AB$1000=AB800),$AD$2:$AD$1000)</f>
        <v/>
      </c>
      <c r="AO800" s="33" t="str" cm="1">
        <f t="array" ref="AO800">IFERROR(INDEX($AA$2:$AA$282,MATCH(0,COUNTIF('Paste Here'!$AK$1:AK799,$AA$2:$AA$282),0)),"")</f>
        <v/>
      </c>
      <c r="AP800" s="33" t="str">
        <f>IF(COUNTIF('Paste Here'!$AK$2:AK800,'Paste Here'!AK800)=1,VALUE('Paste Here'!AK800),"")</f>
        <v/>
      </c>
    </row>
    <row r="801" spans="1:42" x14ac:dyDescent="0.3">
      <c r="A801" s="2"/>
      <c r="B801" s="2"/>
      <c r="C801" s="2"/>
      <c r="D801" s="3"/>
      <c r="E801" s="2"/>
      <c r="F801" s="2"/>
      <c r="G801" s="2"/>
      <c r="H801" s="2"/>
      <c r="AA801" s="33" t="str">
        <f t="shared" si="37"/>
        <v/>
      </c>
      <c r="AC801" s="33">
        <f t="shared" si="36"/>
        <v>1048540</v>
      </c>
      <c r="AD801" s="33" t="str">
        <f t="shared" si="38"/>
        <v/>
      </c>
      <c r="AE801" s="33" t="str" cm="1">
        <f t="array" ref="AE801">LOOKUP(2,1/($AB$2:$AB$1000=AB801),$AD$2:$AD$1000)</f>
        <v/>
      </c>
      <c r="AO801" s="33" t="str" cm="1">
        <f t="array" ref="AO801">IFERROR(INDEX($AA$2:$AA$282,MATCH(0,COUNTIF('Paste Here'!$AK$1:AK800,$AA$2:$AA$282),0)),"")</f>
        <v/>
      </c>
      <c r="AP801" s="33" t="str">
        <f>IF(COUNTIF('Paste Here'!$AK$2:AK801,'Paste Here'!AK801)=1,VALUE('Paste Here'!AK801),"")</f>
        <v/>
      </c>
    </row>
    <row r="802" spans="1:42" x14ac:dyDescent="0.3">
      <c r="A802" s="2"/>
      <c r="B802" s="2"/>
      <c r="C802" s="2"/>
      <c r="D802" s="3"/>
      <c r="E802" s="2"/>
      <c r="F802" s="2"/>
      <c r="G802" s="2"/>
      <c r="H802" s="2"/>
      <c r="AA802" s="33" t="str">
        <f t="shared" si="37"/>
        <v/>
      </c>
      <c r="AC802" s="33">
        <f t="shared" si="36"/>
        <v>1048540</v>
      </c>
      <c r="AD802" s="33" t="str">
        <f t="shared" si="38"/>
        <v/>
      </c>
      <c r="AE802" s="33" t="str" cm="1">
        <f t="array" ref="AE802">LOOKUP(2,1/($AB$2:$AB$1000=AB802),$AD$2:$AD$1000)</f>
        <v/>
      </c>
      <c r="AO802" s="33" t="str" cm="1">
        <f t="array" ref="AO802">IFERROR(INDEX($AA$2:$AA$282,MATCH(0,COUNTIF('Paste Here'!$AK$1:AK801,$AA$2:$AA$282),0)),"")</f>
        <v/>
      </c>
      <c r="AP802" s="33" t="str">
        <f>IF(COUNTIF('Paste Here'!$AK$2:AK802,'Paste Here'!AK802)=1,VALUE('Paste Here'!AK802),"")</f>
        <v/>
      </c>
    </row>
    <row r="803" spans="1:42" x14ac:dyDescent="0.3">
      <c r="A803" s="2"/>
      <c r="B803" s="2"/>
      <c r="C803" s="2"/>
      <c r="D803" s="3"/>
      <c r="E803" s="2"/>
      <c r="F803" s="2"/>
      <c r="G803" s="2"/>
      <c r="H803" s="2"/>
      <c r="AA803" s="33" t="str">
        <f t="shared" si="37"/>
        <v/>
      </c>
      <c r="AC803" s="33">
        <f t="shared" si="36"/>
        <v>1048540</v>
      </c>
      <c r="AD803" s="33" t="str">
        <f t="shared" si="38"/>
        <v/>
      </c>
      <c r="AE803" s="33" t="str" cm="1">
        <f t="array" ref="AE803">LOOKUP(2,1/($AB$2:$AB$1000=AB803),$AD$2:$AD$1000)</f>
        <v/>
      </c>
      <c r="AO803" s="33" t="str" cm="1">
        <f t="array" ref="AO803">IFERROR(INDEX($AA$2:$AA$282,MATCH(0,COUNTIF('Paste Here'!$AK$1:AK802,$AA$2:$AA$282),0)),"")</f>
        <v/>
      </c>
      <c r="AP803" s="33" t="str">
        <f>IF(COUNTIF('Paste Here'!$AK$2:AK803,'Paste Here'!AK803)=1,VALUE('Paste Here'!AK803),"")</f>
        <v/>
      </c>
    </row>
    <row r="804" spans="1:42" x14ac:dyDescent="0.3">
      <c r="A804" s="2"/>
      <c r="B804" s="2"/>
      <c r="C804" s="2"/>
      <c r="D804" s="3"/>
      <c r="E804" s="2"/>
      <c r="F804" s="2"/>
      <c r="G804" s="2"/>
      <c r="H804" s="2"/>
      <c r="AA804" s="33" t="str">
        <f t="shared" si="37"/>
        <v/>
      </c>
      <c r="AC804" s="33">
        <f t="shared" si="36"/>
        <v>1048540</v>
      </c>
      <c r="AD804" s="33" t="str">
        <f t="shared" si="38"/>
        <v/>
      </c>
      <c r="AE804" s="33" t="str" cm="1">
        <f t="array" ref="AE804">LOOKUP(2,1/($AB$2:$AB$1000=AB804),$AD$2:$AD$1000)</f>
        <v/>
      </c>
      <c r="AO804" s="33" t="str" cm="1">
        <f t="array" ref="AO804">IFERROR(INDEX($AA$2:$AA$282,MATCH(0,COUNTIF('Paste Here'!$AK$1:AK803,$AA$2:$AA$282),0)),"")</f>
        <v/>
      </c>
      <c r="AP804" s="33" t="str">
        <f>IF(COUNTIF('Paste Here'!$AK$2:AK804,'Paste Here'!AK804)=1,VALUE('Paste Here'!AK804),"")</f>
        <v/>
      </c>
    </row>
    <row r="805" spans="1:42" x14ac:dyDescent="0.3">
      <c r="A805" s="2"/>
      <c r="B805" s="2"/>
      <c r="C805" s="2"/>
      <c r="D805" s="3"/>
      <c r="E805" s="2"/>
      <c r="F805" s="2"/>
      <c r="G805" s="2"/>
      <c r="H805" s="2"/>
      <c r="AA805" s="33" t="str">
        <f t="shared" si="37"/>
        <v/>
      </c>
      <c r="AC805" s="33">
        <f t="shared" si="36"/>
        <v>1048540</v>
      </c>
      <c r="AD805" s="33" t="str">
        <f t="shared" si="38"/>
        <v/>
      </c>
      <c r="AE805" s="33" t="str" cm="1">
        <f t="array" ref="AE805">LOOKUP(2,1/($AB$2:$AB$1000=AB805),$AD$2:$AD$1000)</f>
        <v/>
      </c>
      <c r="AO805" s="33" t="str" cm="1">
        <f t="array" ref="AO805">IFERROR(INDEX($AA$2:$AA$282,MATCH(0,COUNTIF('Paste Here'!$AK$1:AK804,$AA$2:$AA$282),0)),"")</f>
        <v/>
      </c>
      <c r="AP805" s="33" t="str">
        <f>IF(COUNTIF('Paste Here'!$AK$2:AK805,'Paste Here'!AK805)=1,VALUE('Paste Here'!AK805),"")</f>
        <v/>
      </c>
    </row>
    <row r="806" spans="1:42" x14ac:dyDescent="0.3">
      <c r="A806" s="2"/>
      <c r="B806" s="2"/>
      <c r="C806" s="2"/>
      <c r="D806" s="3"/>
      <c r="E806" s="2"/>
      <c r="F806" s="2"/>
      <c r="G806" s="2"/>
      <c r="H806" s="2"/>
      <c r="AA806" s="33" t="str">
        <f t="shared" si="37"/>
        <v/>
      </c>
      <c r="AC806" s="33">
        <f t="shared" si="36"/>
        <v>1048540</v>
      </c>
      <c r="AD806" s="33" t="str">
        <f t="shared" si="38"/>
        <v/>
      </c>
      <c r="AE806" s="33" t="str" cm="1">
        <f t="array" ref="AE806">LOOKUP(2,1/($AB$2:$AB$1000=AB806),$AD$2:$AD$1000)</f>
        <v/>
      </c>
      <c r="AO806" s="33" t="str" cm="1">
        <f t="array" ref="AO806">IFERROR(INDEX($AA$2:$AA$282,MATCH(0,COUNTIF('Paste Here'!$AK$1:AK805,$AA$2:$AA$282),0)),"")</f>
        <v/>
      </c>
      <c r="AP806" s="33" t="str">
        <f>IF(COUNTIF('Paste Here'!$AK$2:AK806,'Paste Here'!AK806)=1,VALUE('Paste Here'!AK806),"")</f>
        <v/>
      </c>
    </row>
    <row r="807" spans="1:42" x14ac:dyDescent="0.3">
      <c r="A807" s="2"/>
      <c r="B807" s="2"/>
      <c r="C807" s="2"/>
      <c r="D807" s="3"/>
      <c r="E807" s="2"/>
      <c r="F807" s="2"/>
      <c r="G807" s="2"/>
      <c r="H807" s="2"/>
      <c r="AA807" s="33" t="str">
        <f t="shared" si="37"/>
        <v/>
      </c>
      <c r="AC807" s="33">
        <f t="shared" si="36"/>
        <v>1048540</v>
      </c>
      <c r="AD807" s="33" t="str">
        <f t="shared" si="38"/>
        <v/>
      </c>
      <c r="AE807" s="33" t="str" cm="1">
        <f t="array" ref="AE807">LOOKUP(2,1/($AB$2:$AB$1000=AB807),$AD$2:$AD$1000)</f>
        <v/>
      </c>
      <c r="AO807" s="33" t="str" cm="1">
        <f t="array" ref="AO807">IFERROR(INDEX($AA$2:$AA$282,MATCH(0,COUNTIF('Paste Here'!$AK$1:AK806,$AA$2:$AA$282),0)),"")</f>
        <v/>
      </c>
      <c r="AP807" s="33" t="str">
        <f>IF(COUNTIF('Paste Here'!$AK$2:AK807,'Paste Here'!AK807)=1,VALUE('Paste Here'!AK807),"")</f>
        <v/>
      </c>
    </row>
    <row r="808" spans="1:42" x14ac:dyDescent="0.3">
      <c r="A808" s="2"/>
      <c r="B808" s="2"/>
      <c r="C808" s="2"/>
      <c r="D808" s="3"/>
      <c r="E808" s="2"/>
      <c r="F808" s="2"/>
      <c r="G808" s="2"/>
      <c r="H808" s="2"/>
      <c r="AA808" s="33" t="str">
        <f t="shared" si="37"/>
        <v/>
      </c>
      <c r="AC808" s="33">
        <f t="shared" si="36"/>
        <v>1048540</v>
      </c>
      <c r="AD808" s="33" t="str">
        <f t="shared" si="38"/>
        <v/>
      </c>
      <c r="AE808" s="33" t="str" cm="1">
        <f t="array" ref="AE808">LOOKUP(2,1/($AB$2:$AB$1000=AB808),$AD$2:$AD$1000)</f>
        <v/>
      </c>
      <c r="AO808" s="33" t="str" cm="1">
        <f t="array" ref="AO808">IFERROR(INDEX($AA$2:$AA$282,MATCH(0,COUNTIF('Paste Here'!$AK$1:AK807,$AA$2:$AA$282),0)),"")</f>
        <v/>
      </c>
      <c r="AP808" s="33" t="str">
        <f>IF(COUNTIF('Paste Here'!$AK$2:AK808,'Paste Here'!AK808)=1,VALUE('Paste Here'!AK808),"")</f>
        <v/>
      </c>
    </row>
    <row r="809" spans="1:42" x14ac:dyDescent="0.3">
      <c r="A809" s="2"/>
      <c r="B809" s="2"/>
      <c r="C809" s="2"/>
      <c r="D809" s="3"/>
      <c r="E809" s="2"/>
      <c r="F809" s="2"/>
      <c r="G809" s="2"/>
      <c r="H809" s="2"/>
      <c r="AA809" s="33" t="str">
        <f t="shared" si="37"/>
        <v/>
      </c>
      <c r="AC809" s="33">
        <f t="shared" si="36"/>
        <v>1048540</v>
      </c>
      <c r="AD809" s="33" t="str">
        <f t="shared" si="38"/>
        <v/>
      </c>
      <c r="AE809" s="33" t="str" cm="1">
        <f t="array" ref="AE809">LOOKUP(2,1/($AB$2:$AB$1000=AB809),$AD$2:$AD$1000)</f>
        <v/>
      </c>
      <c r="AO809" s="33" t="str" cm="1">
        <f t="array" ref="AO809">IFERROR(INDEX($AA$2:$AA$282,MATCH(0,COUNTIF('Paste Here'!$AK$1:AK808,$AA$2:$AA$282),0)),"")</f>
        <v/>
      </c>
      <c r="AP809" s="33" t="str">
        <f>IF(COUNTIF('Paste Here'!$AK$2:AK809,'Paste Here'!AK809)=1,VALUE('Paste Here'!AK809),"")</f>
        <v/>
      </c>
    </row>
    <row r="810" spans="1:42" x14ac:dyDescent="0.3">
      <c r="A810" s="2"/>
      <c r="B810" s="2"/>
      <c r="C810" s="2"/>
      <c r="D810" s="3"/>
      <c r="E810" s="2"/>
      <c r="F810" s="2"/>
      <c r="G810" s="2"/>
      <c r="H810" s="2"/>
      <c r="AA810" s="33" t="str">
        <f t="shared" si="37"/>
        <v/>
      </c>
      <c r="AC810" s="33">
        <f t="shared" si="36"/>
        <v>1048540</v>
      </c>
      <c r="AD810" s="33" t="str">
        <f t="shared" si="38"/>
        <v/>
      </c>
      <c r="AE810" s="33" t="str" cm="1">
        <f t="array" ref="AE810">LOOKUP(2,1/($AB$2:$AB$1000=AB810),$AD$2:$AD$1000)</f>
        <v/>
      </c>
      <c r="AO810" s="33" t="str" cm="1">
        <f t="array" ref="AO810">IFERROR(INDEX($AA$2:$AA$282,MATCH(0,COUNTIF('Paste Here'!$AK$1:AK809,$AA$2:$AA$282),0)),"")</f>
        <v/>
      </c>
      <c r="AP810" s="33" t="str">
        <f>IF(COUNTIF('Paste Here'!$AK$2:AK810,'Paste Here'!AK810)=1,VALUE('Paste Here'!AK810),"")</f>
        <v/>
      </c>
    </row>
    <row r="811" spans="1:42" x14ac:dyDescent="0.3">
      <c r="A811" s="2"/>
      <c r="B811" s="2"/>
      <c r="C811" s="2"/>
      <c r="D811" s="3"/>
      <c r="E811" s="2"/>
      <c r="F811" s="2"/>
      <c r="G811" s="2"/>
      <c r="H811" s="2"/>
      <c r="AA811" s="33" t="str">
        <f t="shared" si="37"/>
        <v/>
      </c>
      <c r="AC811" s="33">
        <f t="shared" si="36"/>
        <v>1048540</v>
      </c>
      <c r="AD811" s="33" t="str">
        <f t="shared" si="38"/>
        <v/>
      </c>
      <c r="AE811" s="33" t="str" cm="1">
        <f t="array" ref="AE811">LOOKUP(2,1/($AB$2:$AB$1000=AB811),$AD$2:$AD$1000)</f>
        <v/>
      </c>
      <c r="AO811" s="33" t="str" cm="1">
        <f t="array" ref="AO811">IFERROR(INDEX($AA$2:$AA$282,MATCH(0,COUNTIF('Paste Here'!$AK$1:AK810,$AA$2:$AA$282),0)),"")</f>
        <v/>
      </c>
      <c r="AP811" s="33" t="str">
        <f>IF(COUNTIF('Paste Here'!$AK$2:AK811,'Paste Here'!AK811)=1,VALUE('Paste Here'!AK811),"")</f>
        <v/>
      </c>
    </row>
    <row r="812" spans="1:42" x14ac:dyDescent="0.3">
      <c r="A812" s="2"/>
      <c r="B812" s="2"/>
      <c r="C812" s="2"/>
      <c r="D812" s="3"/>
      <c r="E812" s="2"/>
      <c r="F812" s="2"/>
      <c r="G812" s="2"/>
      <c r="H812" s="2"/>
      <c r="AA812" s="33" t="str">
        <f t="shared" si="37"/>
        <v/>
      </c>
      <c r="AC812" s="33">
        <f t="shared" si="36"/>
        <v>1048540</v>
      </c>
      <c r="AD812" s="33" t="str">
        <f t="shared" si="38"/>
        <v/>
      </c>
      <c r="AE812" s="33" t="str" cm="1">
        <f t="array" ref="AE812">LOOKUP(2,1/($AB$2:$AB$1000=AB812),$AD$2:$AD$1000)</f>
        <v/>
      </c>
      <c r="AO812" s="33" t="str" cm="1">
        <f t="array" ref="AO812">IFERROR(INDEX($AA$2:$AA$282,MATCH(0,COUNTIF('Paste Here'!$AK$1:AK811,$AA$2:$AA$282),0)),"")</f>
        <v/>
      </c>
      <c r="AP812" s="33" t="str">
        <f>IF(COUNTIF('Paste Here'!$AK$2:AK812,'Paste Here'!AK812)=1,VALUE('Paste Here'!AK812),"")</f>
        <v/>
      </c>
    </row>
    <row r="813" spans="1:42" x14ac:dyDescent="0.3">
      <c r="A813" s="2"/>
      <c r="B813" s="2"/>
      <c r="C813" s="2"/>
      <c r="D813" s="3"/>
      <c r="E813" s="2"/>
      <c r="F813" s="2"/>
      <c r="G813" s="2"/>
      <c r="H813" s="2"/>
      <c r="AA813" s="33" t="str">
        <f t="shared" si="37"/>
        <v/>
      </c>
      <c r="AC813" s="33">
        <f t="shared" si="36"/>
        <v>1048540</v>
      </c>
      <c r="AD813" s="33" t="str">
        <f t="shared" si="38"/>
        <v/>
      </c>
      <c r="AE813" s="33" t="str" cm="1">
        <f t="array" ref="AE813">LOOKUP(2,1/($AB$2:$AB$1000=AB813),$AD$2:$AD$1000)</f>
        <v/>
      </c>
      <c r="AO813" s="33" t="str" cm="1">
        <f t="array" ref="AO813">IFERROR(INDEX($AA$2:$AA$282,MATCH(0,COUNTIF('Paste Here'!$AK$1:AK812,$AA$2:$AA$282),0)),"")</f>
        <v/>
      </c>
      <c r="AP813" s="33" t="str">
        <f>IF(COUNTIF('Paste Here'!$AK$2:AK813,'Paste Here'!AK813)=1,VALUE('Paste Here'!AK813),"")</f>
        <v/>
      </c>
    </row>
    <row r="814" spans="1:42" x14ac:dyDescent="0.3">
      <c r="A814" s="2"/>
      <c r="B814" s="2"/>
      <c r="C814" s="2"/>
      <c r="D814" s="3"/>
      <c r="E814" s="2"/>
      <c r="F814" s="2"/>
      <c r="G814" s="2"/>
      <c r="H814" s="2"/>
      <c r="AA814" s="33" t="str">
        <f t="shared" si="37"/>
        <v/>
      </c>
      <c r="AC814" s="33">
        <f t="shared" si="36"/>
        <v>1048540</v>
      </c>
      <c r="AD814" s="33" t="str">
        <f t="shared" si="38"/>
        <v/>
      </c>
      <c r="AE814" s="33" t="str" cm="1">
        <f t="array" ref="AE814">LOOKUP(2,1/($AB$2:$AB$1000=AB814),$AD$2:$AD$1000)</f>
        <v/>
      </c>
      <c r="AO814" s="33" t="str" cm="1">
        <f t="array" ref="AO814">IFERROR(INDEX($AA$2:$AA$282,MATCH(0,COUNTIF('Paste Here'!$AK$1:AK813,$AA$2:$AA$282),0)),"")</f>
        <v/>
      </c>
      <c r="AP814" s="33" t="str">
        <f>IF(COUNTIF('Paste Here'!$AK$2:AK814,'Paste Here'!AK814)=1,VALUE('Paste Here'!AK814),"")</f>
        <v/>
      </c>
    </row>
    <row r="815" spans="1:42" x14ac:dyDescent="0.3">
      <c r="A815" s="2"/>
      <c r="B815" s="2"/>
      <c r="C815" s="2"/>
      <c r="D815" s="3"/>
      <c r="E815" s="2"/>
      <c r="F815" s="2"/>
      <c r="G815" s="2"/>
      <c r="H815" s="2"/>
      <c r="AA815" s="33" t="str">
        <f t="shared" si="37"/>
        <v/>
      </c>
      <c r="AC815" s="33">
        <f t="shared" si="36"/>
        <v>1048540</v>
      </c>
      <c r="AD815" s="33" t="str">
        <f t="shared" si="38"/>
        <v/>
      </c>
      <c r="AE815" s="33" t="str" cm="1">
        <f t="array" ref="AE815">LOOKUP(2,1/($AB$2:$AB$1000=AB815),$AD$2:$AD$1000)</f>
        <v/>
      </c>
      <c r="AO815" s="33" t="str" cm="1">
        <f t="array" ref="AO815">IFERROR(INDEX($AA$2:$AA$282,MATCH(0,COUNTIF('Paste Here'!$AK$1:AK814,$AA$2:$AA$282),0)),"")</f>
        <v/>
      </c>
      <c r="AP815" s="33" t="str">
        <f>IF(COUNTIF('Paste Here'!$AK$2:AK815,'Paste Here'!AK815)=1,VALUE('Paste Here'!AK815),"")</f>
        <v/>
      </c>
    </row>
    <row r="816" spans="1:42" x14ac:dyDescent="0.3">
      <c r="A816" s="2"/>
      <c r="B816" s="2"/>
      <c r="C816" s="2"/>
      <c r="D816" s="3"/>
      <c r="E816" s="2"/>
      <c r="F816" s="2"/>
      <c r="G816" s="2"/>
      <c r="H816" s="2"/>
      <c r="AA816" s="33" t="str">
        <f t="shared" si="37"/>
        <v/>
      </c>
      <c r="AC816" s="33">
        <f t="shared" si="36"/>
        <v>1048540</v>
      </c>
      <c r="AD816" s="33" t="str">
        <f t="shared" si="38"/>
        <v/>
      </c>
      <c r="AE816" s="33" t="str" cm="1">
        <f t="array" ref="AE816">LOOKUP(2,1/($AB$2:$AB$1000=AB816),$AD$2:$AD$1000)</f>
        <v/>
      </c>
      <c r="AO816" s="33" t="str" cm="1">
        <f t="array" ref="AO816">IFERROR(INDEX($AA$2:$AA$282,MATCH(0,COUNTIF('Paste Here'!$AK$1:AK815,$AA$2:$AA$282),0)),"")</f>
        <v/>
      </c>
      <c r="AP816" s="33" t="str">
        <f>IF(COUNTIF('Paste Here'!$AK$2:AK816,'Paste Here'!AK816)=1,VALUE('Paste Here'!AK816),"")</f>
        <v/>
      </c>
    </row>
    <row r="817" spans="1:42" x14ac:dyDescent="0.3">
      <c r="A817" s="2"/>
      <c r="B817" s="2"/>
      <c r="C817" s="2"/>
      <c r="D817" s="3"/>
      <c r="E817" s="2"/>
      <c r="F817" s="2"/>
      <c r="G817" s="2"/>
      <c r="H817" s="2"/>
      <c r="AA817" s="33" t="str">
        <f t="shared" si="37"/>
        <v/>
      </c>
      <c r="AC817" s="33">
        <f t="shared" si="36"/>
        <v>1048540</v>
      </c>
      <c r="AD817" s="33" t="str">
        <f t="shared" si="38"/>
        <v/>
      </c>
      <c r="AE817" s="33" t="str" cm="1">
        <f t="array" ref="AE817">LOOKUP(2,1/($AB$2:$AB$1000=AB817),$AD$2:$AD$1000)</f>
        <v/>
      </c>
      <c r="AO817" s="33" t="str" cm="1">
        <f t="array" ref="AO817">IFERROR(INDEX($AA$2:$AA$282,MATCH(0,COUNTIF('Paste Here'!$AK$1:AK816,$AA$2:$AA$282),0)),"")</f>
        <v/>
      </c>
      <c r="AP817" s="33" t="str">
        <f>IF(COUNTIF('Paste Here'!$AK$2:AK817,'Paste Here'!AK817)=1,VALUE('Paste Here'!AK817),"")</f>
        <v/>
      </c>
    </row>
    <row r="818" spans="1:42" x14ac:dyDescent="0.3">
      <c r="A818" s="2"/>
      <c r="B818" s="2"/>
      <c r="C818" s="2"/>
      <c r="D818" s="3"/>
      <c r="E818" s="2"/>
      <c r="F818" s="2"/>
      <c r="G818" s="2"/>
      <c r="H818" s="2"/>
      <c r="AA818" s="33" t="str">
        <f t="shared" si="37"/>
        <v/>
      </c>
      <c r="AC818" s="33">
        <f t="shared" si="36"/>
        <v>1048540</v>
      </c>
      <c r="AD818" s="33" t="str">
        <f t="shared" si="38"/>
        <v/>
      </c>
      <c r="AE818" s="33" t="str" cm="1">
        <f t="array" ref="AE818">LOOKUP(2,1/($AB$2:$AB$1000=AB818),$AD$2:$AD$1000)</f>
        <v/>
      </c>
      <c r="AO818" s="33" t="str" cm="1">
        <f t="array" ref="AO818">IFERROR(INDEX($AA$2:$AA$282,MATCH(0,COUNTIF('Paste Here'!$AK$1:AK817,$AA$2:$AA$282),0)),"")</f>
        <v/>
      </c>
      <c r="AP818" s="33" t="str">
        <f>IF(COUNTIF('Paste Here'!$AK$2:AK818,'Paste Here'!AK818)=1,VALUE('Paste Here'!AK818),"")</f>
        <v/>
      </c>
    </row>
    <row r="819" spans="1:42" x14ac:dyDescent="0.3">
      <c r="A819" s="2"/>
      <c r="B819" s="2"/>
      <c r="C819" s="2"/>
      <c r="D819" s="3"/>
      <c r="E819" s="2"/>
      <c r="F819" s="2"/>
      <c r="G819" s="2"/>
      <c r="H819" s="2"/>
      <c r="AA819" s="33" t="str">
        <f t="shared" si="37"/>
        <v/>
      </c>
      <c r="AC819" s="33">
        <f t="shared" si="36"/>
        <v>1048540</v>
      </c>
      <c r="AD819" s="33" t="str">
        <f t="shared" si="38"/>
        <v/>
      </c>
      <c r="AE819" s="33" t="str" cm="1">
        <f t="array" ref="AE819">LOOKUP(2,1/($AB$2:$AB$1000=AB819),$AD$2:$AD$1000)</f>
        <v/>
      </c>
      <c r="AO819" s="33" t="str" cm="1">
        <f t="array" ref="AO819">IFERROR(INDEX($AA$2:$AA$282,MATCH(0,COUNTIF('Paste Here'!$AK$1:AK818,$AA$2:$AA$282),0)),"")</f>
        <v/>
      </c>
      <c r="AP819" s="33" t="str">
        <f>IF(COUNTIF('Paste Here'!$AK$2:AK819,'Paste Here'!AK819)=1,VALUE('Paste Here'!AK819),"")</f>
        <v/>
      </c>
    </row>
    <row r="820" spans="1:42" x14ac:dyDescent="0.3">
      <c r="A820" s="2"/>
      <c r="B820" s="2"/>
      <c r="C820" s="2"/>
      <c r="D820" s="3"/>
      <c r="E820" s="2"/>
      <c r="F820" s="2"/>
      <c r="G820" s="2"/>
      <c r="H820" s="2"/>
      <c r="AA820" s="33" t="str">
        <f t="shared" si="37"/>
        <v/>
      </c>
      <c r="AC820" s="33">
        <f t="shared" si="36"/>
        <v>1048540</v>
      </c>
      <c r="AD820" s="33" t="str">
        <f t="shared" si="38"/>
        <v/>
      </c>
      <c r="AE820" s="33" t="str" cm="1">
        <f t="array" ref="AE820">LOOKUP(2,1/($AB$2:$AB$1000=AB820),$AD$2:$AD$1000)</f>
        <v/>
      </c>
      <c r="AO820" s="33" t="str" cm="1">
        <f t="array" ref="AO820">IFERROR(INDEX($AA$2:$AA$282,MATCH(0,COUNTIF('Paste Here'!$AK$1:AK819,$AA$2:$AA$282),0)),"")</f>
        <v/>
      </c>
      <c r="AP820" s="33" t="str">
        <f>IF(COUNTIF('Paste Here'!$AK$2:AK820,'Paste Here'!AK820)=1,VALUE('Paste Here'!AK820),"")</f>
        <v/>
      </c>
    </row>
    <row r="821" spans="1:42" x14ac:dyDescent="0.3">
      <c r="A821" s="2"/>
      <c r="B821" s="2"/>
      <c r="C821" s="2"/>
      <c r="D821" s="3"/>
      <c r="E821" s="2"/>
      <c r="F821" s="2"/>
      <c r="G821" s="2"/>
      <c r="H821" s="2"/>
      <c r="AA821" s="33" t="str">
        <f t="shared" si="37"/>
        <v/>
      </c>
      <c r="AC821" s="33">
        <f t="shared" si="36"/>
        <v>1048540</v>
      </c>
      <c r="AD821" s="33" t="str">
        <f t="shared" si="38"/>
        <v/>
      </c>
      <c r="AE821" s="33" t="str" cm="1">
        <f t="array" ref="AE821">LOOKUP(2,1/($AB$2:$AB$1000=AB821),$AD$2:$AD$1000)</f>
        <v/>
      </c>
      <c r="AO821" s="33" t="str" cm="1">
        <f t="array" ref="AO821">IFERROR(INDEX($AA$2:$AA$282,MATCH(0,COUNTIF('Paste Here'!$AK$1:AK820,$AA$2:$AA$282),0)),"")</f>
        <v/>
      </c>
      <c r="AP821" s="33" t="str">
        <f>IF(COUNTIF('Paste Here'!$AK$2:AK821,'Paste Here'!AK821)=1,VALUE('Paste Here'!AK821),"")</f>
        <v/>
      </c>
    </row>
    <row r="822" spans="1:42" x14ac:dyDescent="0.3">
      <c r="A822" s="2"/>
      <c r="B822" s="2"/>
      <c r="C822" s="2"/>
      <c r="D822" s="3"/>
      <c r="E822" s="2"/>
      <c r="F822" s="2"/>
      <c r="G822" s="2"/>
      <c r="H822" s="2"/>
      <c r="AA822" s="33" t="str">
        <f t="shared" si="37"/>
        <v/>
      </c>
      <c r="AC822" s="33">
        <f t="shared" si="36"/>
        <v>1048540</v>
      </c>
      <c r="AD822" s="33" t="str">
        <f t="shared" si="38"/>
        <v/>
      </c>
      <c r="AE822" s="33" t="str" cm="1">
        <f t="array" ref="AE822">LOOKUP(2,1/($AB$2:$AB$1000=AB822),$AD$2:$AD$1000)</f>
        <v/>
      </c>
      <c r="AO822" s="33" t="str" cm="1">
        <f t="array" ref="AO822">IFERROR(INDEX($AA$2:$AA$282,MATCH(0,COUNTIF('Paste Here'!$AK$1:AK821,$AA$2:$AA$282),0)),"")</f>
        <v/>
      </c>
      <c r="AP822" s="33" t="str">
        <f>IF(COUNTIF('Paste Here'!$AK$2:AK822,'Paste Here'!AK822)=1,VALUE('Paste Here'!AK822),"")</f>
        <v/>
      </c>
    </row>
    <row r="823" spans="1:42" x14ac:dyDescent="0.3">
      <c r="A823" s="2"/>
      <c r="B823" s="2"/>
      <c r="C823" s="2"/>
      <c r="D823" s="3"/>
      <c r="E823" s="2"/>
      <c r="F823" s="2"/>
      <c r="G823" s="2"/>
      <c r="H823" s="2"/>
      <c r="AA823" s="33" t="str">
        <f t="shared" si="37"/>
        <v/>
      </c>
      <c r="AC823" s="33">
        <f t="shared" si="36"/>
        <v>1048540</v>
      </c>
      <c r="AD823" s="33" t="str">
        <f t="shared" si="38"/>
        <v/>
      </c>
      <c r="AE823" s="33" t="str" cm="1">
        <f t="array" ref="AE823">LOOKUP(2,1/($AB$2:$AB$1000=AB823),$AD$2:$AD$1000)</f>
        <v/>
      </c>
      <c r="AO823" s="33" t="str" cm="1">
        <f t="array" ref="AO823">IFERROR(INDEX($AA$2:$AA$282,MATCH(0,COUNTIF('Paste Here'!$AK$1:AK822,$AA$2:$AA$282),0)),"")</f>
        <v/>
      </c>
      <c r="AP823" s="33" t="str">
        <f>IF(COUNTIF('Paste Here'!$AK$2:AK823,'Paste Here'!AK823)=1,VALUE('Paste Here'!AK823),"")</f>
        <v/>
      </c>
    </row>
    <row r="824" spans="1:42" x14ac:dyDescent="0.3">
      <c r="A824" s="2"/>
      <c r="B824" s="2"/>
      <c r="C824" s="2"/>
      <c r="D824" s="3"/>
      <c r="E824" s="2"/>
      <c r="F824" s="2"/>
      <c r="G824" s="2"/>
      <c r="H824" s="2"/>
      <c r="AA824" s="33" t="str">
        <f t="shared" si="37"/>
        <v/>
      </c>
      <c r="AC824" s="33">
        <f t="shared" si="36"/>
        <v>1048540</v>
      </c>
      <c r="AD824" s="33" t="str">
        <f t="shared" si="38"/>
        <v/>
      </c>
      <c r="AE824" s="33" t="str" cm="1">
        <f t="array" ref="AE824">LOOKUP(2,1/($AB$2:$AB$1000=AB824),$AD$2:$AD$1000)</f>
        <v/>
      </c>
      <c r="AO824" s="33" t="str" cm="1">
        <f t="array" ref="AO824">IFERROR(INDEX($AA$2:$AA$282,MATCH(0,COUNTIF('Paste Here'!$AK$1:AK823,$AA$2:$AA$282),0)),"")</f>
        <v/>
      </c>
      <c r="AP824" s="33" t="str">
        <f>IF(COUNTIF('Paste Here'!$AK$2:AK824,'Paste Here'!AK824)=1,VALUE('Paste Here'!AK824),"")</f>
        <v/>
      </c>
    </row>
    <row r="825" spans="1:42" x14ac:dyDescent="0.3">
      <c r="A825" s="2"/>
      <c r="B825" s="2"/>
      <c r="C825" s="2"/>
      <c r="D825" s="3"/>
      <c r="E825" s="2"/>
      <c r="F825" s="2"/>
      <c r="G825" s="2"/>
      <c r="H825" s="2"/>
      <c r="AA825" s="33" t="str">
        <f t="shared" si="37"/>
        <v/>
      </c>
      <c r="AC825" s="33">
        <f t="shared" si="36"/>
        <v>1048540</v>
      </c>
      <c r="AD825" s="33" t="str">
        <f t="shared" si="38"/>
        <v/>
      </c>
      <c r="AE825" s="33" t="str" cm="1">
        <f t="array" ref="AE825">LOOKUP(2,1/($AB$2:$AB$1000=AB825),$AD$2:$AD$1000)</f>
        <v/>
      </c>
      <c r="AO825" s="33" t="str" cm="1">
        <f t="array" ref="AO825">IFERROR(INDEX($AA$2:$AA$282,MATCH(0,COUNTIF('Paste Here'!$AK$1:AK824,$AA$2:$AA$282),0)),"")</f>
        <v/>
      </c>
      <c r="AP825" s="33" t="str">
        <f>IF(COUNTIF('Paste Here'!$AK$2:AK825,'Paste Here'!AK825)=1,VALUE('Paste Here'!AK825),"")</f>
        <v/>
      </c>
    </row>
    <row r="826" spans="1:42" x14ac:dyDescent="0.3">
      <c r="A826" s="2"/>
      <c r="B826" s="2"/>
      <c r="C826" s="2"/>
      <c r="D826" s="3"/>
      <c r="E826" s="2"/>
      <c r="F826" s="2"/>
      <c r="G826" s="2"/>
      <c r="H826" s="2"/>
      <c r="AA826" s="33" t="str">
        <f t="shared" si="37"/>
        <v/>
      </c>
      <c r="AC826" s="33">
        <f t="shared" si="36"/>
        <v>1048540</v>
      </c>
      <c r="AD826" s="33" t="str">
        <f t="shared" si="38"/>
        <v/>
      </c>
      <c r="AE826" s="33" t="str" cm="1">
        <f t="array" ref="AE826">LOOKUP(2,1/($AB$2:$AB$1000=AB826),$AD$2:$AD$1000)</f>
        <v/>
      </c>
      <c r="AO826" s="33" t="str" cm="1">
        <f t="array" ref="AO826">IFERROR(INDEX($AA$2:$AA$282,MATCH(0,COUNTIF('Paste Here'!$AK$1:AK825,$AA$2:$AA$282),0)),"")</f>
        <v/>
      </c>
      <c r="AP826" s="33" t="str">
        <f>IF(COUNTIF('Paste Here'!$AK$2:AK826,'Paste Here'!AK826)=1,VALUE('Paste Here'!AK826),"")</f>
        <v/>
      </c>
    </row>
    <row r="827" spans="1:42" x14ac:dyDescent="0.3">
      <c r="A827" s="2"/>
      <c r="B827" s="2"/>
      <c r="C827" s="2"/>
      <c r="D827" s="3"/>
      <c r="E827" s="2"/>
      <c r="F827" s="2"/>
      <c r="G827" s="2"/>
      <c r="H827" s="2"/>
      <c r="AA827" s="33" t="str">
        <f t="shared" si="37"/>
        <v/>
      </c>
      <c r="AC827" s="33">
        <f t="shared" si="36"/>
        <v>1048540</v>
      </c>
      <c r="AD827" s="33" t="str">
        <f t="shared" si="38"/>
        <v/>
      </c>
      <c r="AE827" s="33" t="str" cm="1">
        <f t="array" ref="AE827">LOOKUP(2,1/($AB$2:$AB$1000=AB827),$AD$2:$AD$1000)</f>
        <v/>
      </c>
      <c r="AO827" s="33" t="str" cm="1">
        <f t="array" ref="AO827">IFERROR(INDEX($AA$2:$AA$282,MATCH(0,COUNTIF('Paste Here'!$AK$1:AK826,$AA$2:$AA$282),0)),"")</f>
        <v/>
      </c>
      <c r="AP827" s="33" t="str">
        <f>IF(COUNTIF('Paste Here'!$AK$2:AK827,'Paste Here'!AK827)=1,VALUE('Paste Here'!AK827),"")</f>
        <v/>
      </c>
    </row>
    <row r="828" spans="1:42" x14ac:dyDescent="0.3">
      <c r="A828" s="2"/>
      <c r="B828" s="2"/>
      <c r="C828" s="2"/>
      <c r="D828" s="3"/>
      <c r="E828" s="2"/>
      <c r="F828" s="2"/>
      <c r="G828" s="2"/>
      <c r="H828" s="2"/>
      <c r="AA828" s="33" t="str">
        <f t="shared" si="37"/>
        <v/>
      </c>
      <c r="AC828" s="33">
        <f t="shared" si="36"/>
        <v>1048540</v>
      </c>
      <c r="AD828" s="33" t="str">
        <f t="shared" si="38"/>
        <v/>
      </c>
      <c r="AE828" s="33" t="str" cm="1">
        <f t="array" ref="AE828">LOOKUP(2,1/($AB$2:$AB$1000=AB828),$AD$2:$AD$1000)</f>
        <v/>
      </c>
      <c r="AO828" s="33" t="str" cm="1">
        <f t="array" ref="AO828">IFERROR(INDEX($AA$2:$AA$282,MATCH(0,COUNTIF('Paste Here'!$AK$1:AK827,$AA$2:$AA$282),0)),"")</f>
        <v/>
      </c>
      <c r="AP828" s="33" t="str">
        <f>IF(COUNTIF('Paste Here'!$AK$2:AK828,'Paste Here'!AK828)=1,VALUE('Paste Here'!AK828),"")</f>
        <v/>
      </c>
    </row>
    <row r="829" spans="1:42" x14ac:dyDescent="0.3">
      <c r="A829" s="2"/>
      <c r="B829" s="2"/>
      <c r="C829" s="2"/>
      <c r="D829" s="3"/>
      <c r="E829" s="2"/>
      <c r="F829" s="2"/>
      <c r="G829" s="2"/>
      <c r="H829" s="2"/>
      <c r="AA829" s="33" t="str">
        <f t="shared" si="37"/>
        <v/>
      </c>
      <c r="AC829" s="33">
        <f t="shared" si="36"/>
        <v>1048540</v>
      </c>
      <c r="AD829" s="33" t="str">
        <f t="shared" si="38"/>
        <v/>
      </c>
      <c r="AE829" s="33" t="str" cm="1">
        <f t="array" ref="AE829">LOOKUP(2,1/($AB$2:$AB$1000=AB829),$AD$2:$AD$1000)</f>
        <v/>
      </c>
      <c r="AO829" s="33" t="str" cm="1">
        <f t="array" ref="AO829">IFERROR(INDEX($AA$2:$AA$282,MATCH(0,COUNTIF('Paste Here'!$AK$1:AK828,$AA$2:$AA$282),0)),"")</f>
        <v/>
      </c>
      <c r="AP829" s="33" t="str">
        <f>IF(COUNTIF('Paste Here'!$AK$2:AK829,'Paste Here'!AK829)=1,VALUE('Paste Here'!AK829),"")</f>
        <v/>
      </c>
    </row>
    <row r="830" spans="1:42" x14ac:dyDescent="0.3">
      <c r="A830" s="2"/>
      <c r="B830" s="2"/>
      <c r="C830" s="2"/>
      <c r="D830" s="3"/>
      <c r="E830" s="2"/>
      <c r="F830" s="2"/>
      <c r="G830" s="2"/>
      <c r="H830" s="2"/>
      <c r="AA830" s="33" t="str">
        <f t="shared" si="37"/>
        <v/>
      </c>
      <c r="AC830" s="33">
        <f t="shared" si="36"/>
        <v>1048540</v>
      </c>
      <c r="AD830" s="33" t="str">
        <f t="shared" si="38"/>
        <v/>
      </c>
      <c r="AE830" s="33" t="str" cm="1">
        <f t="array" ref="AE830">LOOKUP(2,1/($AB$2:$AB$1000=AB830),$AD$2:$AD$1000)</f>
        <v/>
      </c>
      <c r="AO830" s="33" t="str" cm="1">
        <f t="array" ref="AO830">IFERROR(INDEX($AA$2:$AA$282,MATCH(0,COUNTIF('Paste Here'!$AK$1:AK829,$AA$2:$AA$282),0)),"")</f>
        <v/>
      </c>
      <c r="AP830" s="33" t="str">
        <f>IF(COUNTIF('Paste Here'!$AK$2:AK830,'Paste Here'!AK830)=1,VALUE('Paste Here'!AK830),"")</f>
        <v/>
      </c>
    </row>
    <row r="831" spans="1:42" x14ac:dyDescent="0.3">
      <c r="A831" s="2"/>
      <c r="B831" s="2"/>
      <c r="C831" s="2"/>
      <c r="D831" s="3"/>
      <c r="E831" s="2"/>
      <c r="F831" s="2"/>
      <c r="G831" s="2"/>
      <c r="H831" s="2"/>
      <c r="AA831" s="33" t="str">
        <f t="shared" si="37"/>
        <v/>
      </c>
      <c r="AC831" s="33">
        <f t="shared" si="36"/>
        <v>1048540</v>
      </c>
      <c r="AD831" s="33" t="str">
        <f t="shared" si="38"/>
        <v/>
      </c>
      <c r="AE831" s="33" t="str" cm="1">
        <f t="array" ref="AE831">LOOKUP(2,1/($AB$2:$AB$1000=AB831),$AD$2:$AD$1000)</f>
        <v/>
      </c>
      <c r="AO831" s="33" t="str" cm="1">
        <f t="array" ref="AO831">IFERROR(INDEX($AA$2:$AA$282,MATCH(0,COUNTIF('Paste Here'!$AK$1:AK830,$AA$2:$AA$282),0)),"")</f>
        <v/>
      </c>
      <c r="AP831" s="33" t="str">
        <f>IF(COUNTIF('Paste Here'!$AK$2:AK831,'Paste Here'!AK831)=1,VALUE('Paste Here'!AK831),"")</f>
        <v/>
      </c>
    </row>
    <row r="832" spans="1:42" x14ac:dyDescent="0.3">
      <c r="A832" s="2"/>
      <c r="B832" s="2"/>
      <c r="C832" s="2"/>
      <c r="D832" s="3"/>
      <c r="E832" s="2"/>
      <c r="F832" s="2"/>
      <c r="G832" s="2"/>
      <c r="H832" s="2"/>
      <c r="AA832" s="33" t="str">
        <f t="shared" si="37"/>
        <v/>
      </c>
      <c r="AC832" s="33">
        <f t="shared" si="36"/>
        <v>1048540</v>
      </c>
      <c r="AD832" s="33" t="str">
        <f t="shared" si="38"/>
        <v/>
      </c>
      <c r="AE832" s="33" t="str" cm="1">
        <f t="array" ref="AE832">LOOKUP(2,1/($AB$2:$AB$1000=AB832),$AD$2:$AD$1000)</f>
        <v/>
      </c>
      <c r="AO832" s="33" t="str" cm="1">
        <f t="array" ref="AO832">IFERROR(INDEX($AA$2:$AA$282,MATCH(0,COUNTIF('Paste Here'!$AK$1:AK831,$AA$2:$AA$282),0)),"")</f>
        <v/>
      </c>
      <c r="AP832" s="33" t="str">
        <f>IF(COUNTIF('Paste Here'!$AK$2:AK832,'Paste Here'!AK832)=1,VALUE('Paste Here'!AK832),"")</f>
        <v/>
      </c>
    </row>
    <row r="833" spans="1:42" x14ac:dyDescent="0.3">
      <c r="A833" s="2"/>
      <c r="B833" s="2"/>
      <c r="C833" s="2"/>
      <c r="D833" s="3"/>
      <c r="E833" s="2"/>
      <c r="F833" s="2"/>
      <c r="G833" s="2"/>
      <c r="H833" s="2"/>
      <c r="AA833" s="33" t="str">
        <f t="shared" si="37"/>
        <v/>
      </c>
      <c r="AC833" s="33">
        <f t="shared" si="36"/>
        <v>1048540</v>
      </c>
      <c r="AD833" s="33" t="str">
        <f t="shared" si="38"/>
        <v/>
      </c>
      <c r="AE833" s="33" t="str" cm="1">
        <f t="array" ref="AE833">LOOKUP(2,1/($AB$2:$AB$1000=AB833),$AD$2:$AD$1000)</f>
        <v/>
      </c>
      <c r="AO833" s="33" t="str" cm="1">
        <f t="array" ref="AO833">IFERROR(INDEX($AA$2:$AA$282,MATCH(0,COUNTIF('Paste Here'!$AK$1:AK832,$AA$2:$AA$282),0)),"")</f>
        <v/>
      </c>
      <c r="AP833" s="33" t="str">
        <f>IF(COUNTIF('Paste Here'!$AK$2:AK833,'Paste Here'!AK833)=1,VALUE('Paste Here'!AK833),"")</f>
        <v/>
      </c>
    </row>
    <row r="834" spans="1:42" x14ac:dyDescent="0.3">
      <c r="A834"/>
      <c r="B834"/>
      <c r="C834"/>
      <c r="D834" s="4"/>
      <c r="E834"/>
      <c r="F834"/>
      <c r="G834"/>
      <c r="H834"/>
      <c r="AA834" s="33" t="str">
        <f t="shared" si="37"/>
        <v/>
      </c>
      <c r="AC834" s="33">
        <f t="shared" ref="AC834:AC897" si="39">COUNTIF($AA:$AA,AA834)</f>
        <v>1048540</v>
      </c>
      <c r="AD834" s="33" t="str">
        <f t="shared" si="38"/>
        <v/>
      </c>
      <c r="AE834" s="33" t="str" cm="1">
        <f t="array" ref="AE834">LOOKUP(2,1/($AB$2:$AB$1000=AB834),$AD$2:$AD$1000)</f>
        <v/>
      </c>
      <c r="AO834" s="33" t="str" cm="1">
        <f t="array" ref="AO834">IFERROR(INDEX($AA$2:$AA$282,MATCH(0,COUNTIF('Paste Here'!$AK$1:AK833,$AA$2:$AA$282),0)),"")</f>
        <v/>
      </c>
      <c r="AP834" s="33" t="str">
        <f>IF(COUNTIF('Paste Here'!$AK$2:AK834,'Paste Here'!AK834)=1,VALUE('Paste Here'!AK834),"")</f>
        <v/>
      </c>
    </row>
    <row r="835" spans="1:42" x14ac:dyDescent="0.3">
      <c r="A835"/>
      <c r="B835"/>
      <c r="C835"/>
      <c r="D835" s="4"/>
      <c r="E835"/>
      <c r="F835"/>
      <c r="G835"/>
      <c r="H835"/>
      <c r="AA835" s="33" t="str">
        <f t="shared" ref="AA835:AA898" si="40">IFERROR(MID(G835,FIND("LR-",G835)+3,FIND("-",G835,FIND("LR-",G835)+3)-FIND("LR-",G835)-3),"")</f>
        <v/>
      </c>
      <c r="AC835" s="33">
        <f t="shared" si="39"/>
        <v>1048540</v>
      </c>
      <c r="AD835" s="33" t="str">
        <f t="shared" ref="AD835:AD898" si="41">IF(F835=0,"",F835)</f>
        <v/>
      </c>
      <c r="AE835" s="33" t="str" cm="1">
        <f t="array" ref="AE835">LOOKUP(2,1/($AB$2:$AB$1000=AB835),$AD$2:$AD$1000)</f>
        <v/>
      </c>
      <c r="AO835" s="33" t="str" cm="1">
        <f t="array" ref="AO835">IFERROR(INDEX($AA$2:$AA$282,MATCH(0,COUNTIF('Paste Here'!$AK$1:AK834,$AA$2:$AA$282),0)),"")</f>
        <v/>
      </c>
      <c r="AP835" s="33" t="str">
        <f>IF(COUNTIF('Paste Here'!$AK$2:AK835,'Paste Here'!AK835)=1,VALUE('Paste Here'!AK835),"")</f>
        <v/>
      </c>
    </row>
    <row r="836" spans="1:42" x14ac:dyDescent="0.3">
      <c r="A836"/>
      <c r="B836"/>
      <c r="C836"/>
      <c r="D836" s="4"/>
      <c r="E836"/>
      <c r="F836"/>
      <c r="G836"/>
      <c r="H836"/>
      <c r="AA836" s="33" t="str">
        <f t="shared" si="40"/>
        <v/>
      </c>
      <c r="AC836" s="33">
        <f t="shared" si="39"/>
        <v>1048540</v>
      </c>
      <c r="AD836" s="33" t="str">
        <f t="shared" si="41"/>
        <v/>
      </c>
      <c r="AE836" s="33" t="str" cm="1">
        <f t="array" ref="AE836">LOOKUP(2,1/($AB$2:$AB$1000=AB836),$AD$2:$AD$1000)</f>
        <v/>
      </c>
      <c r="AO836" s="33" t="str" cm="1">
        <f t="array" ref="AO836">IFERROR(INDEX($AA$2:$AA$282,MATCH(0,COUNTIF('Paste Here'!$AK$1:AK835,$AA$2:$AA$282),0)),"")</f>
        <v/>
      </c>
      <c r="AP836" s="33" t="str">
        <f>IF(COUNTIF('Paste Here'!$AK$2:AK836,'Paste Here'!AK836)=1,VALUE('Paste Here'!AK836),"")</f>
        <v/>
      </c>
    </row>
    <row r="837" spans="1:42" x14ac:dyDescent="0.3">
      <c r="A837" s="2"/>
      <c r="B837" s="2"/>
      <c r="C837" s="2"/>
      <c r="D837" s="3"/>
      <c r="E837" s="2"/>
      <c r="F837" s="2"/>
      <c r="G837" s="2"/>
      <c r="H837" s="2"/>
      <c r="AA837" s="33" t="str">
        <f t="shared" si="40"/>
        <v/>
      </c>
      <c r="AC837" s="33">
        <f t="shared" si="39"/>
        <v>1048540</v>
      </c>
      <c r="AD837" s="33" t="str">
        <f t="shared" si="41"/>
        <v/>
      </c>
      <c r="AE837" s="33" t="str" cm="1">
        <f t="array" ref="AE837">LOOKUP(2,1/($AB$2:$AB$1000=AB837),$AD$2:$AD$1000)</f>
        <v/>
      </c>
      <c r="AO837" s="33" t="str" cm="1">
        <f t="array" ref="AO837">IFERROR(INDEX($AA$2:$AA$282,MATCH(0,COUNTIF('Paste Here'!$AK$1:AK836,$AA$2:$AA$282),0)),"")</f>
        <v/>
      </c>
      <c r="AP837" s="33" t="str">
        <f>IF(COUNTIF('Paste Here'!$AK$2:AK837,'Paste Here'!AK837)=1,VALUE('Paste Here'!AK837),"")</f>
        <v/>
      </c>
    </row>
    <row r="838" spans="1:42" x14ac:dyDescent="0.3">
      <c r="A838" s="2"/>
      <c r="B838" s="2"/>
      <c r="C838" s="2"/>
      <c r="D838" s="3"/>
      <c r="E838" s="2"/>
      <c r="F838" s="2"/>
      <c r="G838" s="2"/>
      <c r="H838" s="2"/>
      <c r="AA838" s="33" t="str">
        <f t="shared" si="40"/>
        <v/>
      </c>
      <c r="AC838" s="33">
        <f t="shared" si="39"/>
        <v>1048540</v>
      </c>
      <c r="AD838" s="33" t="str">
        <f t="shared" si="41"/>
        <v/>
      </c>
      <c r="AE838" s="33" t="str" cm="1">
        <f t="array" ref="AE838">LOOKUP(2,1/($AB$2:$AB$1000=AB838),$AD$2:$AD$1000)</f>
        <v/>
      </c>
      <c r="AO838" s="33" t="str" cm="1">
        <f t="array" ref="AO838">IFERROR(INDEX($AA$2:$AA$282,MATCH(0,COUNTIF('Paste Here'!$AK$1:AK837,$AA$2:$AA$282),0)),"")</f>
        <v/>
      </c>
      <c r="AP838" s="33" t="str">
        <f>IF(COUNTIF('Paste Here'!$AK$2:AK838,'Paste Here'!AK838)=1,VALUE('Paste Here'!AK838),"")</f>
        <v/>
      </c>
    </row>
    <row r="839" spans="1:42" x14ac:dyDescent="0.3">
      <c r="A839" s="2"/>
      <c r="B839" s="2"/>
      <c r="C839" s="2"/>
      <c r="D839" s="3"/>
      <c r="E839" s="2"/>
      <c r="F839" s="2"/>
      <c r="G839" s="2"/>
      <c r="H839" s="2"/>
      <c r="AA839" s="33" t="str">
        <f t="shared" si="40"/>
        <v/>
      </c>
      <c r="AC839" s="33">
        <f t="shared" si="39"/>
        <v>1048540</v>
      </c>
      <c r="AD839" s="33" t="str">
        <f t="shared" si="41"/>
        <v/>
      </c>
      <c r="AE839" s="33" t="str" cm="1">
        <f t="array" ref="AE839">LOOKUP(2,1/($AB$2:$AB$1000=AB839),$AD$2:$AD$1000)</f>
        <v/>
      </c>
      <c r="AO839" s="33" t="str" cm="1">
        <f t="array" ref="AO839">IFERROR(INDEX($AA$2:$AA$282,MATCH(0,COUNTIF('Paste Here'!$AK$1:AK838,$AA$2:$AA$282),0)),"")</f>
        <v/>
      </c>
      <c r="AP839" s="33" t="str">
        <f>IF(COUNTIF('Paste Here'!$AK$2:AK839,'Paste Here'!AK839)=1,VALUE('Paste Here'!AK839),"")</f>
        <v/>
      </c>
    </row>
    <row r="840" spans="1:42" x14ac:dyDescent="0.3">
      <c r="A840"/>
      <c r="B840"/>
      <c r="C840"/>
      <c r="D840" s="4"/>
      <c r="E840"/>
      <c r="F840"/>
      <c r="G840"/>
      <c r="H840"/>
      <c r="AA840" s="33" t="str">
        <f t="shared" si="40"/>
        <v/>
      </c>
      <c r="AC840" s="33">
        <f t="shared" si="39"/>
        <v>1048540</v>
      </c>
      <c r="AD840" s="33" t="str">
        <f t="shared" si="41"/>
        <v/>
      </c>
      <c r="AE840" s="33" t="str" cm="1">
        <f t="array" ref="AE840">LOOKUP(2,1/($AB$2:$AB$1000=AB840),$AD$2:$AD$1000)</f>
        <v/>
      </c>
      <c r="AO840" s="33" t="str" cm="1">
        <f t="array" ref="AO840">IFERROR(INDEX($AA$2:$AA$282,MATCH(0,COUNTIF('Paste Here'!$AK$1:AK839,$AA$2:$AA$282),0)),"")</f>
        <v/>
      </c>
      <c r="AP840" s="33" t="str">
        <f>IF(COUNTIF('Paste Here'!$AK$2:AK840,'Paste Here'!AK840)=1,VALUE('Paste Here'!AK840),"")</f>
        <v/>
      </c>
    </row>
    <row r="841" spans="1:42" x14ac:dyDescent="0.3">
      <c r="A841"/>
      <c r="B841"/>
      <c r="C841"/>
      <c r="D841" s="4"/>
      <c r="E841"/>
      <c r="F841"/>
      <c r="G841"/>
      <c r="H841"/>
      <c r="AA841" s="33" t="str">
        <f t="shared" si="40"/>
        <v/>
      </c>
      <c r="AC841" s="33">
        <f t="shared" si="39"/>
        <v>1048540</v>
      </c>
      <c r="AD841" s="33" t="str">
        <f t="shared" si="41"/>
        <v/>
      </c>
      <c r="AE841" s="33" t="str" cm="1">
        <f t="array" ref="AE841">LOOKUP(2,1/($AB$2:$AB$1000=AB841),$AD$2:$AD$1000)</f>
        <v/>
      </c>
      <c r="AO841" s="33" t="str" cm="1">
        <f t="array" ref="AO841">IFERROR(INDEX($AA$2:$AA$282,MATCH(0,COUNTIF('Paste Here'!$AK$1:AK840,$AA$2:$AA$282),0)),"")</f>
        <v/>
      </c>
      <c r="AP841" s="33" t="str">
        <f>IF(COUNTIF('Paste Here'!$AK$2:AK841,'Paste Here'!AK841)=1,VALUE('Paste Here'!AK841),"")</f>
        <v/>
      </c>
    </row>
    <row r="842" spans="1:42" x14ac:dyDescent="0.3">
      <c r="A842"/>
      <c r="B842"/>
      <c r="C842"/>
      <c r="D842" s="4"/>
      <c r="E842"/>
      <c r="F842"/>
      <c r="G842"/>
      <c r="H842"/>
      <c r="AA842" s="33" t="str">
        <f t="shared" si="40"/>
        <v/>
      </c>
      <c r="AC842" s="33">
        <f t="shared" si="39"/>
        <v>1048540</v>
      </c>
      <c r="AD842" s="33" t="str">
        <f t="shared" si="41"/>
        <v/>
      </c>
      <c r="AE842" s="33" t="str" cm="1">
        <f t="array" ref="AE842">LOOKUP(2,1/($AB$2:$AB$1000=AB842),$AD$2:$AD$1000)</f>
        <v/>
      </c>
      <c r="AO842" s="33" t="str" cm="1">
        <f t="array" ref="AO842">IFERROR(INDEX($AA$2:$AA$282,MATCH(0,COUNTIF('Paste Here'!$AK$1:AK841,$AA$2:$AA$282),0)),"")</f>
        <v/>
      </c>
      <c r="AP842" s="33" t="str">
        <f>IF(COUNTIF('Paste Here'!$AK$2:AK842,'Paste Here'!AK842)=1,VALUE('Paste Here'!AK842),"")</f>
        <v/>
      </c>
    </row>
    <row r="843" spans="1:42" x14ac:dyDescent="0.3">
      <c r="A843"/>
      <c r="B843"/>
      <c r="C843"/>
      <c r="D843" s="4"/>
      <c r="E843"/>
      <c r="F843"/>
      <c r="G843"/>
      <c r="H843"/>
      <c r="AA843" s="33" t="str">
        <f t="shared" si="40"/>
        <v/>
      </c>
      <c r="AC843" s="33">
        <f t="shared" si="39"/>
        <v>1048540</v>
      </c>
      <c r="AD843" s="33" t="str">
        <f t="shared" si="41"/>
        <v/>
      </c>
      <c r="AE843" s="33" t="str" cm="1">
        <f t="array" ref="AE843">LOOKUP(2,1/($AB$2:$AB$1000=AB843),$AD$2:$AD$1000)</f>
        <v/>
      </c>
      <c r="AO843" s="33" t="str" cm="1">
        <f t="array" ref="AO843">IFERROR(INDEX($AA$2:$AA$282,MATCH(0,COUNTIF('Paste Here'!$AK$1:AK842,$AA$2:$AA$282),0)),"")</f>
        <v/>
      </c>
      <c r="AP843" s="33" t="str">
        <f>IF(COUNTIF('Paste Here'!$AK$2:AK843,'Paste Here'!AK843)=1,VALUE('Paste Here'!AK843),"")</f>
        <v/>
      </c>
    </row>
    <row r="844" spans="1:42" x14ac:dyDescent="0.3">
      <c r="A844"/>
      <c r="B844"/>
      <c r="C844"/>
      <c r="D844" s="4"/>
      <c r="E844"/>
      <c r="F844"/>
      <c r="G844"/>
      <c r="H844"/>
      <c r="AA844" s="33" t="str">
        <f t="shared" si="40"/>
        <v/>
      </c>
      <c r="AC844" s="33">
        <f t="shared" si="39"/>
        <v>1048540</v>
      </c>
      <c r="AD844" s="33" t="str">
        <f t="shared" si="41"/>
        <v/>
      </c>
      <c r="AE844" s="33" t="str" cm="1">
        <f t="array" ref="AE844">LOOKUP(2,1/($AB$2:$AB$1000=AB844),$AD$2:$AD$1000)</f>
        <v/>
      </c>
      <c r="AO844" s="33" t="str" cm="1">
        <f t="array" ref="AO844">IFERROR(INDEX($AA$2:$AA$282,MATCH(0,COUNTIF('Paste Here'!$AK$1:AK843,$AA$2:$AA$282),0)),"")</f>
        <v/>
      </c>
      <c r="AP844" s="33" t="str">
        <f>IF(COUNTIF('Paste Here'!$AK$2:AK844,'Paste Here'!AK844)=1,VALUE('Paste Here'!AK844),"")</f>
        <v/>
      </c>
    </row>
    <row r="845" spans="1:42" x14ac:dyDescent="0.3">
      <c r="A845"/>
      <c r="B845"/>
      <c r="C845"/>
      <c r="D845" s="4"/>
      <c r="E845"/>
      <c r="F845"/>
      <c r="G845"/>
      <c r="H845"/>
      <c r="AA845" s="33" t="str">
        <f t="shared" si="40"/>
        <v/>
      </c>
      <c r="AC845" s="33">
        <f t="shared" si="39"/>
        <v>1048540</v>
      </c>
      <c r="AD845" s="33" t="str">
        <f t="shared" si="41"/>
        <v/>
      </c>
      <c r="AE845" s="33" t="str" cm="1">
        <f t="array" ref="AE845">LOOKUP(2,1/($AB$2:$AB$1000=AB845),$AD$2:$AD$1000)</f>
        <v/>
      </c>
      <c r="AO845" s="33" t="str" cm="1">
        <f t="array" ref="AO845">IFERROR(INDEX($AA$2:$AA$282,MATCH(0,COUNTIF('Paste Here'!$AK$1:AK844,$AA$2:$AA$282),0)),"")</f>
        <v/>
      </c>
      <c r="AP845" s="33" t="str">
        <f>IF(COUNTIF('Paste Here'!$AK$2:AK845,'Paste Here'!AK845)=1,VALUE('Paste Here'!AK845),"")</f>
        <v/>
      </c>
    </row>
    <row r="846" spans="1:42" x14ac:dyDescent="0.3">
      <c r="A846"/>
      <c r="B846"/>
      <c r="C846"/>
      <c r="D846" s="4"/>
      <c r="E846"/>
      <c r="F846"/>
      <c r="G846"/>
      <c r="H846"/>
      <c r="AA846" s="33" t="str">
        <f t="shared" si="40"/>
        <v/>
      </c>
      <c r="AC846" s="33">
        <f t="shared" si="39"/>
        <v>1048540</v>
      </c>
      <c r="AD846" s="33" t="str">
        <f t="shared" si="41"/>
        <v/>
      </c>
      <c r="AE846" s="33" t="str" cm="1">
        <f t="array" ref="AE846">LOOKUP(2,1/($AB$2:$AB$1000=AB846),$AD$2:$AD$1000)</f>
        <v/>
      </c>
      <c r="AO846" s="33" t="str" cm="1">
        <f t="array" ref="AO846">IFERROR(INDEX($AA$2:$AA$282,MATCH(0,COUNTIF('Paste Here'!$AK$1:AK845,$AA$2:$AA$282),0)),"")</f>
        <v/>
      </c>
      <c r="AP846" s="33" t="str">
        <f>IF(COUNTIF('Paste Here'!$AK$2:AK846,'Paste Here'!AK846)=1,VALUE('Paste Here'!AK846),"")</f>
        <v/>
      </c>
    </row>
    <row r="847" spans="1:42" x14ac:dyDescent="0.3">
      <c r="A847"/>
      <c r="B847"/>
      <c r="C847"/>
      <c r="D847" s="4"/>
      <c r="E847"/>
      <c r="F847"/>
      <c r="G847"/>
      <c r="H847"/>
      <c r="AA847" s="33" t="str">
        <f t="shared" si="40"/>
        <v/>
      </c>
      <c r="AC847" s="33">
        <f t="shared" si="39"/>
        <v>1048540</v>
      </c>
      <c r="AD847" s="33" t="str">
        <f t="shared" si="41"/>
        <v/>
      </c>
      <c r="AE847" s="33" t="str" cm="1">
        <f t="array" ref="AE847">LOOKUP(2,1/($AB$2:$AB$1000=AB847),$AD$2:$AD$1000)</f>
        <v/>
      </c>
      <c r="AO847" s="33" t="str" cm="1">
        <f t="array" ref="AO847">IFERROR(INDEX($AA$2:$AA$282,MATCH(0,COUNTIF('Paste Here'!$AK$1:AK846,$AA$2:$AA$282),0)),"")</f>
        <v/>
      </c>
      <c r="AP847" s="33" t="str">
        <f>IF(COUNTIF('Paste Here'!$AK$2:AK847,'Paste Here'!AK847)=1,VALUE('Paste Here'!AK847),"")</f>
        <v/>
      </c>
    </row>
    <row r="848" spans="1:42" x14ac:dyDescent="0.3">
      <c r="A848"/>
      <c r="B848"/>
      <c r="C848"/>
      <c r="D848" s="4"/>
      <c r="E848"/>
      <c r="F848"/>
      <c r="G848"/>
      <c r="H848"/>
      <c r="AA848" s="33" t="str">
        <f t="shared" si="40"/>
        <v/>
      </c>
      <c r="AC848" s="33">
        <f t="shared" si="39"/>
        <v>1048540</v>
      </c>
      <c r="AD848" s="33" t="str">
        <f t="shared" si="41"/>
        <v/>
      </c>
      <c r="AE848" s="33" t="str" cm="1">
        <f t="array" ref="AE848">LOOKUP(2,1/($AB$2:$AB$1000=AB848),$AD$2:$AD$1000)</f>
        <v/>
      </c>
      <c r="AO848" s="33" t="str" cm="1">
        <f t="array" ref="AO848">IFERROR(INDEX($AA$2:$AA$282,MATCH(0,COUNTIF('Paste Here'!$AK$1:AK847,$AA$2:$AA$282),0)),"")</f>
        <v/>
      </c>
      <c r="AP848" s="33" t="str">
        <f>IF(COUNTIF('Paste Here'!$AK$2:AK848,'Paste Here'!AK848)=1,VALUE('Paste Here'!AK848),"")</f>
        <v/>
      </c>
    </row>
    <row r="849" spans="1:42" x14ac:dyDescent="0.3">
      <c r="A849"/>
      <c r="B849"/>
      <c r="C849"/>
      <c r="D849" s="4"/>
      <c r="E849"/>
      <c r="F849"/>
      <c r="G849"/>
      <c r="H849"/>
      <c r="AA849" s="33" t="str">
        <f t="shared" si="40"/>
        <v/>
      </c>
      <c r="AC849" s="33">
        <f t="shared" si="39"/>
        <v>1048540</v>
      </c>
      <c r="AD849" s="33" t="str">
        <f t="shared" si="41"/>
        <v/>
      </c>
      <c r="AE849" s="33" t="str" cm="1">
        <f t="array" ref="AE849">LOOKUP(2,1/($AB$2:$AB$1000=AB849),$AD$2:$AD$1000)</f>
        <v/>
      </c>
      <c r="AO849" s="33" t="str" cm="1">
        <f t="array" ref="AO849">IFERROR(INDEX($AA$2:$AA$282,MATCH(0,COUNTIF('Paste Here'!$AK$1:AK848,$AA$2:$AA$282),0)),"")</f>
        <v/>
      </c>
      <c r="AP849" s="33" t="str">
        <f>IF(COUNTIF('Paste Here'!$AK$2:AK849,'Paste Here'!AK849)=1,VALUE('Paste Here'!AK849),"")</f>
        <v/>
      </c>
    </row>
    <row r="850" spans="1:42" x14ac:dyDescent="0.3">
      <c r="A850"/>
      <c r="B850"/>
      <c r="C850"/>
      <c r="D850" s="4"/>
      <c r="E850"/>
      <c r="F850"/>
      <c r="G850"/>
      <c r="H850"/>
      <c r="AA850" s="33" t="str">
        <f t="shared" si="40"/>
        <v/>
      </c>
      <c r="AC850" s="33">
        <f t="shared" si="39"/>
        <v>1048540</v>
      </c>
      <c r="AD850" s="33" t="str">
        <f t="shared" si="41"/>
        <v/>
      </c>
      <c r="AE850" s="33" t="str" cm="1">
        <f t="array" ref="AE850">LOOKUP(2,1/($AB$2:$AB$1000=AB850),$AD$2:$AD$1000)</f>
        <v/>
      </c>
      <c r="AO850" s="33" t="str" cm="1">
        <f t="array" ref="AO850">IFERROR(INDEX($AA$2:$AA$282,MATCH(0,COUNTIF('Paste Here'!$AK$1:AK849,$AA$2:$AA$282),0)),"")</f>
        <v/>
      </c>
      <c r="AP850" s="33" t="str">
        <f>IF(COUNTIF('Paste Here'!$AK$2:AK850,'Paste Here'!AK850)=1,VALUE('Paste Here'!AK850),"")</f>
        <v/>
      </c>
    </row>
    <row r="851" spans="1:42" x14ac:dyDescent="0.3">
      <c r="A851"/>
      <c r="B851"/>
      <c r="C851"/>
      <c r="D851" s="4"/>
      <c r="E851"/>
      <c r="F851"/>
      <c r="G851"/>
      <c r="H851"/>
      <c r="AA851" s="33" t="str">
        <f t="shared" si="40"/>
        <v/>
      </c>
      <c r="AC851" s="33">
        <f t="shared" si="39"/>
        <v>1048540</v>
      </c>
      <c r="AD851" s="33" t="str">
        <f t="shared" si="41"/>
        <v/>
      </c>
      <c r="AE851" s="33" t="str" cm="1">
        <f t="array" ref="AE851">LOOKUP(2,1/($AB$2:$AB$1000=AB851),$AD$2:$AD$1000)</f>
        <v/>
      </c>
      <c r="AO851" s="33" t="str" cm="1">
        <f t="array" ref="AO851">IFERROR(INDEX($AA$2:$AA$282,MATCH(0,COUNTIF('Paste Here'!$AK$1:AK850,$AA$2:$AA$282),0)),"")</f>
        <v/>
      </c>
      <c r="AP851" s="33" t="str">
        <f>IF(COUNTIF('Paste Here'!$AK$2:AK851,'Paste Here'!AK851)=1,VALUE('Paste Here'!AK851),"")</f>
        <v/>
      </c>
    </row>
    <row r="852" spans="1:42" x14ac:dyDescent="0.3">
      <c r="A852"/>
      <c r="B852"/>
      <c r="C852"/>
      <c r="D852" s="4"/>
      <c r="E852"/>
      <c r="F852"/>
      <c r="G852"/>
      <c r="H852"/>
      <c r="AA852" s="33" t="str">
        <f t="shared" si="40"/>
        <v/>
      </c>
      <c r="AC852" s="33">
        <f t="shared" si="39"/>
        <v>1048540</v>
      </c>
      <c r="AD852" s="33" t="str">
        <f t="shared" si="41"/>
        <v/>
      </c>
      <c r="AE852" s="33" t="str" cm="1">
        <f t="array" ref="AE852">LOOKUP(2,1/($AB$2:$AB$1000=AB852),$AD$2:$AD$1000)</f>
        <v/>
      </c>
      <c r="AO852" s="33" t="str" cm="1">
        <f t="array" ref="AO852">IFERROR(INDEX($AA$2:$AA$282,MATCH(0,COUNTIF('Paste Here'!$AK$1:AK851,$AA$2:$AA$282),0)),"")</f>
        <v/>
      </c>
      <c r="AP852" s="33" t="str">
        <f>IF(COUNTIF('Paste Here'!$AK$2:AK852,'Paste Here'!AK852)=1,VALUE('Paste Here'!AK852),"")</f>
        <v/>
      </c>
    </row>
    <row r="853" spans="1:42" x14ac:dyDescent="0.3">
      <c r="A853"/>
      <c r="B853"/>
      <c r="C853"/>
      <c r="D853" s="4"/>
      <c r="E853"/>
      <c r="F853"/>
      <c r="G853"/>
      <c r="H853"/>
      <c r="AA853" s="33" t="str">
        <f t="shared" si="40"/>
        <v/>
      </c>
      <c r="AC853" s="33">
        <f t="shared" si="39"/>
        <v>1048540</v>
      </c>
      <c r="AD853" s="33" t="str">
        <f t="shared" si="41"/>
        <v/>
      </c>
      <c r="AE853" s="33" t="str" cm="1">
        <f t="array" ref="AE853">LOOKUP(2,1/($AB$2:$AB$1000=AB853),$AD$2:$AD$1000)</f>
        <v/>
      </c>
      <c r="AO853" s="33" t="str" cm="1">
        <f t="array" ref="AO853">IFERROR(INDEX($AA$2:$AA$282,MATCH(0,COUNTIF('Paste Here'!$AK$1:AK852,$AA$2:$AA$282),0)),"")</f>
        <v/>
      </c>
      <c r="AP853" s="33" t="str">
        <f>IF(COUNTIF('Paste Here'!$AK$2:AK853,'Paste Here'!AK853)=1,VALUE('Paste Here'!AK853),"")</f>
        <v/>
      </c>
    </row>
    <row r="854" spans="1:42" x14ac:dyDescent="0.3">
      <c r="A854"/>
      <c r="B854"/>
      <c r="C854"/>
      <c r="D854" s="4"/>
      <c r="E854"/>
      <c r="F854"/>
      <c r="G854"/>
      <c r="H854"/>
      <c r="AA854" s="33" t="str">
        <f t="shared" si="40"/>
        <v/>
      </c>
      <c r="AC854" s="33">
        <f t="shared" si="39"/>
        <v>1048540</v>
      </c>
      <c r="AD854" s="33" t="str">
        <f t="shared" si="41"/>
        <v/>
      </c>
      <c r="AE854" s="33" t="str" cm="1">
        <f t="array" ref="AE854">LOOKUP(2,1/($AB$2:$AB$1000=AB854),$AD$2:$AD$1000)</f>
        <v/>
      </c>
      <c r="AO854" s="33" t="str" cm="1">
        <f t="array" ref="AO854">IFERROR(INDEX($AA$2:$AA$282,MATCH(0,COUNTIF('Paste Here'!$AK$1:AK853,$AA$2:$AA$282),0)),"")</f>
        <v/>
      </c>
      <c r="AP854" s="33" t="str">
        <f>IF(COUNTIF('Paste Here'!$AK$2:AK854,'Paste Here'!AK854)=1,VALUE('Paste Here'!AK854),"")</f>
        <v/>
      </c>
    </row>
    <row r="855" spans="1:42" x14ac:dyDescent="0.3">
      <c r="A855" s="2"/>
      <c r="B855" s="2"/>
      <c r="C855" s="2"/>
      <c r="D855" s="3"/>
      <c r="E855" s="2"/>
      <c r="F855" s="2"/>
      <c r="G855" s="2"/>
      <c r="H855" s="2"/>
      <c r="AA855" s="33" t="str">
        <f t="shared" si="40"/>
        <v/>
      </c>
      <c r="AC855" s="33">
        <f t="shared" si="39"/>
        <v>1048540</v>
      </c>
      <c r="AD855" s="33" t="str">
        <f t="shared" si="41"/>
        <v/>
      </c>
      <c r="AE855" s="33" t="str" cm="1">
        <f t="array" ref="AE855">LOOKUP(2,1/($AB$2:$AB$1000=AB855),$AD$2:$AD$1000)</f>
        <v/>
      </c>
      <c r="AO855" s="33" t="str" cm="1">
        <f t="array" ref="AO855">IFERROR(INDEX($AA$2:$AA$282,MATCH(0,COUNTIF('Paste Here'!$AK$1:AK854,$AA$2:$AA$282),0)),"")</f>
        <v/>
      </c>
      <c r="AP855" s="33" t="str">
        <f>IF(COUNTIF('Paste Here'!$AK$2:AK855,'Paste Here'!AK855)=1,VALUE('Paste Here'!AK855),"")</f>
        <v/>
      </c>
    </row>
    <row r="856" spans="1:42" x14ac:dyDescent="0.3">
      <c r="A856" s="2"/>
      <c r="B856" s="2"/>
      <c r="C856" s="2"/>
      <c r="D856" s="3"/>
      <c r="E856" s="2"/>
      <c r="F856" s="2"/>
      <c r="G856" s="2"/>
      <c r="H856" s="2"/>
      <c r="AA856" s="33" t="str">
        <f t="shared" si="40"/>
        <v/>
      </c>
      <c r="AC856" s="33">
        <f t="shared" si="39"/>
        <v>1048540</v>
      </c>
      <c r="AD856" s="33" t="str">
        <f t="shared" si="41"/>
        <v/>
      </c>
      <c r="AE856" s="33" t="str" cm="1">
        <f t="array" ref="AE856">LOOKUP(2,1/($AB$2:$AB$1000=AB856),$AD$2:$AD$1000)</f>
        <v/>
      </c>
      <c r="AO856" s="33" t="str" cm="1">
        <f t="array" ref="AO856">IFERROR(INDEX($AA$2:$AA$282,MATCH(0,COUNTIF('Paste Here'!$AK$1:AK855,$AA$2:$AA$282),0)),"")</f>
        <v/>
      </c>
      <c r="AP856" s="33" t="str">
        <f>IF(COUNTIF('Paste Here'!$AK$2:AK856,'Paste Here'!AK856)=1,VALUE('Paste Here'!AK856),"")</f>
        <v/>
      </c>
    </row>
    <row r="857" spans="1:42" x14ac:dyDescent="0.3">
      <c r="A857" s="2"/>
      <c r="B857" s="2"/>
      <c r="C857" s="2"/>
      <c r="D857" s="3"/>
      <c r="E857" s="2"/>
      <c r="F857" s="2"/>
      <c r="G857" s="2"/>
      <c r="H857" s="2"/>
      <c r="AA857" s="33" t="str">
        <f t="shared" si="40"/>
        <v/>
      </c>
      <c r="AC857" s="33">
        <f t="shared" si="39"/>
        <v>1048540</v>
      </c>
      <c r="AD857" s="33" t="str">
        <f t="shared" si="41"/>
        <v/>
      </c>
      <c r="AE857" s="33" t="str" cm="1">
        <f t="array" ref="AE857">LOOKUP(2,1/($AB$2:$AB$1000=AB857),$AD$2:$AD$1000)</f>
        <v/>
      </c>
      <c r="AO857" s="33" t="str" cm="1">
        <f t="array" ref="AO857">IFERROR(INDEX($AA$2:$AA$282,MATCH(0,COUNTIF('Paste Here'!$AK$1:AK856,$AA$2:$AA$282),0)),"")</f>
        <v/>
      </c>
      <c r="AP857" s="33" t="str">
        <f>IF(COUNTIF('Paste Here'!$AK$2:AK857,'Paste Here'!AK857)=1,VALUE('Paste Here'!AK857),"")</f>
        <v/>
      </c>
    </row>
    <row r="858" spans="1:42" x14ac:dyDescent="0.3">
      <c r="A858" s="2"/>
      <c r="B858" s="2"/>
      <c r="C858" s="2"/>
      <c r="D858" s="3"/>
      <c r="E858" s="2"/>
      <c r="F858" s="2"/>
      <c r="G858" s="2"/>
      <c r="H858" s="2"/>
      <c r="AA858" s="33" t="str">
        <f t="shared" si="40"/>
        <v/>
      </c>
      <c r="AC858" s="33">
        <f t="shared" si="39"/>
        <v>1048540</v>
      </c>
      <c r="AD858" s="33" t="str">
        <f t="shared" si="41"/>
        <v/>
      </c>
      <c r="AE858" s="33" t="str" cm="1">
        <f t="array" ref="AE858">LOOKUP(2,1/($AB$2:$AB$1000=AB858),$AD$2:$AD$1000)</f>
        <v/>
      </c>
      <c r="AO858" s="33" t="str" cm="1">
        <f t="array" ref="AO858">IFERROR(INDEX($AA$2:$AA$282,MATCH(0,COUNTIF('Paste Here'!$AK$1:AK857,$AA$2:$AA$282),0)),"")</f>
        <v/>
      </c>
      <c r="AP858" s="33" t="str">
        <f>IF(COUNTIF('Paste Here'!$AK$2:AK858,'Paste Here'!AK858)=1,VALUE('Paste Here'!AK858),"")</f>
        <v/>
      </c>
    </row>
    <row r="859" spans="1:42" x14ac:dyDescent="0.3">
      <c r="A859" s="2"/>
      <c r="B859" s="2"/>
      <c r="C859" s="2"/>
      <c r="D859" s="3"/>
      <c r="E859" s="2"/>
      <c r="F859" s="2"/>
      <c r="G859" s="2"/>
      <c r="H859" s="2"/>
      <c r="AA859" s="33" t="str">
        <f t="shared" si="40"/>
        <v/>
      </c>
      <c r="AC859" s="33">
        <f t="shared" si="39"/>
        <v>1048540</v>
      </c>
      <c r="AD859" s="33" t="str">
        <f t="shared" si="41"/>
        <v/>
      </c>
      <c r="AE859" s="33" t="str" cm="1">
        <f t="array" ref="AE859">LOOKUP(2,1/($AB$2:$AB$1000=AB859),$AD$2:$AD$1000)</f>
        <v/>
      </c>
      <c r="AO859" s="33" t="str" cm="1">
        <f t="array" ref="AO859">IFERROR(INDEX($AA$2:$AA$282,MATCH(0,COUNTIF('Paste Here'!$AK$1:AK858,$AA$2:$AA$282),0)),"")</f>
        <v/>
      </c>
      <c r="AP859" s="33" t="str">
        <f>IF(COUNTIF('Paste Here'!$AK$2:AK859,'Paste Here'!AK859)=1,VALUE('Paste Here'!AK859),"")</f>
        <v/>
      </c>
    </row>
    <row r="860" spans="1:42" x14ac:dyDescent="0.3">
      <c r="A860" s="2"/>
      <c r="B860" s="2"/>
      <c r="C860" s="2"/>
      <c r="D860" s="3"/>
      <c r="E860" s="2"/>
      <c r="F860" s="2"/>
      <c r="G860" s="2"/>
      <c r="H860" s="2"/>
      <c r="AA860" s="33" t="str">
        <f t="shared" si="40"/>
        <v/>
      </c>
      <c r="AC860" s="33">
        <f t="shared" si="39"/>
        <v>1048540</v>
      </c>
      <c r="AD860" s="33" t="str">
        <f t="shared" si="41"/>
        <v/>
      </c>
      <c r="AE860" s="33" t="str" cm="1">
        <f t="array" ref="AE860">LOOKUP(2,1/($AB$2:$AB$1000=AB860),$AD$2:$AD$1000)</f>
        <v/>
      </c>
      <c r="AO860" s="33" t="str" cm="1">
        <f t="array" ref="AO860">IFERROR(INDEX($AA$2:$AA$282,MATCH(0,COUNTIF('Paste Here'!$AK$1:AK859,$AA$2:$AA$282),0)),"")</f>
        <v/>
      </c>
      <c r="AP860" s="33" t="str">
        <f>IF(COUNTIF('Paste Here'!$AK$2:AK860,'Paste Here'!AK860)=1,VALUE('Paste Here'!AK860),"")</f>
        <v/>
      </c>
    </row>
    <row r="861" spans="1:42" x14ac:dyDescent="0.3">
      <c r="A861" s="2"/>
      <c r="B861" s="2"/>
      <c r="C861" s="2"/>
      <c r="D861" s="3"/>
      <c r="E861" s="2"/>
      <c r="F861" s="2"/>
      <c r="G861" s="2"/>
      <c r="H861" s="2"/>
      <c r="AA861" s="33" t="str">
        <f t="shared" si="40"/>
        <v/>
      </c>
      <c r="AC861" s="33">
        <f t="shared" si="39"/>
        <v>1048540</v>
      </c>
      <c r="AD861" s="33" t="str">
        <f t="shared" si="41"/>
        <v/>
      </c>
      <c r="AE861" s="33" t="str" cm="1">
        <f t="array" ref="AE861">LOOKUP(2,1/($AB$2:$AB$1000=AB861),$AD$2:$AD$1000)</f>
        <v/>
      </c>
      <c r="AO861" s="33" t="str" cm="1">
        <f t="array" ref="AO861">IFERROR(INDEX($AA$2:$AA$282,MATCH(0,COUNTIF('Paste Here'!$AK$1:AK860,$AA$2:$AA$282),0)),"")</f>
        <v/>
      </c>
      <c r="AP861" s="33" t="str">
        <f>IF(COUNTIF('Paste Here'!$AK$2:AK861,'Paste Here'!AK861)=1,VALUE('Paste Here'!AK861),"")</f>
        <v/>
      </c>
    </row>
    <row r="862" spans="1:42" x14ac:dyDescent="0.3">
      <c r="A862" s="2"/>
      <c r="B862" s="2"/>
      <c r="C862" s="2"/>
      <c r="D862" s="3"/>
      <c r="E862" s="2"/>
      <c r="F862" s="2"/>
      <c r="G862" s="2"/>
      <c r="H862" s="2"/>
      <c r="AA862" s="33" t="str">
        <f t="shared" si="40"/>
        <v/>
      </c>
      <c r="AC862" s="33">
        <f t="shared" si="39"/>
        <v>1048540</v>
      </c>
      <c r="AD862" s="33" t="str">
        <f t="shared" si="41"/>
        <v/>
      </c>
      <c r="AE862" s="33" t="str" cm="1">
        <f t="array" ref="AE862">LOOKUP(2,1/($AB$2:$AB$1000=AB862),$AD$2:$AD$1000)</f>
        <v/>
      </c>
      <c r="AO862" s="33" t="str" cm="1">
        <f t="array" ref="AO862">IFERROR(INDEX($AA$2:$AA$282,MATCH(0,COUNTIF('Paste Here'!$AK$1:AK861,$AA$2:$AA$282),0)),"")</f>
        <v/>
      </c>
      <c r="AP862" s="33" t="str">
        <f>IF(COUNTIF('Paste Here'!$AK$2:AK862,'Paste Here'!AK862)=1,VALUE('Paste Here'!AK862),"")</f>
        <v/>
      </c>
    </row>
    <row r="863" spans="1:42" x14ac:dyDescent="0.3">
      <c r="A863" s="2"/>
      <c r="B863" s="2"/>
      <c r="C863" s="2"/>
      <c r="D863" s="3"/>
      <c r="E863" s="2"/>
      <c r="F863" s="2"/>
      <c r="G863" s="2"/>
      <c r="H863" s="2"/>
      <c r="AA863" s="33" t="str">
        <f t="shared" si="40"/>
        <v/>
      </c>
      <c r="AC863" s="33">
        <f t="shared" si="39"/>
        <v>1048540</v>
      </c>
      <c r="AD863" s="33" t="str">
        <f t="shared" si="41"/>
        <v/>
      </c>
      <c r="AE863" s="33" t="str" cm="1">
        <f t="array" ref="AE863">LOOKUP(2,1/($AB$2:$AB$1000=AB863),$AD$2:$AD$1000)</f>
        <v/>
      </c>
      <c r="AO863" s="33" t="str" cm="1">
        <f t="array" ref="AO863">IFERROR(INDEX($AA$2:$AA$282,MATCH(0,COUNTIF('Paste Here'!$AK$1:AK862,$AA$2:$AA$282),0)),"")</f>
        <v/>
      </c>
      <c r="AP863" s="33" t="str">
        <f>IF(COUNTIF('Paste Here'!$AK$2:AK863,'Paste Here'!AK863)=1,VALUE('Paste Here'!AK863),"")</f>
        <v/>
      </c>
    </row>
    <row r="864" spans="1:42" x14ac:dyDescent="0.3">
      <c r="A864" s="2"/>
      <c r="B864" s="2"/>
      <c r="C864" s="2"/>
      <c r="D864" s="3"/>
      <c r="E864" s="2"/>
      <c r="F864" s="2"/>
      <c r="G864" s="2"/>
      <c r="H864" s="2"/>
      <c r="AA864" s="33" t="str">
        <f t="shared" si="40"/>
        <v/>
      </c>
      <c r="AC864" s="33">
        <f t="shared" si="39"/>
        <v>1048540</v>
      </c>
      <c r="AD864" s="33" t="str">
        <f t="shared" si="41"/>
        <v/>
      </c>
      <c r="AE864" s="33" t="str" cm="1">
        <f t="array" ref="AE864">LOOKUP(2,1/($AB$2:$AB$1000=AB864),$AD$2:$AD$1000)</f>
        <v/>
      </c>
      <c r="AO864" s="33" t="str" cm="1">
        <f t="array" ref="AO864">IFERROR(INDEX($AA$2:$AA$282,MATCH(0,COUNTIF('Paste Here'!$AK$1:AK863,$AA$2:$AA$282),0)),"")</f>
        <v/>
      </c>
      <c r="AP864" s="33" t="str">
        <f>IF(COUNTIF('Paste Here'!$AK$2:AK864,'Paste Here'!AK864)=1,VALUE('Paste Here'!AK864),"")</f>
        <v/>
      </c>
    </row>
    <row r="865" spans="1:42" x14ac:dyDescent="0.3">
      <c r="A865" s="2"/>
      <c r="B865" s="2"/>
      <c r="C865" s="2"/>
      <c r="D865" s="3"/>
      <c r="E865" s="2"/>
      <c r="F865" s="2"/>
      <c r="G865" s="2"/>
      <c r="H865" s="2"/>
      <c r="AA865" s="33" t="str">
        <f t="shared" si="40"/>
        <v/>
      </c>
      <c r="AC865" s="33">
        <f t="shared" si="39"/>
        <v>1048540</v>
      </c>
      <c r="AD865" s="33" t="str">
        <f t="shared" si="41"/>
        <v/>
      </c>
      <c r="AE865" s="33" t="str" cm="1">
        <f t="array" ref="AE865">LOOKUP(2,1/($AB$2:$AB$1000=AB865),$AD$2:$AD$1000)</f>
        <v/>
      </c>
      <c r="AO865" s="33" t="str" cm="1">
        <f t="array" ref="AO865">IFERROR(INDEX($AA$2:$AA$282,MATCH(0,COUNTIF('Paste Here'!$AK$1:AK864,$AA$2:$AA$282),0)),"")</f>
        <v/>
      </c>
      <c r="AP865" s="33" t="str">
        <f>IF(COUNTIF('Paste Here'!$AK$2:AK865,'Paste Here'!AK865)=1,VALUE('Paste Here'!AK865),"")</f>
        <v/>
      </c>
    </row>
    <row r="866" spans="1:42" x14ac:dyDescent="0.3">
      <c r="A866" s="2"/>
      <c r="B866" s="2"/>
      <c r="C866" s="2"/>
      <c r="D866" s="3"/>
      <c r="E866" s="2"/>
      <c r="F866" s="2"/>
      <c r="G866" s="2"/>
      <c r="H866" s="2"/>
      <c r="AA866" s="33" t="str">
        <f t="shared" si="40"/>
        <v/>
      </c>
      <c r="AC866" s="33">
        <f t="shared" si="39"/>
        <v>1048540</v>
      </c>
      <c r="AD866" s="33" t="str">
        <f t="shared" si="41"/>
        <v/>
      </c>
      <c r="AE866" s="33" t="str" cm="1">
        <f t="array" ref="AE866">LOOKUP(2,1/($AB$2:$AB$1000=AB866),$AD$2:$AD$1000)</f>
        <v/>
      </c>
      <c r="AO866" s="33" t="str" cm="1">
        <f t="array" ref="AO866">IFERROR(INDEX($AA$2:$AA$282,MATCH(0,COUNTIF('Paste Here'!$AK$1:AK865,$AA$2:$AA$282),0)),"")</f>
        <v/>
      </c>
      <c r="AP866" s="33" t="str">
        <f>IF(COUNTIF('Paste Here'!$AK$2:AK866,'Paste Here'!AK866)=1,VALUE('Paste Here'!AK866),"")</f>
        <v/>
      </c>
    </row>
    <row r="867" spans="1:42" x14ac:dyDescent="0.3">
      <c r="A867" s="2"/>
      <c r="B867" s="2"/>
      <c r="C867" s="2"/>
      <c r="D867" s="3"/>
      <c r="E867" s="2"/>
      <c r="F867" s="2"/>
      <c r="G867" s="2"/>
      <c r="H867" s="2"/>
      <c r="AA867" s="33" t="str">
        <f t="shared" si="40"/>
        <v/>
      </c>
      <c r="AC867" s="33">
        <f t="shared" si="39"/>
        <v>1048540</v>
      </c>
      <c r="AD867" s="33" t="str">
        <f t="shared" si="41"/>
        <v/>
      </c>
      <c r="AE867" s="33" t="str" cm="1">
        <f t="array" ref="AE867">LOOKUP(2,1/($AB$2:$AB$1000=AB867),$AD$2:$AD$1000)</f>
        <v/>
      </c>
      <c r="AO867" s="33" t="str" cm="1">
        <f t="array" ref="AO867">IFERROR(INDEX($AA$2:$AA$282,MATCH(0,COUNTIF('Paste Here'!$AK$1:AK866,$AA$2:$AA$282),0)),"")</f>
        <v/>
      </c>
      <c r="AP867" s="33" t="str">
        <f>IF(COUNTIF('Paste Here'!$AK$2:AK867,'Paste Here'!AK867)=1,VALUE('Paste Here'!AK867),"")</f>
        <v/>
      </c>
    </row>
    <row r="868" spans="1:42" x14ac:dyDescent="0.3">
      <c r="A868" s="2"/>
      <c r="B868" s="2"/>
      <c r="C868" s="2"/>
      <c r="D868" s="3"/>
      <c r="E868" s="2"/>
      <c r="F868" s="2"/>
      <c r="G868" s="2"/>
      <c r="H868" s="2"/>
      <c r="AA868" s="33" t="str">
        <f t="shared" si="40"/>
        <v/>
      </c>
      <c r="AC868" s="33">
        <f t="shared" si="39"/>
        <v>1048540</v>
      </c>
      <c r="AD868" s="33" t="str">
        <f t="shared" si="41"/>
        <v/>
      </c>
      <c r="AE868" s="33" t="str" cm="1">
        <f t="array" ref="AE868">LOOKUP(2,1/($AB$2:$AB$1000=AB868),$AD$2:$AD$1000)</f>
        <v/>
      </c>
      <c r="AO868" s="33" t="str" cm="1">
        <f t="array" ref="AO868">IFERROR(INDEX($AA$2:$AA$282,MATCH(0,COUNTIF('Paste Here'!$AK$1:AK867,$AA$2:$AA$282),0)),"")</f>
        <v/>
      </c>
      <c r="AP868" s="33" t="str">
        <f>IF(COUNTIF('Paste Here'!$AK$2:AK868,'Paste Here'!AK868)=1,VALUE('Paste Here'!AK868),"")</f>
        <v/>
      </c>
    </row>
    <row r="869" spans="1:42" x14ac:dyDescent="0.3">
      <c r="A869" s="2"/>
      <c r="B869" s="2"/>
      <c r="C869" s="2"/>
      <c r="D869" s="3"/>
      <c r="E869" s="2"/>
      <c r="F869" s="2"/>
      <c r="G869" s="2"/>
      <c r="H869" s="2"/>
      <c r="AA869" s="33" t="str">
        <f t="shared" si="40"/>
        <v/>
      </c>
      <c r="AC869" s="33">
        <f t="shared" si="39"/>
        <v>1048540</v>
      </c>
      <c r="AD869" s="33" t="str">
        <f t="shared" si="41"/>
        <v/>
      </c>
      <c r="AE869" s="33" t="str" cm="1">
        <f t="array" ref="AE869">LOOKUP(2,1/($AB$2:$AB$1000=AB869),$AD$2:$AD$1000)</f>
        <v/>
      </c>
      <c r="AO869" s="33" t="str" cm="1">
        <f t="array" ref="AO869">IFERROR(INDEX($AA$2:$AA$282,MATCH(0,COUNTIF('Paste Here'!$AK$1:AK868,$AA$2:$AA$282),0)),"")</f>
        <v/>
      </c>
      <c r="AP869" s="33" t="str">
        <f>IF(COUNTIF('Paste Here'!$AK$2:AK869,'Paste Here'!AK869)=1,VALUE('Paste Here'!AK869),"")</f>
        <v/>
      </c>
    </row>
    <row r="870" spans="1:42" x14ac:dyDescent="0.3">
      <c r="A870" s="2"/>
      <c r="B870" s="2"/>
      <c r="C870" s="2"/>
      <c r="D870" s="3"/>
      <c r="E870" s="2"/>
      <c r="F870" s="2"/>
      <c r="G870" s="2"/>
      <c r="H870" s="2"/>
      <c r="AA870" s="33" t="str">
        <f t="shared" si="40"/>
        <v/>
      </c>
      <c r="AC870" s="33">
        <f t="shared" si="39"/>
        <v>1048540</v>
      </c>
      <c r="AD870" s="33" t="str">
        <f t="shared" si="41"/>
        <v/>
      </c>
      <c r="AE870" s="33" t="str" cm="1">
        <f t="array" ref="AE870">LOOKUP(2,1/($AB$2:$AB$1000=AB870),$AD$2:$AD$1000)</f>
        <v/>
      </c>
      <c r="AO870" s="33" t="str" cm="1">
        <f t="array" ref="AO870">IFERROR(INDEX($AA$2:$AA$282,MATCH(0,COUNTIF('Paste Here'!$AK$1:AK869,$AA$2:$AA$282),0)),"")</f>
        <v/>
      </c>
      <c r="AP870" s="33" t="str">
        <f>IF(COUNTIF('Paste Here'!$AK$2:AK870,'Paste Here'!AK870)=1,VALUE('Paste Here'!AK870),"")</f>
        <v/>
      </c>
    </row>
    <row r="871" spans="1:42" x14ac:dyDescent="0.3">
      <c r="A871"/>
      <c r="B871"/>
      <c r="C871"/>
      <c r="D871" s="4"/>
      <c r="E871"/>
      <c r="F871"/>
      <c r="G871"/>
      <c r="H871"/>
      <c r="AA871" s="33" t="str">
        <f t="shared" si="40"/>
        <v/>
      </c>
      <c r="AC871" s="33">
        <f t="shared" si="39"/>
        <v>1048540</v>
      </c>
      <c r="AD871" s="33" t="str">
        <f t="shared" si="41"/>
        <v/>
      </c>
      <c r="AE871" s="33" t="str" cm="1">
        <f t="array" ref="AE871">LOOKUP(2,1/($AB$2:$AB$1000=AB871),$AD$2:$AD$1000)</f>
        <v/>
      </c>
      <c r="AO871" s="33" t="str" cm="1">
        <f t="array" ref="AO871">IFERROR(INDEX($AA$2:$AA$282,MATCH(0,COUNTIF('Paste Here'!$AK$1:AK870,$AA$2:$AA$282),0)),"")</f>
        <v/>
      </c>
      <c r="AP871" s="33" t="str">
        <f>IF(COUNTIF('Paste Here'!$AK$2:AK871,'Paste Here'!AK871)=1,VALUE('Paste Here'!AK871),"")</f>
        <v/>
      </c>
    </row>
    <row r="872" spans="1:42" x14ac:dyDescent="0.3">
      <c r="A872"/>
      <c r="B872"/>
      <c r="C872"/>
      <c r="D872" s="4"/>
      <c r="E872"/>
      <c r="F872"/>
      <c r="G872"/>
      <c r="H872"/>
      <c r="AA872" s="33" t="str">
        <f t="shared" si="40"/>
        <v/>
      </c>
      <c r="AC872" s="33">
        <f t="shared" si="39"/>
        <v>1048540</v>
      </c>
      <c r="AD872" s="33" t="str">
        <f t="shared" si="41"/>
        <v/>
      </c>
      <c r="AE872" s="33" t="str" cm="1">
        <f t="array" ref="AE872">LOOKUP(2,1/($AB$2:$AB$1000=AB872),$AD$2:$AD$1000)</f>
        <v/>
      </c>
      <c r="AO872" s="33" t="str" cm="1">
        <f t="array" ref="AO872">IFERROR(INDEX($AA$2:$AA$282,MATCH(0,COUNTIF('Paste Here'!$AK$1:AK871,$AA$2:$AA$282),0)),"")</f>
        <v/>
      </c>
      <c r="AP872" s="33" t="str">
        <f>IF(COUNTIF('Paste Here'!$AK$2:AK872,'Paste Here'!AK872)=1,VALUE('Paste Here'!AK872),"")</f>
        <v/>
      </c>
    </row>
    <row r="873" spans="1:42" x14ac:dyDescent="0.3">
      <c r="A873"/>
      <c r="B873"/>
      <c r="C873"/>
      <c r="D873" s="4"/>
      <c r="E873"/>
      <c r="F873"/>
      <c r="G873"/>
      <c r="H873"/>
      <c r="AA873" s="33" t="str">
        <f t="shared" si="40"/>
        <v/>
      </c>
      <c r="AC873" s="33">
        <f t="shared" si="39"/>
        <v>1048540</v>
      </c>
      <c r="AD873" s="33" t="str">
        <f t="shared" si="41"/>
        <v/>
      </c>
      <c r="AE873" s="33" t="str" cm="1">
        <f t="array" ref="AE873">LOOKUP(2,1/($AB$2:$AB$1000=AB873),$AD$2:$AD$1000)</f>
        <v/>
      </c>
      <c r="AO873" s="33" t="str" cm="1">
        <f t="array" ref="AO873">IFERROR(INDEX($AA$2:$AA$282,MATCH(0,COUNTIF('Paste Here'!$AK$1:AK872,$AA$2:$AA$282),0)),"")</f>
        <v/>
      </c>
      <c r="AP873" s="33" t="str">
        <f>IF(COUNTIF('Paste Here'!$AK$2:AK873,'Paste Here'!AK873)=1,VALUE('Paste Here'!AK873),"")</f>
        <v/>
      </c>
    </row>
    <row r="874" spans="1:42" x14ac:dyDescent="0.3">
      <c r="A874"/>
      <c r="B874"/>
      <c r="C874"/>
      <c r="D874" s="4"/>
      <c r="E874"/>
      <c r="F874"/>
      <c r="G874"/>
      <c r="H874"/>
      <c r="AA874" s="33" t="str">
        <f t="shared" si="40"/>
        <v/>
      </c>
      <c r="AC874" s="33">
        <f t="shared" si="39"/>
        <v>1048540</v>
      </c>
      <c r="AD874" s="33" t="str">
        <f t="shared" si="41"/>
        <v/>
      </c>
      <c r="AE874" s="33" t="str" cm="1">
        <f t="array" ref="AE874">LOOKUP(2,1/($AB$2:$AB$1000=AB874),$AD$2:$AD$1000)</f>
        <v/>
      </c>
      <c r="AO874" s="33" t="str" cm="1">
        <f t="array" ref="AO874">IFERROR(INDEX($AA$2:$AA$282,MATCH(0,COUNTIF('Paste Here'!$AK$1:AK873,$AA$2:$AA$282),0)),"")</f>
        <v/>
      </c>
      <c r="AP874" s="33" t="str">
        <f>IF(COUNTIF('Paste Here'!$AK$2:AK874,'Paste Here'!AK874)=1,VALUE('Paste Here'!AK874),"")</f>
        <v/>
      </c>
    </row>
    <row r="875" spans="1:42" x14ac:dyDescent="0.3">
      <c r="A875" s="2"/>
      <c r="B875" s="2"/>
      <c r="C875" s="2"/>
      <c r="D875" s="3"/>
      <c r="E875" s="2"/>
      <c r="F875" s="2"/>
      <c r="G875" s="2"/>
      <c r="H875" s="2"/>
      <c r="AA875" s="33" t="str">
        <f t="shared" si="40"/>
        <v/>
      </c>
      <c r="AC875" s="33">
        <f t="shared" si="39"/>
        <v>1048540</v>
      </c>
      <c r="AD875" s="33" t="str">
        <f t="shared" si="41"/>
        <v/>
      </c>
      <c r="AE875" s="33" t="str" cm="1">
        <f t="array" ref="AE875">LOOKUP(2,1/($AB$2:$AB$1000=AB875),$AD$2:$AD$1000)</f>
        <v/>
      </c>
      <c r="AO875" s="33" t="str" cm="1">
        <f t="array" ref="AO875">IFERROR(INDEX($AA$2:$AA$282,MATCH(0,COUNTIF('Paste Here'!$AK$1:AK874,$AA$2:$AA$282),0)),"")</f>
        <v/>
      </c>
      <c r="AP875" s="33" t="str">
        <f>IF(COUNTIF('Paste Here'!$AK$2:AK875,'Paste Here'!AK875)=1,VALUE('Paste Here'!AK875),"")</f>
        <v/>
      </c>
    </row>
    <row r="876" spans="1:42" x14ac:dyDescent="0.3">
      <c r="A876" s="2"/>
      <c r="B876" s="2"/>
      <c r="C876" s="2"/>
      <c r="D876" s="3"/>
      <c r="E876" s="2"/>
      <c r="F876" s="2"/>
      <c r="G876" s="2"/>
      <c r="H876" s="2"/>
      <c r="AA876" s="33" t="str">
        <f t="shared" si="40"/>
        <v/>
      </c>
      <c r="AC876" s="33">
        <f t="shared" si="39"/>
        <v>1048540</v>
      </c>
      <c r="AD876" s="33" t="str">
        <f t="shared" si="41"/>
        <v/>
      </c>
      <c r="AE876" s="33" t="str" cm="1">
        <f t="array" ref="AE876">LOOKUP(2,1/($AB$2:$AB$1000=AB876),$AD$2:$AD$1000)</f>
        <v/>
      </c>
      <c r="AO876" s="33" t="str" cm="1">
        <f t="array" ref="AO876">IFERROR(INDEX($AA$2:$AA$282,MATCH(0,COUNTIF('Paste Here'!$AK$1:AK875,$AA$2:$AA$282),0)),"")</f>
        <v/>
      </c>
      <c r="AP876" s="33" t="str">
        <f>IF(COUNTIF('Paste Here'!$AK$2:AK876,'Paste Here'!AK876)=1,VALUE('Paste Here'!AK876),"")</f>
        <v/>
      </c>
    </row>
    <row r="877" spans="1:42" x14ac:dyDescent="0.3">
      <c r="A877" s="2"/>
      <c r="B877" s="2"/>
      <c r="C877" s="2"/>
      <c r="D877" s="3"/>
      <c r="E877" s="2"/>
      <c r="F877" s="2"/>
      <c r="G877" s="2"/>
      <c r="H877" s="2"/>
      <c r="AA877" s="33" t="str">
        <f t="shared" si="40"/>
        <v/>
      </c>
      <c r="AC877" s="33">
        <f t="shared" si="39"/>
        <v>1048540</v>
      </c>
      <c r="AD877" s="33" t="str">
        <f t="shared" si="41"/>
        <v/>
      </c>
      <c r="AE877" s="33" t="str" cm="1">
        <f t="array" ref="AE877">LOOKUP(2,1/($AB$2:$AB$1000=AB877),$AD$2:$AD$1000)</f>
        <v/>
      </c>
      <c r="AO877" s="33" t="str" cm="1">
        <f t="array" ref="AO877">IFERROR(INDEX($AA$2:$AA$282,MATCH(0,COUNTIF('Paste Here'!$AK$1:AK876,$AA$2:$AA$282),0)),"")</f>
        <v/>
      </c>
      <c r="AP877" s="33" t="str">
        <f>IF(COUNTIF('Paste Here'!$AK$2:AK877,'Paste Here'!AK877)=1,VALUE('Paste Here'!AK877),"")</f>
        <v/>
      </c>
    </row>
    <row r="878" spans="1:42" x14ac:dyDescent="0.3">
      <c r="A878" s="2"/>
      <c r="B878" s="2"/>
      <c r="C878" s="2"/>
      <c r="D878" s="3"/>
      <c r="E878" s="2"/>
      <c r="F878" s="2"/>
      <c r="G878" s="2"/>
      <c r="H878" s="2"/>
      <c r="AA878" s="33" t="str">
        <f t="shared" si="40"/>
        <v/>
      </c>
      <c r="AC878" s="33">
        <f t="shared" si="39"/>
        <v>1048540</v>
      </c>
      <c r="AD878" s="33" t="str">
        <f t="shared" si="41"/>
        <v/>
      </c>
      <c r="AE878" s="33" t="str" cm="1">
        <f t="array" ref="AE878">LOOKUP(2,1/($AB$2:$AB$1000=AB878),$AD$2:$AD$1000)</f>
        <v/>
      </c>
      <c r="AO878" s="33" t="str" cm="1">
        <f t="array" ref="AO878">IFERROR(INDEX($AA$2:$AA$282,MATCH(0,COUNTIF('Paste Here'!$AK$1:AK877,$AA$2:$AA$282),0)),"")</f>
        <v/>
      </c>
      <c r="AP878" s="33" t="str">
        <f>IF(COUNTIF('Paste Here'!$AK$2:AK878,'Paste Here'!AK878)=1,VALUE('Paste Here'!AK878),"")</f>
        <v/>
      </c>
    </row>
    <row r="879" spans="1:42" x14ac:dyDescent="0.3">
      <c r="A879"/>
      <c r="B879"/>
      <c r="C879"/>
      <c r="D879" s="4"/>
      <c r="E879"/>
      <c r="F879"/>
      <c r="G879"/>
      <c r="H879"/>
      <c r="AA879" s="33" t="str">
        <f t="shared" si="40"/>
        <v/>
      </c>
      <c r="AC879" s="33">
        <f t="shared" si="39"/>
        <v>1048540</v>
      </c>
      <c r="AD879" s="33" t="str">
        <f t="shared" si="41"/>
        <v/>
      </c>
      <c r="AE879" s="33" t="str" cm="1">
        <f t="array" ref="AE879">LOOKUP(2,1/($AB$2:$AB$1000=AB879),$AD$2:$AD$1000)</f>
        <v/>
      </c>
      <c r="AO879" s="33" t="str" cm="1">
        <f t="array" ref="AO879">IFERROR(INDEX($AA$2:$AA$282,MATCH(0,COUNTIF('Paste Here'!$AK$1:AK878,$AA$2:$AA$282),0)),"")</f>
        <v/>
      </c>
      <c r="AP879" s="33" t="str">
        <f>IF(COUNTIF('Paste Here'!$AK$2:AK879,'Paste Here'!AK879)=1,VALUE('Paste Here'!AK879),"")</f>
        <v/>
      </c>
    </row>
    <row r="880" spans="1:42" x14ac:dyDescent="0.3">
      <c r="A880"/>
      <c r="B880"/>
      <c r="C880"/>
      <c r="D880" s="4"/>
      <c r="E880"/>
      <c r="F880"/>
      <c r="G880"/>
      <c r="H880"/>
      <c r="AA880" s="33" t="str">
        <f t="shared" si="40"/>
        <v/>
      </c>
      <c r="AC880" s="33">
        <f t="shared" si="39"/>
        <v>1048540</v>
      </c>
      <c r="AD880" s="33" t="str">
        <f t="shared" si="41"/>
        <v/>
      </c>
      <c r="AE880" s="33" t="str" cm="1">
        <f t="array" ref="AE880">LOOKUP(2,1/($AB$2:$AB$1000=AB880),$AD$2:$AD$1000)</f>
        <v/>
      </c>
      <c r="AO880" s="33" t="str" cm="1">
        <f t="array" ref="AO880">IFERROR(INDEX($AA$2:$AA$282,MATCH(0,COUNTIF('Paste Here'!$AK$1:AK879,$AA$2:$AA$282),0)),"")</f>
        <v/>
      </c>
      <c r="AP880" s="33" t="str">
        <f>IF(COUNTIF('Paste Here'!$AK$2:AK880,'Paste Here'!AK880)=1,VALUE('Paste Here'!AK880),"")</f>
        <v/>
      </c>
    </row>
    <row r="881" spans="27:42" x14ac:dyDescent="0.3">
      <c r="AA881" s="33" t="str">
        <f t="shared" si="40"/>
        <v/>
      </c>
      <c r="AC881" s="33">
        <f t="shared" si="39"/>
        <v>1048540</v>
      </c>
      <c r="AD881" s="33" t="str">
        <f t="shared" si="41"/>
        <v/>
      </c>
      <c r="AE881" s="33" t="str" cm="1">
        <f t="array" ref="AE881">LOOKUP(2,1/($AB$2:$AB$1000=AB881),$AD$2:$AD$1000)</f>
        <v/>
      </c>
      <c r="AO881" s="33" t="str" cm="1">
        <f t="array" ref="AO881">IFERROR(INDEX($AA$2:$AA$282,MATCH(0,COUNTIF('Paste Here'!$AK$1:AK880,$AA$2:$AA$282),0)),"")</f>
        <v/>
      </c>
      <c r="AP881" s="33" t="str">
        <f>IF(COUNTIF('Paste Here'!$AK$2:AK881,'Paste Here'!AK881)=1,VALUE('Paste Here'!AK881),"")</f>
        <v/>
      </c>
    </row>
    <row r="882" spans="27:42" x14ac:dyDescent="0.3">
      <c r="AA882" s="33" t="str">
        <f t="shared" si="40"/>
        <v/>
      </c>
      <c r="AC882" s="33">
        <f t="shared" si="39"/>
        <v>1048540</v>
      </c>
      <c r="AD882" s="33" t="str">
        <f t="shared" si="41"/>
        <v/>
      </c>
      <c r="AE882" s="33" t="str" cm="1">
        <f t="array" ref="AE882">LOOKUP(2,1/($AB$2:$AB$1000=AB882),$AD$2:$AD$1000)</f>
        <v/>
      </c>
      <c r="AO882" s="33" t="str" cm="1">
        <f t="array" ref="AO882">IFERROR(INDEX($AA$2:$AA$282,MATCH(0,COUNTIF('Paste Here'!$AK$1:AK881,$AA$2:$AA$282),0)),"")</f>
        <v/>
      </c>
      <c r="AP882" s="33" t="str">
        <f>IF(COUNTIF('Paste Here'!$AK$2:AK882,'Paste Here'!AK882)=1,VALUE('Paste Here'!AK882),"")</f>
        <v/>
      </c>
    </row>
    <row r="883" spans="27:42" x14ac:dyDescent="0.3">
      <c r="AA883" s="33" t="str">
        <f t="shared" si="40"/>
        <v/>
      </c>
      <c r="AC883" s="33">
        <f t="shared" si="39"/>
        <v>1048540</v>
      </c>
      <c r="AD883" s="33" t="str">
        <f t="shared" si="41"/>
        <v/>
      </c>
      <c r="AE883" s="33" t="str" cm="1">
        <f t="array" ref="AE883">LOOKUP(2,1/($AB$2:$AB$1000=AB883),$AD$2:$AD$1000)</f>
        <v/>
      </c>
      <c r="AO883" s="33" t="str" cm="1">
        <f t="array" ref="AO883">IFERROR(INDEX($AA$2:$AA$282,MATCH(0,COUNTIF('Paste Here'!$AK$1:AK882,$AA$2:$AA$282),0)),"")</f>
        <v/>
      </c>
      <c r="AP883" s="33" t="str">
        <f>IF(COUNTIF('Paste Here'!$AK$2:AK883,'Paste Here'!AK883)=1,VALUE('Paste Here'!AK883),"")</f>
        <v/>
      </c>
    </row>
    <row r="884" spans="27:42" x14ac:dyDescent="0.3">
      <c r="AA884" s="33" t="str">
        <f t="shared" si="40"/>
        <v/>
      </c>
      <c r="AC884" s="33">
        <f t="shared" si="39"/>
        <v>1048540</v>
      </c>
      <c r="AD884" s="33" t="str">
        <f t="shared" si="41"/>
        <v/>
      </c>
      <c r="AE884" s="33" t="str" cm="1">
        <f t="array" ref="AE884">LOOKUP(2,1/($AB$2:$AB$1000=AB884),$AD$2:$AD$1000)</f>
        <v/>
      </c>
      <c r="AO884" s="33" t="str" cm="1">
        <f t="array" ref="AO884">IFERROR(INDEX($AA$2:$AA$282,MATCH(0,COUNTIF('Paste Here'!$AK$1:AK883,$AA$2:$AA$282),0)),"")</f>
        <v/>
      </c>
      <c r="AP884" s="33" t="str">
        <f>IF(COUNTIF('Paste Here'!$AK$2:AK884,'Paste Here'!AK884)=1,VALUE('Paste Here'!AK884),"")</f>
        <v/>
      </c>
    </row>
    <row r="885" spans="27:42" x14ac:dyDescent="0.3">
      <c r="AA885" s="33" t="str">
        <f t="shared" si="40"/>
        <v/>
      </c>
      <c r="AC885" s="33">
        <f t="shared" si="39"/>
        <v>1048540</v>
      </c>
      <c r="AD885" s="33" t="str">
        <f t="shared" si="41"/>
        <v/>
      </c>
      <c r="AE885" s="33" t="str" cm="1">
        <f t="array" ref="AE885">LOOKUP(2,1/($AB$2:$AB$1000=AB885),$AD$2:$AD$1000)</f>
        <v/>
      </c>
      <c r="AO885" s="33" t="str" cm="1">
        <f t="array" ref="AO885">IFERROR(INDEX($AA$2:$AA$282,MATCH(0,COUNTIF('Paste Here'!$AK$1:AK884,$AA$2:$AA$282),0)),"")</f>
        <v/>
      </c>
      <c r="AP885" s="33" t="str">
        <f>IF(COUNTIF('Paste Here'!$AK$2:AK885,'Paste Here'!AK885)=1,VALUE('Paste Here'!AK885),"")</f>
        <v/>
      </c>
    </row>
    <row r="886" spans="27:42" x14ac:dyDescent="0.3">
      <c r="AA886" s="33" t="str">
        <f t="shared" si="40"/>
        <v/>
      </c>
      <c r="AC886" s="33">
        <f t="shared" si="39"/>
        <v>1048540</v>
      </c>
      <c r="AD886" s="33" t="str">
        <f t="shared" si="41"/>
        <v/>
      </c>
      <c r="AE886" s="33" t="str" cm="1">
        <f t="array" ref="AE886">LOOKUP(2,1/($AB$2:$AB$1000=AB886),$AD$2:$AD$1000)</f>
        <v/>
      </c>
      <c r="AO886" s="33" t="str" cm="1">
        <f t="array" ref="AO886">IFERROR(INDEX($AA$2:$AA$282,MATCH(0,COUNTIF('Paste Here'!$AK$1:AK885,$AA$2:$AA$282),0)),"")</f>
        <v/>
      </c>
      <c r="AP886" s="33" t="str">
        <f>IF(COUNTIF('Paste Here'!$AK$2:AK886,'Paste Here'!AK886)=1,VALUE('Paste Here'!AK886),"")</f>
        <v/>
      </c>
    </row>
    <row r="887" spans="27:42" x14ac:dyDescent="0.3">
      <c r="AA887" s="33" t="str">
        <f t="shared" si="40"/>
        <v/>
      </c>
      <c r="AC887" s="33">
        <f t="shared" si="39"/>
        <v>1048540</v>
      </c>
      <c r="AD887" s="33" t="str">
        <f t="shared" si="41"/>
        <v/>
      </c>
      <c r="AE887" s="33" t="str" cm="1">
        <f t="array" ref="AE887">LOOKUP(2,1/($AB$2:$AB$1000=AB887),$AD$2:$AD$1000)</f>
        <v/>
      </c>
      <c r="AO887" s="33" t="str" cm="1">
        <f t="array" ref="AO887">IFERROR(INDEX($AA$2:$AA$282,MATCH(0,COUNTIF('Paste Here'!$AK$1:AK886,$AA$2:$AA$282),0)),"")</f>
        <v/>
      </c>
      <c r="AP887" s="33" t="str">
        <f>IF(COUNTIF('Paste Here'!$AK$2:AK887,'Paste Here'!AK887)=1,VALUE('Paste Here'!AK887),"")</f>
        <v/>
      </c>
    </row>
    <row r="888" spans="27:42" x14ac:dyDescent="0.3">
      <c r="AA888" s="33" t="str">
        <f t="shared" si="40"/>
        <v/>
      </c>
      <c r="AC888" s="33">
        <f t="shared" si="39"/>
        <v>1048540</v>
      </c>
      <c r="AD888" s="33" t="str">
        <f t="shared" si="41"/>
        <v/>
      </c>
      <c r="AE888" s="33" t="str" cm="1">
        <f t="array" ref="AE888">LOOKUP(2,1/($AB$2:$AB$1000=AB888),$AD$2:$AD$1000)</f>
        <v/>
      </c>
      <c r="AO888" s="33" t="str" cm="1">
        <f t="array" ref="AO888">IFERROR(INDEX($AA$2:$AA$282,MATCH(0,COUNTIF('Paste Here'!$AK$1:AK887,$AA$2:$AA$282),0)),"")</f>
        <v/>
      </c>
      <c r="AP888" s="33" t="str">
        <f>IF(COUNTIF('Paste Here'!$AK$2:AK888,'Paste Here'!AK888)=1,VALUE('Paste Here'!AK888),"")</f>
        <v/>
      </c>
    </row>
    <row r="889" spans="27:42" x14ac:dyDescent="0.3">
      <c r="AA889" s="33" t="str">
        <f t="shared" si="40"/>
        <v/>
      </c>
      <c r="AC889" s="33">
        <f t="shared" si="39"/>
        <v>1048540</v>
      </c>
      <c r="AD889" s="33" t="str">
        <f t="shared" si="41"/>
        <v/>
      </c>
      <c r="AE889" s="33" t="str" cm="1">
        <f t="array" ref="AE889">LOOKUP(2,1/($AB$2:$AB$1000=AB889),$AD$2:$AD$1000)</f>
        <v/>
      </c>
      <c r="AO889" s="33" t="str" cm="1">
        <f t="array" ref="AO889">IFERROR(INDEX($AA$2:$AA$282,MATCH(0,COUNTIF('Paste Here'!$AK$1:AK888,$AA$2:$AA$282),0)),"")</f>
        <v/>
      </c>
      <c r="AP889" s="33" t="str">
        <f>IF(COUNTIF('Paste Here'!$AK$2:AK889,'Paste Here'!AK889)=1,VALUE('Paste Here'!AK889),"")</f>
        <v/>
      </c>
    </row>
    <row r="890" spans="27:42" x14ac:dyDescent="0.3">
      <c r="AA890" s="33" t="str">
        <f t="shared" si="40"/>
        <v/>
      </c>
      <c r="AC890" s="33">
        <f t="shared" si="39"/>
        <v>1048540</v>
      </c>
      <c r="AD890" s="33" t="str">
        <f t="shared" si="41"/>
        <v/>
      </c>
      <c r="AE890" s="33" t="str" cm="1">
        <f t="array" ref="AE890">LOOKUP(2,1/($AB$2:$AB$1000=AB890),$AD$2:$AD$1000)</f>
        <v/>
      </c>
      <c r="AO890" s="33" t="str" cm="1">
        <f t="array" ref="AO890">IFERROR(INDEX($AA$2:$AA$282,MATCH(0,COUNTIF('Paste Here'!$AK$1:AK889,$AA$2:$AA$282),0)),"")</f>
        <v/>
      </c>
      <c r="AP890" s="33" t="str">
        <f>IF(COUNTIF('Paste Here'!$AK$2:AK890,'Paste Here'!AK890)=1,VALUE('Paste Here'!AK890),"")</f>
        <v/>
      </c>
    </row>
    <row r="891" spans="27:42" x14ac:dyDescent="0.3">
      <c r="AA891" s="33" t="str">
        <f t="shared" si="40"/>
        <v/>
      </c>
      <c r="AC891" s="33">
        <f t="shared" si="39"/>
        <v>1048540</v>
      </c>
      <c r="AD891" s="33" t="str">
        <f t="shared" si="41"/>
        <v/>
      </c>
      <c r="AE891" s="33" t="str" cm="1">
        <f t="array" ref="AE891">LOOKUP(2,1/($AB$2:$AB$1000=AB891),$AD$2:$AD$1000)</f>
        <v/>
      </c>
      <c r="AO891" s="33" t="str" cm="1">
        <f t="array" ref="AO891">IFERROR(INDEX($AA$2:$AA$282,MATCH(0,COUNTIF('Paste Here'!$AK$1:AK890,$AA$2:$AA$282),0)),"")</f>
        <v/>
      </c>
      <c r="AP891" s="33" t="str">
        <f>IF(COUNTIF('Paste Here'!$AK$2:AK891,'Paste Here'!AK891)=1,VALUE('Paste Here'!AK891),"")</f>
        <v/>
      </c>
    </row>
    <row r="892" spans="27:42" x14ac:dyDescent="0.3">
      <c r="AA892" s="33" t="str">
        <f t="shared" si="40"/>
        <v/>
      </c>
      <c r="AC892" s="33">
        <f t="shared" si="39"/>
        <v>1048540</v>
      </c>
      <c r="AD892" s="33" t="str">
        <f t="shared" si="41"/>
        <v/>
      </c>
      <c r="AE892" s="33" t="str" cm="1">
        <f t="array" ref="AE892">LOOKUP(2,1/($AB$2:$AB$1000=AB892),$AD$2:$AD$1000)</f>
        <v/>
      </c>
      <c r="AO892" s="33" t="str" cm="1">
        <f t="array" ref="AO892">IFERROR(INDEX($AA$2:$AA$282,MATCH(0,COUNTIF('Paste Here'!$AK$1:AK891,$AA$2:$AA$282),0)),"")</f>
        <v/>
      </c>
      <c r="AP892" s="33" t="str">
        <f>IF(COUNTIF('Paste Here'!$AK$2:AK892,'Paste Here'!AK892)=1,VALUE('Paste Here'!AK892),"")</f>
        <v/>
      </c>
    </row>
    <row r="893" spans="27:42" x14ac:dyDescent="0.3">
      <c r="AA893" s="33" t="str">
        <f t="shared" si="40"/>
        <v/>
      </c>
      <c r="AC893" s="33">
        <f t="shared" si="39"/>
        <v>1048540</v>
      </c>
      <c r="AD893" s="33" t="str">
        <f t="shared" si="41"/>
        <v/>
      </c>
      <c r="AE893" s="33" t="str" cm="1">
        <f t="array" ref="AE893">LOOKUP(2,1/($AB$2:$AB$1000=AB893),$AD$2:$AD$1000)</f>
        <v/>
      </c>
      <c r="AO893" s="33" t="str" cm="1">
        <f t="array" ref="AO893">IFERROR(INDEX($AA$2:$AA$282,MATCH(0,COUNTIF('Paste Here'!$AK$1:AK892,$AA$2:$AA$282),0)),"")</f>
        <v/>
      </c>
      <c r="AP893" s="33" t="str">
        <f>IF(COUNTIF('Paste Here'!$AK$2:AK893,'Paste Here'!AK893)=1,VALUE('Paste Here'!AK893),"")</f>
        <v/>
      </c>
    </row>
    <row r="894" spans="27:42" x14ac:dyDescent="0.3">
      <c r="AA894" s="33" t="str">
        <f t="shared" si="40"/>
        <v/>
      </c>
      <c r="AC894" s="33">
        <f t="shared" si="39"/>
        <v>1048540</v>
      </c>
      <c r="AD894" s="33" t="str">
        <f t="shared" si="41"/>
        <v/>
      </c>
      <c r="AE894" s="33" t="str" cm="1">
        <f t="array" ref="AE894">LOOKUP(2,1/($AB$2:$AB$1000=AB894),$AD$2:$AD$1000)</f>
        <v/>
      </c>
      <c r="AO894" s="33" t="str" cm="1">
        <f t="array" ref="AO894">IFERROR(INDEX($AA$2:$AA$282,MATCH(0,COUNTIF('Paste Here'!$AK$1:AK893,$AA$2:$AA$282),0)),"")</f>
        <v/>
      </c>
      <c r="AP894" s="33" t="str">
        <f>IF(COUNTIF('Paste Here'!$AK$2:AK894,'Paste Here'!AK894)=1,VALUE('Paste Here'!AK894),"")</f>
        <v/>
      </c>
    </row>
    <row r="895" spans="27:42" x14ac:dyDescent="0.3">
      <c r="AA895" s="33" t="str">
        <f t="shared" si="40"/>
        <v/>
      </c>
      <c r="AC895" s="33">
        <f t="shared" si="39"/>
        <v>1048540</v>
      </c>
      <c r="AD895" s="33" t="str">
        <f t="shared" si="41"/>
        <v/>
      </c>
      <c r="AE895" s="33" t="str" cm="1">
        <f t="array" ref="AE895">LOOKUP(2,1/($AB$2:$AB$1000=AB895),$AD$2:$AD$1000)</f>
        <v/>
      </c>
      <c r="AO895" s="33" t="str" cm="1">
        <f t="array" ref="AO895">IFERROR(INDEX($AA$2:$AA$282,MATCH(0,COUNTIF('Paste Here'!$AK$1:AK894,$AA$2:$AA$282),0)),"")</f>
        <v/>
      </c>
      <c r="AP895" s="33" t="str">
        <f>IF(COUNTIF('Paste Here'!$AK$2:AK895,'Paste Here'!AK895)=1,VALUE('Paste Here'!AK895),"")</f>
        <v/>
      </c>
    </row>
    <row r="896" spans="27:42" x14ac:dyDescent="0.3">
      <c r="AA896" s="33" t="str">
        <f t="shared" si="40"/>
        <v/>
      </c>
      <c r="AC896" s="33">
        <f t="shared" si="39"/>
        <v>1048540</v>
      </c>
      <c r="AD896" s="33" t="str">
        <f t="shared" si="41"/>
        <v/>
      </c>
      <c r="AE896" s="33" t="str" cm="1">
        <f t="array" ref="AE896">LOOKUP(2,1/($AB$2:$AB$1000=AB896),$AD$2:$AD$1000)</f>
        <v/>
      </c>
      <c r="AO896" s="33" t="str" cm="1">
        <f t="array" ref="AO896">IFERROR(INDEX($AA$2:$AA$282,MATCH(0,COUNTIF('Paste Here'!$AK$1:AK895,$AA$2:$AA$282),0)),"")</f>
        <v/>
      </c>
      <c r="AP896" s="33" t="str">
        <f>IF(COUNTIF('Paste Here'!$AK$2:AK896,'Paste Here'!AK896)=1,VALUE('Paste Here'!AK896),"")</f>
        <v/>
      </c>
    </row>
    <row r="897" spans="27:42" x14ac:dyDescent="0.3">
      <c r="AA897" s="33" t="str">
        <f t="shared" si="40"/>
        <v/>
      </c>
      <c r="AC897" s="33">
        <f t="shared" si="39"/>
        <v>1048540</v>
      </c>
      <c r="AD897" s="33" t="str">
        <f t="shared" si="41"/>
        <v/>
      </c>
      <c r="AE897" s="33" t="str" cm="1">
        <f t="array" ref="AE897">LOOKUP(2,1/($AB$2:$AB$1000=AB897),$AD$2:$AD$1000)</f>
        <v/>
      </c>
      <c r="AO897" s="33" t="str" cm="1">
        <f t="array" ref="AO897">IFERROR(INDEX($AA$2:$AA$282,MATCH(0,COUNTIF('Paste Here'!$AK$1:AK896,$AA$2:$AA$282),0)),"")</f>
        <v/>
      </c>
      <c r="AP897" s="33" t="str">
        <f>IF(COUNTIF('Paste Here'!$AK$2:AK897,'Paste Here'!AK897)=1,VALUE('Paste Here'!AK897),"")</f>
        <v/>
      </c>
    </row>
    <row r="898" spans="27:42" x14ac:dyDescent="0.3">
      <c r="AA898" s="33" t="str">
        <f t="shared" si="40"/>
        <v/>
      </c>
      <c r="AC898" s="33">
        <f t="shared" ref="AC898:AC961" si="42">COUNTIF($AA:$AA,AA898)</f>
        <v>1048540</v>
      </c>
      <c r="AD898" s="33" t="str">
        <f t="shared" si="41"/>
        <v/>
      </c>
      <c r="AE898" s="33" t="str" cm="1">
        <f t="array" ref="AE898">LOOKUP(2,1/($AB$2:$AB$1000=AB898),$AD$2:$AD$1000)</f>
        <v/>
      </c>
      <c r="AO898" s="33" t="str" cm="1">
        <f t="array" ref="AO898">IFERROR(INDEX($AA$2:$AA$282,MATCH(0,COUNTIF('Paste Here'!$AK$1:AK897,$AA$2:$AA$282),0)),"")</f>
        <v/>
      </c>
      <c r="AP898" s="33" t="str">
        <f>IF(COUNTIF('Paste Here'!$AK$2:AK898,'Paste Here'!AK898)=1,VALUE('Paste Here'!AK898),"")</f>
        <v/>
      </c>
    </row>
    <row r="899" spans="27:42" x14ac:dyDescent="0.3">
      <c r="AA899" s="33" t="str">
        <f t="shared" ref="AA899:AA962" si="43">IFERROR(MID(G899,FIND("LR-",G899)+3,FIND("-",G899,FIND("LR-",G899)+3)-FIND("LR-",G899)-3),"")</f>
        <v/>
      </c>
      <c r="AC899" s="33">
        <f t="shared" si="42"/>
        <v>1048540</v>
      </c>
      <c r="AD899" s="33" t="str">
        <f t="shared" ref="AD899:AD962" si="44">IF(F899=0,"",F899)</f>
        <v/>
      </c>
      <c r="AE899" s="33" t="str" cm="1">
        <f t="array" ref="AE899">LOOKUP(2,1/($AB$2:$AB$1000=AB899),$AD$2:$AD$1000)</f>
        <v/>
      </c>
      <c r="AO899" s="33" t="str" cm="1">
        <f t="array" ref="AO899">IFERROR(INDEX($AA$2:$AA$282,MATCH(0,COUNTIF('Paste Here'!$AK$1:AK898,$AA$2:$AA$282),0)),"")</f>
        <v/>
      </c>
      <c r="AP899" s="33" t="str">
        <f>IF(COUNTIF('Paste Here'!$AK$2:AK899,'Paste Here'!AK899)=1,VALUE('Paste Here'!AK899),"")</f>
        <v/>
      </c>
    </row>
    <row r="900" spans="27:42" x14ac:dyDescent="0.3">
      <c r="AA900" s="33" t="str">
        <f t="shared" si="43"/>
        <v/>
      </c>
      <c r="AC900" s="33">
        <f t="shared" si="42"/>
        <v>1048540</v>
      </c>
      <c r="AD900" s="33" t="str">
        <f t="shared" si="44"/>
        <v/>
      </c>
      <c r="AE900" s="33" t="str" cm="1">
        <f t="array" ref="AE900">LOOKUP(2,1/($AB$2:$AB$1000=AB900),$AD$2:$AD$1000)</f>
        <v/>
      </c>
      <c r="AO900" s="33" t="str" cm="1">
        <f t="array" ref="AO900">IFERROR(INDEX($AA$2:$AA$282,MATCH(0,COUNTIF('Paste Here'!$AK$1:AK899,$AA$2:$AA$282),0)),"")</f>
        <v/>
      </c>
      <c r="AP900" s="33" t="str">
        <f>IF(COUNTIF('Paste Here'!$AK$2:AK900,'Paste Here'!AK900)=1,VALUE('Paste Here'!AK900),"")</f>
        <v/>
      </c>
    </row>
    <row r="901" spans="27:42" x14ac:dyDescent="0.3">
      <c r="AA901" s="33" t="str">
        <f t="shared" si="43"/>
        <v/>
      </c>
      <c r="AC901" s="33">
        <f t="shared" si="42"/>
        <v>1048540</v>
      </c>
      <c r="AD901" s="33" t="str">
        <f t="shared" si="44"/>
        <v/>
      </c>
      <c r="AE901" s="33" t="str" cm="1">
        <f t="array" ref="AE901">LOOKUP(2,1/($AB$2:$AB$1000=AB901),$AD$2:$AD$1000)</f>
        <v/>
      </c>
      <c r="AO901" s="33" t="str" cm="1">
        <f t="array" ref="AO901">IFERROR(INDEX($AA$2:$AA$282,MATCH(0,COUNTIF('Paste Here'!$AK$1:AK900,$AA$2:$AA$282),0)),"")</f>
        <v/>
      </c>
      <c r="AP901" s="33" t="str">
        <f>IF(COUNTIF('Paste Here'!$AK$2:AK901,'Paste Here'!AK901)=1,VALUE('Paste Here'!AK901),"")</f>
        <v/>
      </c>
    </row>
    <row r="902" spans="27:42" x14ac:dyDescent="0.3">
      <c r="AA902" s="33" t="str">
        <f t="shared" si="43"/>
        <v/>
      </c>
      <c r="AC902" s="33">
        <f t="shared" si="42"/>
        <v>1048540</v>
      </c>
      <c r="AD902" s="33" t="str">
        <f t="shared" si="44"/>
        <v/>
      </c>
      <c r="AE902" s="33" t="str" cm="1">
        <f t="array" ref="AE902">LOOKUP(2,1/($AB$2:$AB$1000=AB902),$AD$2:$AD$1000)</f>
        <v/>
      </c>
      <c r="AO902" s="33" t="str" cm="1">
        <f t="array" ref="AO902">IFERROR(INDEX($AA$2:$AA$282,MATCH(0,COUNTIF('Paste Here'!$AK$1:AK901,$AA$2:$AA$282),0)),"")</f>
        <v/>
      </c>
      <c r="AP902" s="33" t="str">
        <f>IF(COUNTIF('Paste Here'!$AK$2:AK902,'Paste Here'!AK902)=1,VALUE('Paste Here'!AK902),"")</f>
        <v/>
      </c>
    </row>
    <row r="903" spans="27:42" x14ac:dyDescent="0.3">
      <c r="AA903" s="33" t="str">
        <f t="shared" si="43"/>
        <v/>
      </c>
      <c r="AC903" s="33">
        <f t="shared" si="42"/>
        <v>1048540</v>
      </c>
      <c r="AD903" s="33" t="str">
        <f t="shared" si="44"/>
        <v/>
      </c>
      <c r="AE903" s="33" t="str" cm="1">
        <f t="array" ref="AE903">LOOKUP(2,1/($AB$2:$AB$1000=AB903),$AD$2:$AD$1000)</f>
        <v/>
      </c>
      <c r="AO903" s="33" t="str" cm="1">
        <f t="array" ref="AO903">IFERROR(INDEX($AA$2:$AA$282,MATCH(0,COUNTIF('Paste Here'!$AK$1:AK902,$AA$2:$AA$282),0)),"")</f>
        <v/>
      </c>
      <c r="AP903" s="33" t="str">
        <f>IF(COUNTIF('Paste Here'!$AK$2:AK903,'Paste Here'!AK903)=1,VALUE('Paste Here'!AK903),"")</f>
        <v/>
      </c>
    </row>
    <row r="904" spans="27:42" x14ac:dyDescent="0.3">
      <c r="AA904" s="33" t="str">
        <f t="shared" si="43"/>
        <v/>
      </c>
      <c r="AC904" s="33">
        <f t="shared" si="42"/>
        <v>1048540</v>
      </c>
      <c r="AD904" s="33" t="str">
        <f t="shared" si="44"/>
        <v/>
      </c>
      <c r="AE904" s="33" t="str" cm="1">
        <f t="array" ref="AE904">LOOKUP(2,1/($AB$2:$AB$1000=AB904),$AD$2:$AD$1000)</f>
        <v/>
      </c>
      <c r="AO904" s="33" t="str" cm="1">
        <f t="array" ref="AO904">IFERROR(INDEX($AA$2:$AA$282,MATCH(0,COUNTIF('Paste Here'!$AK$1:AK903,$AA$2:$AA$282),0)),"")</f>
        <v/>
      </c>
      <c r="AP904" s="33" t="str">
        <f>IF(COUNTIF('Paste Here'!$AK$2:AK904,'Paste Here'!AK904)=1,VALUE('Paste Here'!AK904),"")</f>
        <v/>
      </c>
    </row>
    <row r="905" spans="27:42" x14ac:dyDescent="0.3">
      <c r="AA905" s="33" t="str">
        <f t="shared" si="43"/>
        <v/>
      </c>
      <c r="AC905" s="33">
        <f t="shared" si="42"/>
        <v>1048540</v>
      </c>
      <c r="AD905" s="33" t="str">
        <f t="shared" si="44"/>
        <v/>
      </c>
      <c r="AE905" s="33" t="str" cm="1">
        <f t="array" ref="AE905">LOOKUP(2,1/($AB$2:$AB$1000=AB905),$AD$2:$AD$1000)</f>
        <v/>
      </c>
      <c r="AO905" s="33" t="str" cm="1">
        <f t="array" ref="AO905">IFERROR(INDEX($AA$2:$AA$282,MATCH(0,COUNTIF('Paste Here'!$AK$1:AK904,$AA$2:$AA$282),0)),"")</f>
        <v/>
      </c>
      <c r="AP905" s="33" t="str">
        <f>IF(COUNTIF('Paste Here'!$AK$2:AK905,'Paste Here'!AK905)=1,VALUE('Paste Here'!AK905),"")</f>
        <v/>
      </c>
    </row>
    <row r="906" spans="27:42" x14ac:dyDescent="0.3">
      <c r="AA906" s="33" t="str">
        <f t="shared" si="43"/>
        <v/>
      </c>
      <c r="AC906" s="33">
        <f t="shared" si="42"/>
        <v>1048540</v>
      </c>
      <c r="AD906" s="33" t="str">
        <f t="shared" si="44"/>
        <v/>
      </c>
      <c r="AE906" s="33" t="str" cm="1">
        <f t="array" ref="AE906">LOOKUP(2,1/($AB$2:$AB$1000=AB906),$AD$2:$AD$1000)</f>
        <v/>
      </c>
      <c r="AO906" s="33" t="str" cm="1">
        <f t="array" ref="AO906">IFERROR(INDEX($AA$2:$AA$282,MATCH(0,COUNTIF('Paste Here'!$AK$1:AK905,$AA$2:$AA$282),0)),"")</f>
        <v/>
      </c>
      <c r="AP906" s="33" t="str">
        <f>IF(COUNTIF('Paste Here'!$AK$2:AK906,'Paste Here'!AK906)=1,VALUE('Paste Here'!AK906),"")</f>
        <v/>
      </c>
    </row>
    <row r="907" spans="27:42" x14ac:dyDescent="0.3">
      <c r="AA907" s="33" t="str">
        <f t="shared" si="43"/>
        <v/>
      </c>
      <c r="AC907" s="33">
        <f t="shared" si="42"/>
        <v>1048540</v>
      </c>
      <c r="AD907" s="33" t="str">
        <f t="shared" si="44"/>
        <v/>
      </c>
      <c r="AE907" s="33" t="str" cm="1">
        <f t="array" ref="AE907">LOOKUP(2,1/($AB$2:$AB$1000=AB907),$AD$2:$AD$1000)</f>
        <v/>
      </c>
      <c r="AO907" s="33" t="str" cm="1">
        <f t="array" ref="AO907">IFERROR(INDEX($AA$2:$AA$282,MATCH(0,COUNTIF('Paste Here'!$AK$1:AK906,$AA$2:$AA$282),0)),"")</f>
        <v/>
      </c>
      <c r="AP907" s="33" t="str">
        <f>IF(COUNTIF('Paste Here'!$AK$2:AK907,'Paste Here'!AK907)=1,VALUE('Paste Here'!AK907),"")</f>
        <v/>
      </c>
    </row>
    <row r="908" spans="27:42" x14ac:dyDescent="0.3">
      <c r="AA908" s="33" t="str">
        <f t="shared" si="43"/>
        <v/>
      </c>
      <c r="AC908" s="33">
        <f t="shared" si="42"/>
        <v>1048540</v>
      </c>
      <c r="AD908" s="33" t="str">
        <f t="shared" si="44"/>
        <v/>
      </c>
      <c r="AE908" s="33" t="str" cm="1">
        <f t="array" ref="AE908">LOOKUP(2,1/($AB$2:$AB$1000=AB908),$AD$2:$AD$1000)</f>
        <v/>
      </c>
      <c r="AO908" s="33" t="str" cm="1">
        <f t="array" ref="AO908">IFERROR(INDEX($AA$2:$AA$282,MATCH(0,COUNTIF('Paste Here'!$AK$1:AK907,$AA$2:$AA$282),0)),"")</f>
        <v/>
      </c>
      <c r="AP908" s="33" t="str">
        <f>IF(COUNTIF('Paste Here'!$AK$2:AK908,'Paste Here'!AK908)=1,VALUE('Paste Here'!AK908),"")</f>
        <v/>
      </c>
    </row>
    <row r="909" spans="27:42" x14ac:dyDescent="0.3">
      <c r="AA909" s="33" t="str">
        <f t="shared" si="43"/>
        <v/>
      </c>
      <c r="AC909" s="33">
        <f t="shared" si="42"/>
        <v>1048540</v>
      </c>
      <c r="AD909" s="33" t="str">
        <f t="shared" si="44"/>
        <v/>
      </c>
      <c r="AE909" s="33" t="str" cm="1">
        <f t="array" ref="AE909">LOOKUP(2,1/($AB$2:$AB$1000=AB909),$AD$2:$AD$1000)</f>
        <v/>
      </c>
      <c r="AO909" s="33" t="str" cm="1">
        <f t="array" ref="AO909">IFERROR(INDEX($AA$2:$AA$282,MATCH(0,COUNTIF('Paste Here'!$AK$1:AK908,$AA$2:$AA$282),0)),"")</f>
        <v/>
      </c>
      <c r="AP909" s="33" t="str">
        <f>IF(COUNTIF('Paste Here'!$AK$2:AK909,'Paste Here'!AK909)=1,VALUE('Paste Here'!AK909),"")</f>
        <v/>
      </c>
    </row>
    <row r="910" spans="27:42" x14ac:dyDescent="0.3">
      <c r="AA910" s="33" t="str">
        <f t="shared" si="43"/>
        <v/>
      </c>
      <c r="AC910" s="33">
        <f t="shared" si="42"/>
        <v>1048540</v>
      </c>
      <c r="AD910" s="33" t="str">
        <f t="shared" si="44"/>
        <v/>
      </c>
      <c r="AE910" s="33" t="str" cm="1">
        <f t="array" ref="AE910">LOOKUP(2,1/($AB$2:$AB$1000=AB910),$AD$2:$AD$1000)</f>
        <v/>
      </c>
      <c r="AO910" s="33" t="str" cm="1">
        <f t="array" ref="AO910">IFERROR(INDEX($AA$2:$AA$282,MATCH(0,COUNTIF('Paste Here'!$AK$1:AK909,$AA$2:$AA$282),0)),"")</f>
        <v/>
      </c>
      <c r="AP910" s="33" t="str">
        <f>IF(COUNTIF('Paste Here'!$AK$2:AK910,'Paste Here'!AK910)=1,VALUE('Paste Here'!AK910),"")</f>
        <v/>
      </c>
    </row>
    <row r="911" spans="27:42" x14ac:dyDescent="0.3">
      <c r="AA911" s="33" t="str">
        <f t="shared" si="43"/>
        <v/>
      </c>
      <c r="AC911" s="33">
        <f t="shared" si="42"/>
        <v>1048540</v>
      </c>
      <c r="AD911" s="33" t="str">
        <f t="shared" si="44"/>
        <v/>
      </c>
      <c r="AE911" s="33" t="str" cm="1">
        <f t="array" ref="AE911">LOOKUP(2,1/($AB$2:$AB$1000=AB911),$AD$2:$AD$1000)</f>
        <v/>
      </c>
      <c r="AO911" s="33" t="str" cm="1">
        <f t="array" ref="AO911">IFERROR(INDEX($AA$2:$AA$282,MATCH(0,COUNTIF('Paste Here'!$AK$1:AK910,$AA$2:$AA$282),0)),"")</f>
        <v/>
      </c>
      <c r="AP911" s="33" t="str">
        <f>IF(COUNTIF('Paste Here'!$AK$2:AK911,'Paste Here'!AK911)=1,VALUE('Paste Here'!AK911),"")</f>
        <v/>
      </c>
    </row>
    <row r="912" spans="27:42" x14ac:dyDescent="0.3">
      <c r="AA912" s="33" t="str">
        <f t="shared" si="43"/>
        <v/>
      </c>
      <c r="AC912" s="33">
        <f t="shared" si="42"/>
        <v>1048540</v>
      </c>
      <c r="AD912" s="33" t="str">
        <f t="shared" si="44"/>
        <v/>
      </c>
      <c r="AE912" s="33" t="str" cm="1">
        <f t="array" ref="AE912">LOOKUP(2,1/($AB$2:$AB$1000=AB912),$AD$2:$AD$1000)</f>
        <v/>
      </c>
      <c r="AO912" s="33" t="str" cm="1">
        <f t="array" ref="AO912">IFERROR(INDEX($AA$2:$AA$282,MATCH(0,COUNTIF('Paste Here'!$AK$1:AK911,$AA$2:$AA$282),0)),"")</f>
        <v/>
      </c>
      <c r="AP912" s="33" t="str">
        <f>IF(COUNTIF('Paste Here'!$AK$2:AK912,'Paste Here'!AK912)=1,VALUE('Paste Here'!AK912),"")</f>
        <v/>
      </c>
    </row>
    <row r="913" spans="27:42" x14ac:dyDescent="0.3">
      <c r="AA913" s="33" t="str">
        <f t="shared" si="43"/>
        <v/>
      </c>
      <c r="AC913" s="33">
        <f t="shared" si="42"/>
        <v>1048540</v>
      </c>
      <c r="AD913" s="33" t="str">
        <f t="shared" si="44"/>
        <v/>
      </c>
      <c r="AE913" s="33" t="str" cm="1">
        <f t="array" ref="AE913">LOOKUP(2,1/($AB$2:$AB$1000=AB913),$AD$2:$AD$1000)</f>
        <v/>
      </c>
      <c r="AO913" s="33" t="str" cm="1">
        <f t="array" ref="AO913">IFERROR(INDEX($AA$2:$AA$282,MATCH(0,COUNTIF('Paste Here'!$AK$1:AK912,$AA$2:$AA$282),0)),"")</f>
        <v/>
      </c>
      <c r="AP913" s="33" t="str">
        <f>IF(COUNTIF('Paste Here'!$AK$2:AK913,'Paste Here'!AK913)=1,VALUE('Paste Here'!AK913),"")</f>
        <v/>
      </c>
    </row>
    <row r="914" spans="27:42" x14ac:dyDescent="0.3">
      <c r="AA914" s="33" t="str">
        <f t="shared" si="43"/>
        <v/>
      </c>
      <c r="AC914" s="33">
        <f t="shared" si="42"/>
        <v>1048540</v>
      </c>
      <c r="AD914" s="33" t="str">
        <f t="shared" si="44"/>
        <v/>
      </c>
      <c r="AE914" s="33" t="str" cm="1">
        <f t="array" ref="AE914">LOOKUP(2,1/($AB$2:$AB$1000=AB914),$AD$2:$AD$1000)</f>
        <v/>
      </c>
      <c r="AO914" s="33" t="str" cm="1">
        <f t="array" ref="AO914">IFERROR(INDEX($AA$2:$AA$282,MATCH(0,COUNTIF('Paste Here'!$AK$1:AK913,$AA$2:$AA$282),0)),"")</f>
        <v/>
      </c>
      <c r="AP914" s="33" t="str">
        <f>IF(COUNTIF('Paste Here'!$AK$2:AK914,'Paste Here'!AK914)=1,VALUE('Paste Here'!AK914),"")</f>
        <v/>
      </c>
    </row>
    <row r="915" spans="27:42" x14ac:dyDescent="0.3">
      <c r="AA915" s="33" t="str">
        <f t="shared" si="43"/>
        <v/>
      </c>
      <c r="AC915" s="33">
        <f t="shared" si="42"/>
        <v>1048540</v>
      </c>
      <c r="AD915" s="33" t="str">
        <f t="shared" si="44"/>
        <v/>
      </c>
      <c r="AE915" s="33" t="str" cm="1">
        <f t="array" ref="AE915">LOOKUP(2,1/($AB$2:$AB$1000=AB915),$AD$2:$AD$1000)</f>
        <v/>
      </c>
      <c r="AO915" s="33" t="str" cm="1">
        <f t="array" ref="AO915">IFERROR(INDEX($AA$2:$AA$282,MATCH(0,COUNTIF('Paste Here'!$AK$1:AK914,$AA$2:$AA$282),0)),"")</f>
        <v/>
      </c>
      <c r="AP915" s="33" t="str">
        <f>IF(COUNTIF('Paste Here'!$AK$2:AK915,'Paste Here'!AK915)=1,VALUE('Paste Here'!AK915),"")</f>
        <v/>
      </c>
    </row>
    <row r="916" spans="27:42" x14ac:dyDescent="0.3">
      <c r="AA916" s="33" t="str">
        <f t="shared" si="43"/>
        <v/>
      </c>
      <c r="AC916" s="33">
        <f t="shared" si="42"/>
        <v>1048540</v>
      </c>
      <c r="AD916" s="33" t="str">
        <f t="shared" si="44"/>
        <v/>
      </c>
      <c r="AE916" s="33" t="str" cm="1">
        <f t="array" ref="AE916">LOOKUP(2,1/($AB$2:$AB$1000=AB916),$AD$2:$AD$1000)</f>
        <v/>
      </c>
      <c r="AO916" s="33" t="str" cm="1">
        <f t="array" ref="AO916">IFERROR(INDEX($AA$2:$AA$282,MATCH(0,COUNTIF('Paste Here'!$AK$1:AK915,$AA$2:$AA$282),0)),"")</f>
        <v/>
      </c>
      <c r="AP916" s="33" t="str">
        <f>IF(COUNTIF('Paste Here'!$AK$2:AK916,'Paste Here'!AK916)=1,VALUE('Paste Here'!AK916),"")</f>
        <v/>
      </c>
    </row>
    <row r="917" spans="27:42" x14ac:dyDescent="0.3">
      <c r="AA917" s="33" t="str">
        <f t="shared" si="43"/>
        <v/>
      </c>
      <c r="AC917" s="33">
        <f t="shared" si="42"/>
        <v>1048540</v>
      </c>
      <c r="AD917" s="33" t="str">
        <f t="shared" si="44"/>
        <v/>
      </c>
      <c r="AE917" s="33" t="str" cm="1">
        <f t="array" ref="AE917">LOOKUP(2,1/($AB$2:$AB$1000=AB917),$AD$2:$AD$1000)</f>
        <v/>
      </c>
      <c r="AO917" s="33" t="str" cm="1">
        <f t="array" ref="AO917">IFERROR(INDEX($AA$2:$AA$282,MATCH(0,COUNTIF('Paste Here'!$AK$1:AK916,$AA$2:$AA$282),0)),"")</f>
        <v/>
      </c>
      <c r="AP917" s="33" t="str">
        <f>IF(COUNTIF('Paste Here'!$AK$2:AK917,'Paste Here'!AK917)=1,VALUE('Paste Here'!AK917),"")</f>
        <v/>
      </c>
    </row>
    <row r="918" spans="27:42" x14ac:dyDescent="0.3">
      <c r="AA918" s="33" t="str">
        <f t="shared" si="43"/>
        <v/>
      </c>
      <c r="AC918" s="33">
        <f t="shared" si="42"/>
        <v>1048540</v>
      </c>
      <c r="AD918" s="33" t="str">
        <f t="shared" si="44"/>
        <v/>
      </c>
      <c r="AE918" s="33" t="str" cm="1">
        <f t="array" ref="AE918">LOOKUP(2,1/($AB$2:$AB$1000=AB918),$AD$2:$AD$1000)</f>
        <v/>
      </c>
      <c r="AO918" s="33" t="str" cm="1">
        <f t="array" ref="AO918">IFERROR(INDEX($AA$2:$AA$282,MATCH(0,COUNTIF('Paste Here'!$AK$1:AK917,$AA$2:$AA$282),0)),"")</f>
        <v/>
      </c>
      <c r="AP918" s="33" t="str">
        <f>IF(COUNTIF('Paste Here'!$AK$2:AK918,'Paste Here'!AK918)=1,VALUE('Paste Here'!AK918),"")</f>
        <v/>
      </c>
    </row>
    <row r="919" spans="27:42" x14ac:dyDescent="0.3">
      <c r="AA919" s="33" t="str">
        <f t="shared" si="43"/>
        <v/>
      </c>
      <c r="AC919" s="33">
        <f t="shared" si="42"/>
        <v>1048540</v>
      </c>
      <c r="AD919" s="33" t="str">
        <f t="shared" si="44"/>
        <v/>
      </c>
      <c r="AE919" s="33" t="str" cm="1">
        <f t="array" ref="AE919">LOOKUP(2,1/($AB$2:$AB$1000=AB919),$AD$2:$AD$1000)</f>
        <v/>
      </c>
      <c r="AO919" s="33" t="str" cm="1">
        <f t="array" ref="AO919">IFERROR(INDEX($AA$2:$AA$282,MATCH(0,COUNTIF('Paste Here'!$AK$1:AK918,$AA$2:$AA$282),0)),"")</f>
        <v/>
      </c>
      <c r="AP919" s="33" t="str">
        <f>IF(COUNTIF('Paste Here'!$AK$2:AK919,'Paste Here'!AK919)=1,VALUE('Paste Here'!AK919),"")</f>
        <v/>
      </c>
    </row>
    <row r="920" spans="27:42" x14ac:dyDescent="0.3">
      <c r="AA920" s="33" t="str">
        <f t="shared" si="43"/>
        <v/>
      </c>
      <c r="AC920" s="33">
        <f t="shared" si="42"/>
        <v>1048540</v>
      </c>
      <c r="AD920" s="33" t="str">
        <f t="shared" si="44"/>
        <v/>
      </c>
      <c r="AE920" s="33" t="str" cm="1">
        <f t="array" ref="AE920">LOOKUP(2,1/($AB$2:$AB$1000=AB920),$AD$2:$AD$1000)</f>
        <v/>
      </c>
      <c r="AO920" s="33" t="str" cm="1">
        <f t="array" ref="AO920">IFERROR(INDEX($AA$2:$AA$282,MATCH(0,COUNTIF('Paste Here'!$AK$1:AK919,$AA$2:$AA$282),0)),"")</f>
        <v/>
      </c>
      <c r="AP920" s="33" t="str">
        <f>IF(COUNTIF('Paste Here'!$AK$2:AK920,'Paste Here'!AK920)=1,VALUE('Paste Here'!AK920),"")</f>
        <v/>
      </c>
    </row>
    <row r="921" spans="27:42" x14ac:dyDescent="0.3">
      <c r="AA921" s="33" t="str">
        <f t="shared" si="43"/>
        <v/>
      </c>
      <c r="AC921" s="33">
        <f t="shared" si="42"/>
        <v>1048540</v>
      </c>
      <c r="AD921" s="33" t="str">
        <f t="shared" si="44"/>
        <v/>
      </c>
      <c r="AE921" s="33" t="str" cm="1">
        <f t="array" ref="AE921">LOOKUP(2,1/($AB$2:$AB$1000=AB921),$AD$2:$AD$1000)</f>
        <v/>
      </c>
      <c r="AO921" s="33" t="str" cm="1">
        <f t="array" ref="AO921">IFERROR(INDEX($AA$2:$AA$282,MATCH(0,COUNTIF('Paste Here'!$AK$1:AK920,$AA$2:$AA$282),0)),"")</f>
        <v/>
      </c>
      <c r="AP921" s="33" t="str">
        <f>IF(COUNTIF('Paste Here'!$AK$2:AK921,'Paste Here'!AK921)=1,VALUE('Paste Here'!AK921),"")</f>
        <v/>
      </c>
    </row>
    <row r="922" spans="27:42" x14ac:dyDescent="0.3">
      <c r="AA922" s="33" t="str">
        <f t="shared" si="43"/>
        <v/>
      </c>
      <c r="AC922" s="33">
        <f t="shared" si="42"/>
        <v>1048540</v>
      </c>
      <c r="AD922" s="33" t="str">
        <f t="shared" si="44"/>
        <v/>
      </c>
      <c r="AE922" s="33" t="str" cm="1">
        <f t="array" ref="AE922">LOOKUP(2,1/($AB$2:$AB$1000=AB922),$AD$2:$AD$1000)</f>
        <v/>
      </c>
      <c r="AO922" s="33" t="str" cm="1">
        <f t="array" ref="AO922">IFERROR(INDEX($AA$2:$AA$282,MATCH(0,COUNTIF('Paste Here'!$AK$1:AK921,$AA$2:$AA$282),0)),"")</f>
        <v/>
      </c>
      <c r="AP922" s="33" t="str">
        <f>IF(COUNTIF('Paste Here'!$AK$2:AK922,'Paste Here'!AK922)=1,VALUE('Paste Here'!AK922),"")</f>
        <v/>
      </c>
    </row>
    <row r="923" spans="27:42" x14ac:dyDescent="0.3">
      <c r="AA923" s="33" t="str">
        <f t="shared" si="43"/>
        <v/>
      </c>
      <c r="AC923" s="33">
        <f t="shared" si="42"/>
        <v>1048540</v>
      </c>
      <c r="AD923" s="33" t="str">
        <f t="shared" si="44"/>
        <v/>
      </c>
      <c r="AE923" s="33" t="str" cm="1">
        <f t="array" ref="AE923">LOOKUP(2,1/($AB$2:$AB$1000=AB923),$AD$2:$AD$1000)</f>
        <v/>
      </c>
      <c r="AO923" s="33" t="str" cm="1">
        <f t="array" ref="AO923">IFERROR(INDEX($AA$2:$AA$282,MATCH(0,COUNTIF('Paste Here'!$AK$1:AK922,$AA$2:$AA$282),0)),"")</f>
        <v/>
      </c>
      <c r="AP923" s="33" t="str">
        <f>IF(COUNTIF('Paste Here'!$AK$2:AK923,'Paste Here'!AK923)=1,VALUE('Paste Here'!AK923),"")</f>
        <v/>
      </c>
    </row>
    <row r="924" spans="27:42" x14ac:dyDescent="0.3">
      <c r="AA924" s="33" t="str">
        <f t="shared" si="43"/>
        <v/>
      </c>
      <c r="AC924" s="33">
        <f t="shared" si="42"/>
        <v>1048540</v>
      </c>
      <c r="AD924" s="33" t="str">
        <f t="shared" si="44"/>
        <v/>
      </c>
      <c r="AE924" s="33" t="str" cm="1">
        <f t="array" ref="AE924">LOOKUP(2,1/($AB$2:$AB$1000=AB924),$AD$2:$AD$1000)</f>
        <v/>
      </c>
      <c r="AO924" s="33" t="str" cm="1">
        <f t="array" ref="AO924">IFERROR(INDEX($AA$2:$AA$282,MATCH(0,COUNTIF('Paste Here'!$AK$1:AK923,$AA$2:$AA$282),0)),"")</f>
        <v/>
      </c>
      <c r="AP924" s="33" t="str">
        <f>IF(COUNTIF('Paste Here'!$AK$2:AK924,'Paste Here'!AK924)=1,VALUE('Paste Here'!AK924),"")</f>
        <v/>
      </c>
    </row>
    <row r="925" spans="27:42" x14ac:dyDescent="0.3">
      <c r="AA925" s="33" t="str">
        <f t="shared" si="43"/>
        <v/>
      </c>
      <c r="AC925" s="33">
        <f t="shared" si="42"/>
        <v>1048540</v>
      </c>
      <c r="AD925" s="33" t="str">
        <f t="shared" si="44"/>
        <v/>
      </c>
      <c r="AE925" s="33" t="str" cm="1">
        <f t="array" ref="AE925">LOOKUP(2,1/($AB$2:$AB$1000=AB925),$AD$2:$AD$1000)</f>
        <v/>
      </c>
      <c r="AO925" s="33" t="str" cm="1">
        <f t="array" ref="AO925">IFERROR(INDEX($AA$2:$AA$282,MATCH(0,COUNTIF('Paste Here'!$AK$1:AK924,$AA$2:$AA$282),0)),"")</f>
        <v/>
      </c>
      <c r="AP925" s="33" t="str">
        <f>IF(COUNTIF('Paste Here'!$AK$2:AK925,'Paste Here'!AK925)=1,VALUE('Paste Here'!AK925),"")</f>
        <v/>
      </c>
    </row>
    <row r="926" spans="27:42" x14ac:dyDescent="0.3">
      <c r="AA926" s="33" t="str">
        <f t="shared" si="43"/>
        <v/>
      </c>
      <c r="AC926" s="33">
        <f t="shared" si="42"/>
        <v>1048540</v>
      </c>
      <c r="AD926" s="33" t="str">
        <f t="shared" si="44"/>
        <v/>
      </c>
      <c r="AE926" s="33" t="str" cm="1">
        <f t="array" ref="AE926">LOOKUP(2,1/($AB$2:$AB$1000=AB926),$AD$2:$AD$1000)</f>
        <v/>
      </c>
      <c r="AO926" s="33" t="str" cm="1">
        <f t="array" ref="AO926">IFERROR(INDEX($AA$2:$AA$282,MATCH(0,COUNTIF('Paste Here'!$AK$1:AK925,$AA$2:$AA$282),0)),"")</f>
        <v/>
      </c>
      <c r="AP926" s="33" t="str">
        <f>IF(COUNTIF('Paste Here'!$AK$2:AK926,'Paste Here'!AK926)=1,VALUE('Paste Here'!AK926),"")</f>
        <v/>
      </c>
    </row>
    <row r="927" spans="27:42" x14ac:dyDescent="0.3">
      <c r="AA927" s="33" t="str">
        <f t="shared" si="43"/>
        <v/>
      </c>
      <c r="AC927" s="33">
        <f t="shared" si="42"/>
        <v>1048540</v>
      </c>
      <c r="AD927" s="33" t="str">
        <f t="shared" si="44"/>
        <v/>
      </c>
      <c r="AE927" s="33" t="str" cm="1">
        <f t="array" ref="AE927">LOOKUP(2,1/($AB$2:$AB$1000=AB927),$AD$2:$AD$1000)</f>
        <v/>
      </c>
      <c r="AO927" s="33" t="str" cm="1">
        <f t="array" ref="AO927">IFERROR(INDEX($AA$2:$AA$282,MATCH(0,COUNTIF('Paste Here'!$AK$1:AK926,$AA$2:$AA$282),0)),"")</f>
        <v/>
      </c>
      <c r="AP927" s="33" t="str">
        <f>IF(COUNTIF('Paste Here'!$AK$2:AK927,'Paste Here'!AK927)=1,VALUE('Paste Here'!AK927),"")</f>
        <v/>
      </c>
    </row>
    <row r="928" spans="27:42" x14ac:dyDescent="0.3">
      <c r="AA928" s="33" t="str">
        <f t="shared" si="43"/>
        <v/>
      </c>
      <c r="AC928" s="33">
        <f t="shared" si="42"/>
        <v>1048540</v>
      </c>
      <c r="AD928" s="33" t="str">
        <f t="shared" si="44"/>
        <v/>
      </c>
      <c r="AE928" s="33" t="str" cm="1">
        <f t="array" ref="AE928">LOOKUP(2,1/($AB$2:$AB$1000=AB928),$AD$2:$AD$1000)</f>
        <v/>
      </c>
      <c r="AO928" s="33" t="str" cm="1">
        <f t="array" ref="AO928">IFERROR(INDEX($AA$2:$AA$282,MATCH(0,COUNTIF('Paste Here'!$AK$1:AK927,$AA$2:$AA$282),0)),"")</f>
        <v/>
      </c>
      <c r="AP928" s="33" t="str">
        <f>IF(COUNTIF('Paste Here'!$AK$2:AK928,'Paste Here'!AK928)=1,VALUE('Paste Here'!AK928),"")</f>
        <v/>
      </c>
    </row>
    <row r="929" spans="27:42" x14ac:dyDescent="0.3">
      <c r="AA929" s="33" t="str">
        <f t="shared" si="43"/>
        <v/>
      </c>
      <c r="AC929" s="33">
        <f t="shared" si="42"/>
        <v>1048540</v>
      </c>
      <c r="AD929" s="33" t="str">
        <f t="shared" si="44"/>
        <v/>
      </c>
      <c r="AE929" s="33" t="str" cm="1">
        <f t="array" ref="AE929">LOOKUP(2,1/($AB$2:$AB$1000=AB929),$AD$2:$AD$1000)</f>
        <v/>
      </c>
      <c r="AO929" s="33" t="str" cm="1">
        <f t="array" ref="AO929">IFERROR(INDEX($AA$2:$AA$282,MATCH(0,COUNTIF('Paste Here'!$AK$1:AK928,$AA$2:$AA$282),0)),"")</f>
        <v/>
      </c>
      <c r="AP929" s="33" t="str">
        <f>IF(COUNTIF('Paste Here'!$AK$2:AK929,'Paste Here'!AK929)=1,VALUE('Paste Here'!AK929),"")</f>
        <v/>
      </c>
    </row>
    <row r="930" spans="27:42" x14ac:dyDescent="0.3">
      <c r="AA930" s="33" t="str">
        <f t="shared" si="43"/>
        <v/>
      </c>
      <c r="AC930" s="33">
        <f t="shared" si="42"/>
        <v>1048540</v>
      </c>
      <c r="AD930" s="33" t="str">
        <f t="shared" si="44"/>
        <v/>
      </c>
      <c r="AE930" s="33" t="str" cm="1">
        <f t="array" ref="AE930">LOOKUP(2,1/($AB$2:$AB$1000=AB930),$AD$2:$AD$1000)</f>
        <v/>
      </c>
      <c r="AO930" s="33" t="str" cm="1">
        <f t="array" ref="AO930">IFERROR(INDEX($AA$2:$AA$282,MATCH(0,COUNTIF('Paste Here'!$AK$1:AK929,$AA$2:$AA$282),0)),"")</f>
        <v/>
      </c>
      <c r="AP930" s="33" t="str">
        <f>IF(COUNTIF('Paste Here'!$AK$2:AK930,'Paste Here'!AK930)=1,VALUE('Paste Here'!AK930),"")</f>
        <v/>
      </c>
    </row>
    <row r="931" spans="27:42" x14ac:dyDescent="0.3">
      <c r="AA931" s="33" t="str">
        <f t="shared" si="43"/>
        <v/>
      </c>
      <c r="AC931" s="33">
        <f t="shared" si="42"/>
        <v>1048540</v>
      </c>
      <c r="AD931" s="33" t="str">
        <f t="shared" si="44"/>
        <v/>
      </c>
      <c r="AE931" s="33" t="str" cm="1">
        <f t="array" ref="AE931">LOOKUP(2,1/($AB$2:$AB$1000=AB931),$AD$2:$AD$1000)</f>
        <v/>
      </c>
      <c r="AO931" s="33" t="str" cm="1">
        <f t="array" ref="AO931">IFERROR(INDEX($AA$2:$AA$282,MATCH(0,COUNTIF('Paste Here'!$AK$1:AK930,$AA$2:$AA$282),0)),"")</f>
        <v/>
      </c>
      <c r="AP931" s="33" t="str">
        <f>IF(COUNTIF('Paste Here'!$AK$2:AK931,'Paste Here'!AK931)=1,VALUE('Paste Here'!AK931),"")</f>
        <v/>
      </c>
    </row>
    <row r="932" spans="27:42" x14ac:dyDescent="0.3">
      <c r="AA932" s="33" t="str">
        <f t="shared" si="43"/>
        <v/>
      </c>
      <c r="AC932" s="33">
        <f t="shared" si="42"/>
        <v>1048540</v>
      </c>
      <c r="AD932" s="33" t="str">
        <f t="shared" si="44"/>
        <v/>
      </c>
      <c r="AE932" s="33" t="str" cm="1">
        <f t="array" ref="AE932">LOOKUP(2,1/($AB$2:$AB$1000=AB932),$AD$2:$AD$1000)</f>
        <v/>
      </c>
      <c r="AO932" s="33" t="str" cm="1">
        <f t="array" ref="AO932">IFERROR(INDEX($AA$2:$AA$282,MATCH(0,COUNTIF('Paste Here'!$AK$1:AK931,$AA$2:$AA$282),0)),"")</f>
        <v/>
      </c>
      <c r="AP932" s="33" t="str">
        <f>IF(COUNTIF('Paste Here'!$AK$2:AK932,'Paste Here'!AK932)=1,VALUE('Paste Here'!AK932),"")</f>
        <v/>
      </c>
    </row>
    <row r="933" spans="27:42" x14ac:dyDescent="0.3">
      <c r="AA933" s="33" t="str">
        <f t="shared" si="43"/>
        <v/>
      </c>
      <c r="AC933" s="33">
        <f t="shared" si="42"/>
        <v>1048540</v>
      </c>
      <c r="AD933" s="33" t="str">
        <f t="shared" si="44"/>
        <v/>
      </c>
      <c r="AE933" s="33" t="str" cm="1">
        <f t="array" ref="AE933">LOOKUP(2,1/($AB$2:$AB$1000=AB933),$AD$2:$AD$1000)</f>
        <v/>
      </c>
      <c r="AO933" s="33" t="str" cm="1">
        <f t="array" ref="AO933">IFERROR(INDEX($AA$2:$AA$282,MATCH(0,COUNTIF('Paste Here'!$AK$1:AK932,$AA$2:$AA$282),0)),"")</f>
        <v/>
      </c>
      <c r="AP933" s="33" t="str">
        <f>IF(COUNTIF('Paste Here'!$AK$2:AK933,'Paste Here'!AK933)=1,VALUE('Paste Here'!AK933),"")</f>
        <v/>
      </c>
    </row>
    <row r="934" spans="27:42" x14ac:dyDescent="0.3">
      <c r="AA934" s="33" t="str">
        <f t="shared" si="43"/>
        <v/>
      </c>
      <c r="AC934" s="33">
        <f t="shared" si="42"/>
        <v>1048540</v>
      </c>
      <c r="AD934" s="33" t="str">
        <f t="shared" si="44"/>
        <v/>
      </c>
      <c r="AE934" s="33" t="str" cm="1">
        <f t="array" ref="AE934">LOOKUP(2,1/($AB$2:$AB$1000=AB934),$AD$2:$AD$1000)</f>
        <v/>
      </c>
      <c r="AO934" s="33" t="str" cm="1">
        <f t="array" ref="AO934">IFERROR(INDEX($AA$2:$AA$282,MATCH(0,COUNTIF('Paste Here'!$AK$1:AK933,$AA$2:$AA$282),0)),"")</f>
        <v/>
      </c>
      <c r="AP934" s="33" t="str">
        <f>IF(COUNTIF('Paste Here'!$AK$2:AK934,'Paste Here'!AK934)=1,VALUE('Paste Here'!AK934),"")</f>
        <v/>
      </c>
    </row>
    <row r="935" spans="27:42" x14ac:dyDescent="0.3">
      <c r="AA935" s="33" t="str">
        <f t="shared" si="43"/>
        <v/>
      </c>
      <c r="AC935" s="33">
        <f t="shared" si="42"/>
        <v>1048540</v>
      </c>
      <c r="AD935" s="33" t="str">
        <f t="shared" si="44"/>
        <v/>
      </c>
      <c r="AE935" s="33" t="str" cm="1">
        <f t="array" ref="AE935">LOOKUP(2,1/($AB$2:$AB$1000=AB935),$AD$2:$AD$1000)</f>
        <v/>
      </c>
      <c r="AO935" s="33" t="str" cm="1">
        <f t="array" ref="AO935">IFERROR(INDEX($AA$2:$AA$282,MATCH(0,COUNTIF('Paste Here'!$AK$1:AK934,$AA$2:$AA$282),0)),"")</f>
        <v/>
      </c>
      <c r="AP935" s="33" t="str">
        <f>IF(COUNTIF('Paste Here'!$AK$2:AK935,'Paste Here'!AK935)=1,VALUE('Paste Here'!AK935),"")</f>
        <v/>
      </c>
    </row>
    <row r="936" spans="27:42" x14ac:dyDescent="0.3">
      <c r="AA936" s="33" t="str">
        <f t="shared" si="43"/>
        <v/>
      </c>
      <c r="AC936" s="33">
        <f t="shared" si="42"/>
        <v>1048540</v>
      </c>
      <c r="AD936" s="33" t="str">
        <f t="shared" si="44"/>
        <v/>
      </c>
      <c r="AE936" s="33" t="str" cm="1">
        <f t="array" ref="AE936">LOOKUP(2,1/($AB$2:$AB$1000=AB936),$AD$2:$AD$1000)</f>
        <v/>
      </c>
      <c r="AO936" s="33" t="str" cm="1">
        <f t="array" ref="AO936">IFERROR(INDEX($AA$2:$AA$282,MATCH(0,COUNTIF('Paste Here'!$AK$1:AK935,$AA$2:$AA$282),0)),"")</f>
        <v/>
      </c>
      <c r="AP936" s="33" t="str">
        <f>IF(COUNTIF('Paste Here'!$AK$2:AK936,'Paste Here'!AK936)=1,VALUE('Paste Here'!AK936),"")</f>
        <v/>
      </c>
    </row>
    <row r="937" spans="27:42" x14ac:dyDescent="0.3">
      <c r="AA937" s="33" t="str">
        <f t="shared" si="43"/>
        <v/>
      </c>
      <c r="AC937" s="33">
        <f t="shared" si="42"/>
        <v>1048540</v>
      </c>
      <c r="AD937" s="33" t="str">
        <f t="shared" si="44"/>
        <v/>
      </c>
      <c r="AE937" s="33" t="str" cm="1">
        <f t="array" ref="AE937">LOOKUP(2,1/($AB$2:$AB$1000=AB937),$AD$2:$AD$1000)</f>
        <v/>
      </c>
      <c r="AO937" s="33" t="str" cm="1">
        <f t="array" ref="AO937">IFERROR(INDEX($AA$2:$AA$282,MATCH(0,COUNTIF('Paste Here'!$AK$1:AK936,$AA$2:$AA$282),0)),"")</f>
        <v/>
      </c>
      <c r="AP937" s="33" t="str">
        <f>IF(COUNTIF('Paste Here'!$AK$2:AK937,'Paste Here'!AK937)=1,VALUE('Paste Here'!AK937),"")</f>
        <v/>
      </c>
    </row>
    <row r="938" spans="27:42" x14ac:dyDescent="0.3">
      <c r="AA938" s="33" t="str">
        <f t="shared" si="43"/>
        <v/>
      </c>
      <c r="AC938" s="33">
        <f t="shared" si="42"/>
        <v>1048540</v>
      </c>
      <c r="AD938" s="33" t="str">
        <f t="shared" si="44"/>
        <v/>
      </c>
      <c r="AE938" s="33" t="str" cm="1">
        <f t="array" ref="AE938">LOOKUP(2,1/($AB$2:$AB$1000=AB938),$AD$2:$AD$1000)</f>
        <v/>
      </c>
      <c r="AO938" s="33" t="str" cm="1">
        <f t="array" ref="AO938">IFERROR(INDEX($AA$2:$AA$282,MATCH(0,COUNTIF('Paste Here'!$AK$1:AK937,$AA$2:$AA$282),0)),"")</f>
        <v/>
      </c>
      <c r="AP938" s="33" t="str">
        <f>IF(COUNTIF('Paste Here'!$AK$2:AK938,'Paste Here'!AK938)=1,VALUE('Paste Here'!AK938),"")</f>
        <v/>
      </c>
    </row>
    <row r="939" spans="27:42" x14ac:dyDescent="0.3">
      <c r="AA939" s="33" t="str">
        <f t="shared" si="43"/>
        <v/>
      </c>
      <c r="AC939" s="33">
        <f t="shared" si="42"/>
        <v>1048540</v>
      </c>
      <c r="AD939" s="33" t="str">
        <f t="shared" si="44"/>
        <v/>
      </c>
      <c r="AE939" s="33" t="str" cm="1">
        <f t="array" ref="AE939">LOOKUP(2,1/($AB$2:$AB$1000=AB939),$AD$2:$AD$1000)</f>
        <v/>
      </c>
      <c r="AO939" s="33" t="str" cm="1">
        <f t="array" ref="AO939">IFERROR(INDEX($AA$2:$AA$282,MATCH(0,COUNTIF('Paste Here'!$AK$1:AK938,$AA$2:$AA$282),0)),"")</f>
        <v/>
      </c>
      <c r="AP939" s="33" t="str">
        <f>IF(COUNTIF('Paste Here'!$AK$2:AK939,'Paste Here'!AK939)=1,VALUE('Paste Here'!AK939),"")</f>
        <v/>
      </c>
    </row>
    <row r="940" spans="27:42" x14ac:dyDescent="0.3">
      <c r="AA940" s="33" t="str">
        <f t="shared" si="43"/>
        <v/>
      </c>
      <c r="AC940" s="33">
        <f t="shared" si="42"/>
        <v>1048540</v>
      </c>
      <c r="AD940" s="33" t="str">
        <f t="shared" si="44"/>
        <v/>
      </c>
      <c r="AE940" s="33" t="str" cm="1">
        <f t="array" ref="AE940">LOOKUP(2,1/($AB$2:$AB$1000=AB940),$AD$2:$AD$1000)</f>
        <v/>
      </c>
      <c r="AO940" s="33" t="str" cm="1">
        <f t="array" ref="AO940">IFERROR(INDEX($AA$2:$AA$282,MATCH(0,COUNTIF('Paste Here'!$AK$1:AK939,$AA$2:$AA$282),0)),"")</f>
        <v/>
      </c>
      <c r="AP940" s="33" t="str">
        <f>IF(COUNTIF('Paste Here'!$AK$2:AK940,'Paste Here'!AK940)=1,VALUE('Paste Here'!AK940),"")</f>
        <v/>
      </c>
    </row>
    <row r="941" spans="27:42" x14ac:dyDescent="0.3">
      <c r="AA941" s="33" t="str">
        <f t="shared" si="43"/>
        <v/>
      </c>
      <c r="AC941" s="33">
        <f t="shared" si="42"/>
        <v>1048540</v>
      </c>
      <c r="AD941" s="33" t="str">
        <f t="shared" si="44"/>
        <v/>
      </c>
      <c r="AE941" s="33" t="str" cm="1">
        <f t="array" ref="AE941">LOOKUP(2,1/($AB$2:$AB$1000=AB941),$AD$2:$AD$1000)</f>
        <v/>
      </c>
      <c r="AO941" s="33" t="str" cm="1">
        <f t="array" ref="AO941">IFERROR(INDEX($AA$2:$AA$282,MATCH(0,COUNTIF('Paste Here'!$AK$1:AK940,$AA$2:$AA$282),0)),"")</f>
        <v/>
      </c>
      <c r="AP941" s="33" t="str">
        <f>IF(COUNTIF('Paste Here'!$AK$2:AK941,'Paste Here'!AK941)=1,VALUE('Paste Here'!AK941),"")</f>
        <v/>
      </c>
    </row>
    <row r="942" spans="27:42" x14ac:dyDescent="0.3">
      <c r="AA942" s="33" t="str">
        <f t="shared" si="43"/>
        <v/>
      </c>
      <c r="AC942" s="33">
        <f t="shared" si="42"/>
        <v>1048540</v>
      </c>
      <c r="AD942" s="33" t="str">
        <f t="shared" si="44"/>
        <v/>
      </c>
      <c r="AE942" s="33" t="str" cm="1">
        <f t="array" ref="AE942">LOOKUP(2,1/($AB$2:$AB$1000=AB942),$AD$2:$AD$1000)</f>
        <v/>
      </c>
      <c r="AO942" s="33" t="str" cm="1">
        <f t="array" ref="AO942">IFERROR(INDEX($AA$2:$AA$282,MATCH(0,COUNTIF('Paste Here'!$AK$1:AK941,$AA$2:$AA$282),0)),"")</f>
        <v/>
      </c>
      <c r="AP942" s="33" t="str">
        <f>IF(COUNTIF('Paste Here'!$AK$2:AK942,'Paste Here'!AK942)=1,VALUE('Paste Here'!AK942),"")</f>
        <v/>
      </c>
    </row>
    <row r="943" spans="27:42" x14ac:dyDescent="0.3">
      <c r="AA943" s="33" t="str">
        <f t="shared" si="43"/>
        <v/>
      </c>
      <c r="AC943" s="33">
        <f t="shared" si="42"/>
        <v>1048540</v>
      </c>
      <c r="AD943" s="33" t="str">
        <f t="shared" si="44"/>
        <v/>
      </c>
      <c r="AE943" s="33" t="str" cm="1">
        <f t="array" ref="AE943">LOOKUP(2,1/($AB$2:$AB$1000=AB943),$AD$2:$AD$1000)</f>
        <v/>
      </c>
      <c r="AO943" s="33" t="str" cm="1">
        <f t="array" ref="AO943">IFERROR(INDEX($AA$2:$AA$282,MATCH(0,COUNTIF('Paste Here'!$AK$1:AK942,$AA$2:$AA$282),0)),"")</f>
        <v/>
      </c>
      <c r="AP943" s="33" t="str">
        <f>IF(COUNTIF('Paste Here'!$AK$2:AK943,'Paste Here'!AK943)=1,VALUE('Paste Here'!AK943),"")</f>
        <v/>
      </c>
    </row>
    <row r="944" spans="27:42" x14ac:dyDescent="0.3">
      <c r="AA944" s="33" t="str">
        <f t="shared" si="43"/>
        <v/>
      </c>
      <c r="AC944" s="33">
        <f t="shared" si="42"/>
        <v>1048540</v>
      </c>
      <c r="AD944" s="33" t="str">
        <f t="shared" si="44"/>
        <v/>
      </c>
      <c r="AE944" s="33" t="str" cm="1">
        <f t="array" ref="AE944">LOOKUP(2,1/($AB$2:$AB$1000=AB944),$AD$2:$AD$1000)</f>
        <v/>
      </c>
      <c r="AO944" s="33" t="str" cm="1">
        <f t="array" ref="AO944">IFERROR(INDEX($AA$2:$AA$282,MATCH(0,COUNTIF('Paste Here'!$AK$1:AK943,$AA$2:$AA$282),0)),"")</f>
        <v/>
      </c>
      <c r="AP944" s="33" t="str">
        <f>IF(COUNTIF('Paste Here'!$AK$2:AK944,'Paste Here'!AK944)=1,VALUE('Paste Here'!AK944),"")</f>
        <v/>
      </c>
    </row>
    <row r="945" spans="27:42" x14ac:dyDescent="0.3">
      <c r="AA945" s="33" t="str">
        <f t="shared" si="43"/>
        <v/>
      </c>
      <c r="AC945" s="33">
        <f t="shared" si="42"/>
        <v>1048540</v>
      </c>
      <c r="AD945" s="33" t="str">
        <f t="shared" si="44"/>
        <v/>
      </c>
      <c r="AE945" s="33" t="str" cm="1">
        <f t="array" ref="AE945">LOOKUP(2,1/($AB$2:$AB$1000=AB945),$AD$2:$AD$1000)</f>
        <v/>
      </c>
      <c r="AO945" s="33" t="str" cm="1">
        <f t="array" ref="AO945">IFERROR(INDEX($AA$2:$AA$282,MATCH(0,COUNTIF('Paste Here'!$AK$1:AK944,$AA$2:$AA$282),0)),"")</f>
        <v/>
      </c>
      <c r="AP945" s="33" t="str">
        <f>IF(COUNTIF('Paste Here'!$AK$2:AK945,'Paste Here'!AK945)=1,VALUE('Paste Here'!AK945),"")</f>
        <v/>
      </c>
    </row>
    <row r="946" spans="27:42" x14ac:dyDescent="0.3">
      <c r="AA946" s="33" t="str">
        <f t="shared" si="43"/>
        <v/>
      </c>
      <c r="AC946" s="33">
        <f t="shared" si="42"/>
        <v>1048540</v>
      </c>
      <c r="AD946" s="33" t="str">
        <f t="shared" si="44"/>
        <v/>
      </c>
      <c r="AE946" s="33" t="str" cm="1">
        <f t="array" ref="AE946">LOOKUP(2,1/($AB$2:$AB$1000=AB946),$AD$2:$AD$1000)</f>
        <v/>
      </c>
      <c r="AO946" s="33" t="str" cm="1">
        <f t="array" ref="AO946">IFERROR(INDEX($AA$2:$AA$282,MATCH(0,COUNTIF('Paste Here'!$AK$1:AK945,$AA$2:$AA$282),0)),"")</f>
        <v/>
      </c>
      <c r="AP946" s="33" t="str">
        <f>IF(COUNTIF('Paste Here'!$AK$2:AK946,'Paste Here'!AK946)=1,VALUE('Paste Here'!AK946),"")</f>
        <v/>
      </c>
    </row>
    <row r="947" spans="27:42" x14ac:dyDescent="0.3">
      <c r="AA947" s="33" t="str">
        <f t="shared" si="43"/>
        <v/>
      </c>
      <c r="AC947" s="33">
        <f t="shared" si="42"/>
        <v>1048540</v>
      </c>
      <c r="AD947" s="33" t="str">
        <f t="shared" si="44"/>
        <v/>
      </c>
      <c r="AE947" s="33" t="str" cm="1">
        <f t="array" ref="AE947">LOOKUP(2,1/($AB$2:$AB$1000=AB947),$AD$2:$AD$1000)</f>
        <v/>
      </c>
      <c r="AO947" s="33" t="str" cm="1">
        <f t="array" ref="AO947">IFERROR(INDEX($AA$2:$AA$282,MATCH(0,COUNTIF('Paste Here'!$AK$1:AK946,$AA$2:$AA$282),0)),"")</f>
        <v/>
      </c>
      <c r="AP947" s="33" t="str">
        <f>IF(COUNTIF('Paste Here'!$AK$2:AK947,'Paste Here'!AK947)=1,VALUE('Paste Here'!AK947),"")</f>
        <v/>
      </c>
    </row>
    <row r="948" spans="27:42" x14ac:dyDescent="0.3">
      <c r="AA948" s="33" t="str">
        <f t="shared" si="43"/>
        <v/>
      </c>
      <c r="AC948" s="33">
        <f t="shared" si="42"/>
        <v>1048540</v>
      </c>
      <c r="AD948" s="33" t="str">
        <f t="shared" si="44"/>
        <v/>
      </c>
      <c r="AE948" s="33" t="str" cm="1">
        <f t="array" ref="AE948">LOOKUP(2,1/($AB$2:$AB$1000=AB948),$AD$2:$AD$1000)</f>
        <v/>
      </c>
      <c r="AO948" s="33" t="str" cm="1">
        <f t="array" ref="AO948">IFERROR(INDEX($AA$2:$AA$282,MATCH(0,COUNTIF('Paste Here'!$AK$1:AK947,$AA$2:$AA$282),0)),"")</f>
        <v/>
      </c>
      <c r="AP948" s="33" t="str">
        <f>IF(COUNTIF('Paste Here'!$AK$2:AK948,'Paste Here'!AK948)=1,VALUE('Paste Here'!AK948),"")</f>
        <v/>
      </c>
    </row>
    <row r="949" spans="27:42" x14ac:dyDescent="0.3">
      <c r="AA949" s="33" t="str">
        <f t="shared" si="43"/>
        <v/>
      </c>
      <c r="AC949" s="33">
        <f t="shared" si="42"/>
        <v>1048540</v>
      </c>
      <c r="AD949" s="33" t="str">
        <f t="shared" si="44"/>
        <v/>
      </c>
      <c r="AE949" s="33" t="str" cm="1">
        <f t="array" ref="AE949">LOOKUP(2,1/($AB$2:$AB$1000=AB949),$AD$2:$AD$1000)</f>
        <v/>
      </c>
      <c r="AO949" s="33" t="str" cm="1">
        <f t="array" ref="AO949">IFERROR(INDEX($AA$2:$AA$282,MATCH(0,COUNTIF('Paste Here'!$AK$1:AK948,$AA$2:$AA$282),0)),"")</f>
        <v/>
      </c>
      <c r="AP949" s="33" t="str">
        <f>IF(COUNTIF('Paste Here'!$AK$2:AK949,'Paste Here'!AK949)=1,VALUE('Paste Here'!AK949),"")</f>
        <v/>
      </c>
    </row>
    <row r="950" spans="27:42" x14ac:dyDescent="0.3">
      <c r="AA950" s="33" t="str">
        <f t="shared" si="43"/>
        <v/>
      </c>
      <c r="AC950" s="33">
        <f t="shared" si="42"/>
        <v>1048540</v>
      </c>
      <c r="AD950" s="33" t="str">
        <f t="shared" si="44"/>
        <v/>
      </c>
      <c r="AE950" s="33" t="str" cm="1">
        <f t="array" ref="AE950">LOOKUP(2,1/($AB$2:$AB$1000=AB950),$AD$2:$AD$1000)</f>
        <v/>
      </c>
      <c r="AO950" s="33" t="str" cm="1">
        <f t="array" ref="AO950">IFERROR(INDEX($AA$2:$AA$282,MATCH(0,COUNTIF('Paste Here'!$AK$1:AK949,$AA$2:$AA$282),0)),"")</f>
        <v/>
      </c>
      <c r="AP950" s="33" t="str">
        <f>IF(COUNTIF('Paste Here'!$AK$2:AK950,'Paste Here'!AK950)=1,VALUE('Paste Here'!AK950),"")</f>
        <v/>
      </c>
    </row>
    <row r="951" spans="27:42" x14ac:dyDescent="0.3">
      <c r="AA951" s="33" t="str">
        <f t="shared" si="43"/>
        <v/>
      </c>
      <c r="AC951" s="33">
        <f t="shared" si="42"/>
        <v>1048540</v>
      </c>
      <c r="AD951" s="33" t="str">
        <f t="shared" si="44"/>
        <v/>
      </c>
      <c r="AE951" s="33" t="str" cm="1">
        <f t="array" ref="AE951">LOOKUP(2,1/($AB$2:$AB$1000=AB951),$AD$2:$AD$1000)</f>
        <v/>
      </c>
      <c r="AO951" s="33" t="str" cm="1">
        <f t="array" ref="AO951">IFERROR(INDEX($AA$2:$AA$282,MATCH(0,COUNTIF('Paste Here'!$AK$1:AK950,$AA$2:$AA$282),0)),"")</f>
        <v/>
      </c>
      <c r="AP951" s="33" t="str">
        <f>IF(COUNTIF('Paste Here'!$AK$2:AK951,'Paste Here'!AK951)=1,VALUE('Paste Here'!AK951),"")</f>
        <v/>
      </c>
    </row>
    <row r="952" spans="27:42" x14ac:dyDescent="0.3">
      <c r="AA952" s="33" t="str">
        <f t="shared" si="43"/>
        <v/>
      </c>
      <c r="AC952" s="33">
        <f t="shared" si="42"/>
        <v>1048540</v>
      </c>
      <c r="AD952" s="33" t="str">
        <f t="shared" si="44"/>
        <v/>
      </c>
      <c r="AE952" s="33" t="str" cm="1">
        <f t="array" ref="AE952">LOOKUP(2,1/($AB$2:$AB$1000=AB952),$AD$2:$AD$1000)</f>
        <v/>
      </c>
      <c r="AO952" s="33" t="str" cm="1">
        <f t="array" ref="AO952">IFERROR(INDEX($AA$2:$AA$282,MATCH(0,COUNTIF('Paste Here'!$AK$1:AK951,$AA$2:$AA$282),0)),"")</f>
        <v/>
      </c>
      <c r="AP952" s="33" t="str">
        <f>IF(COUNTIF('Paste Here'!$AK$2:AK952,'Paste Here'!AK952)=1,VALUE('Paste Here'!AK952),"")</f>
        <v/>
      </c>
    </row>
    <row r="953" spans="27:42" x14ac:dyDescent="0.3">
      <c r="AA953" s="33" t="str">
        <f t="shared" si="43"/>
        <v/>
      </c>
      <c r="AC953" s="33">
        <f t="shared" si="42"/>
        <v>1048540</v>
      </c>
      <c r="AD953" s="33" t="str">
        <f t="shared" si="44"/>
        <v/>
      </c>
      <c r="AE953" s="33" t="str" cm="1">
        <f t="array" ref="AE953">LOOKUP(2,1/($AB$2:$AB$1000=AB953),$AD$2:$AD$1000)</f>
        <v/>
      </c>
      <c r="AO953" s="33" t="str" cm="1">
        <f t="array" ref="AO953">IFERROR(INDEX($AA$2:$AA$282,MATCH(0,COUNTIF('Paste Here'!$AK$1:AK952,$AA$2:$AA$282),0)),"")</f>
        <v/>
      </c>
      <c r="AP953" s="33" t="str">
        <f>IF(COUNTIF('Paste Here'!$AK$2:AK953,'Paste Here'!AK953)=1,VALUE('Paste Here'!AK953),"")</f>
        <v/>
      </c>
    </row>
    <row r="954" spans="27:42" x14ac:dyDescent="0.3">
      <c r="AA954" s="33" t="str">
        <f t="shared" si="43"/>
        <v/>
      </c>
      <c r="AC954" s="33">
        <f t="shared" si="42"/>
        <v>1048540</v>
      </c>
      <c r="AD954" s="33" t="str">
        <f t="shared" si="44"/>
        <v/>
      </c>
      <c r="AE954" s="33" t="str" cm="1">
        <f t="array" ref="AE954">LOOKUP(2,1/($AB$2:$AB$1000=AB954),$AD$2:$AD$1000)</f>
        <v/>
      </c>
      <c r="AO954" s="33" t="str" cm="1">
        <f t="array" ref="AO954">IFERROR(INDEX($AA$2:$AA$282,MATCH(0,COUNTIF('Paste Here'!$AK$1:AK953,$AA$2:$AA$282),0)),"")</f>
        <v/>
      </c>
      <c r="AP954" s="33" t="str">
        <f>IF(COUNTIF('Paste Here'!$AK$2:AK954,'Paste Here'!AK954)=1,VALUE('Paste Here'!AK954),"")</f>
        <v/>
      </c>
    </row>
    <row r="955" spans="27:42" x14ac:dyDescent="0.3">
      <c r="AA955" s="33" t="str">
        <f t="shared" si="43"/>
        <v/>
      </c>
      <c r="AC955" s="33">
        <f t="shared" si="42"/>
        <v>1048540</v>
      </c>
      <c r="AD955" s="33" t="str">
        <f t="shared" si="44"/>
        <v/>
      </c>
      <c r="AE955" s="33" t="str" cm="1">
        <f t="array" ref="AE955">LOOKUP(2,1/($AB$2:$AB$1000=AB955),$AD$2:$AD$1000)</f>
        <v/>
      </c>
      <c r="AO955" s="33" t="str" cm="1">
        <f t="array" ref="AO955">IFERROR(INDEX($AA$2:$AA$282,MATCH(0,COUNTIF('Paste Here'!$AK$1:AK954,$AA$2:$AA$282),0)),"")</f>
        <v/>
      </c>
      <c r="AP955" s="33" t="str">
        <f>IF(COUNTIF('Paste Here'!$AK$2:AK955,'Paste Here'!AK955)=1,VALUE('Paste Here'!AK955),"")</f>
        <v/>
      </c>
    </row>
    <row r="956" spans="27:42" x14ac:dyDescent="0.3">
      <c r="AA956" s="33" t="str">
        <f t="shared" si="43"/>
        <v/>
      </c>
      <c r="AC956" s="33">
        <f t="shared" si="42"/>
        <v>1048540</v>
      </c>
      <c r="AD956" s="33" t="str">
        <f t="shared" si="44"/>
        <v/>
      </c>
      <c r="AE956" s="33" t="str" cm="1">
        <f t="array" ref="AE956">LOOKUP(2,1/($AB$2:$AB$1000=AB956),$AD$2:$AD$1000)</f>
        <v/>
      </c>
      <c r="AO956" s="33" t="str" cm="1">
        <f t="array" ref="AO956">IFERROR(INDEX($AA$2:$AA$282,MATCH(0,COUNTIF('Paste Here'!$AK$1:AK955,$AA$2:$AA$282),0)),"")</f>
        <v/>
      </c>
      <c r="AP956" s="33" t="str">
        <f>IF(COUNTIF('Paste Here'!$AK$2:AK956,'Paste Here'!AK956)=1,VALUE('Paste Here'!AK956),"")</f>
        <v/>
      </c>
    </row>
    <row r="957" spans="27:42" x14ac:dyDescent="0.3">
      <c r="AA957" s="33" t="str">
        <f t="shared" si="43"/>
        <v/>
      </c>
      <c r="AC957" s="33">
        <f t="shared" si="42"/>
        <v>1048540</v>
      </c>
      <c r="AD957" s="33" t="str">
        <f t="shared" si="44"/>
        <v/>
      </c>
      <c r="AE957" s="33" t="str" cm="1">
        <f t="array" ref="AE957">LOOKUP(2,1/($AB$2:$AB$1000=AB957),$AD$2:$AD$1000)</f>
        <v/>
      </c>
      <c r="AO957" s="33" t="str" cm="1">
        <f t="array" ref="AO957">IFERROR(INDEX($AA$2:$AA$282,MATCH(0,COUNTIF('Paste Here'!$AK$1:AK956,$AA$2:$AA$282),0)),"")</f>
        <v/>
      </c>
      <c r="AP957" s="33" t="str">
        <f>IF(COUNTIF('Paste Here'!$AK$2:AK957,'Paste Here'!AK957)=1,VALUE('Paste Here'!AK957),"")</f>
        <v/>
      </c>
    </row>
    <row r="958" spans="27:42" x14ac:dyDescent="0.3">
      <c r="AA958" s="33" t="str">
        <f t="shared" si="43"/>
        <v/>
      </c>
      <c r="AC958" s="33">
        <f t="shared" si="42"/>
        <v>1048540</v>
      </c>
      <c r="AD958" s="33" t="str">
        <f t="shared" si="44"/>
        <v/>
      </c>
      <c r="AE958" s="33" t="str" cm="1">
        <f t="array" ref="AE958">LOOKUP(2,1/($AB$2:$AB$1000=AB958),$AD$2:$AD$1000)</f>
        <v/>
      </c>
      <c r="AO958" s="33" t="str" cm="1">
        <f t="array" ref="AO958">IFERROR(INDEX($AA$2:$AA$282,MATCH(0,COUNTIF('Paste Here'!$AK$1:AK957,$AA$2:$AA$282),0)),"")</f>
        <v/>
      </c>
      <c r="AP958" s="33" t="str">
        <f>IF(COUNTIF('Paste Here'!$AK$2:AK958,'Paste Here'!AK958)=1,VALUE('Paste Here'!AK958),"")</f>
        <v/>
      </c>
    </row>
    <row r="959" spans="27:42" x14ac:dyDescent="0.3">
      <c r="AA959" s="33" t="str">
        <f t="shared" si="43"/>
        <v/>
      </c>
      <c r="AC959" s="33">
        <f t="shared" si="42"/>
        <v>1048540</v>
      </c>
      <c r="AD959" s="33" t="str">
        <f t="shared" si="44"/>
        <v/>
      </c>
      <c r="AE959" s="33" t="str" cm="1">
        <f t="array" ref="AE959">LOOKUP(2,1/($AB$2:$AB$1000=AB959),$AD$2:$AD$1000)</f>
        <v/>
      </c>
      <c r="AO959" s="33" t="str" cm="1">
        <f t="array" ref="AO959">IFERROR(INDEX($AA$2:$AA$282,MATCH(0,COUNTIF('Paste Here'!$AK$1:AK958,$AA$2:$AA$282),0)),"")</f>
        <v/>
      </c>
      <c r="AP959" s="33" t="str">
        <f>IF(COUNTIF('Paste Here'!$AK$2:AK959,'Paste Here'!AK959)=1,VALUE('Paste Here'!AK959),"")</f>
        <v/>
      </c>
    </row>
    <row r="960" spans="27:42" x14ac:dyDescent="0.3">
      <c r="AA960" s="33" t="str">
        <f t="shared" si="43"/>
        <v/>
      </c>
      <c r="AC960" s="33">
        <f t="shared" si="42"/>
        <v>1048540</v>
      </c>
      <c r="AD960" s="33" t="str">
        <f t="shared" si="44"/>
        <v/>
      </c>
      <c r="AE960" s="33" t="str" cm="1">
        <f t="array" ref="AE960">LOOKUP(2,1/($AB$2:$AB$1000=AB960),$AD$2:$AD$1000)</f>
        <v/>
      </c>
      <c r="AO960" s="33" t="str" cm="1">
        <f t="array" ref="AO960">IFERROR(INDEX($AA$2:$AA$282,MATCH(0,COUNTIF('Paste Here'!$AK$1:AK959,$AA$2:$AA$282),0)),"")</f>
        <v/>
      </c>
      <c r="AP960" s="33" t="str">
        <f>IF(COUNTIF('Paste Here'!$AK$2:AK960,'Paste Here'!AK960)=1,VALUE('Paste Here'!AK960),"")</f>
        <v/>
      </c>
    </row>
    <row r="961" spans="27:42" x14ac:dyDescent="0.3">
      <c r="AA961" s="33" t="str">
        <f t="shared" si="43"/>
        <v/>
      </c>
      <c r="AC961" s="33">
        <f t="shared" si="42"/>
        <v>1048540</v>
      </c>
      <c r="AD961" s="33" t="str">
        <f t="shared" si="44"/>
        <v/>
      </c>
      <c r="AE961" s="33" t="str" cm="1">
        <f t="array" ref="AE961">LOOKUP(2,1/($AB$2:$AB$1000=AB961),$AD$2:$AD$1000)</f>
        <v/>
      </c>
      <c r="AO961" s="33" t="str" cm="1">
        <f t="array" ref="AO961">IFERROR(INDEX($AA$2:$AA$282,MATCH(0,COUNTIF('Paste Here'!$AK$1:AK960,$AA$2:$AA$282),0)),"")</f>
        <v/>
      </c>
      <c r="AP961" s="33" t="str">
        <f>IF(COUNTIF('Paste Here'!$AK$2:AK961,'Paste Here'!AK961)=1,VALUE('Paste Here'!AK961),"")</f>
        <v/>
      </c>
    </row>
    <row r="962" spans="27:42" x14ac:dyDescent="0.3">
      <c r="AA962" s="33" t="str">
        <f t="shared" si="43"/>
        <v/>
      </c>
      <c r="AC962" s="33">
        <f t="shared" ref="AC962:AC1025" si="45">COUNTIF($AA:$AA,AA962)</f>
        <v>1048540</v>
      </c>
      <c r="AD962" s="33" t="str">
        <f t="shared" si="44"/>
        <v/>
      </c>
      <c r="AE962" s="33" t="str" cm="1">
        <f t="array" ref="AE962">LOOKUP(2,1/($AB$2:$AB$1000=AB962),$AD$2:$AD$1000)</f>
        <v/>
      </c>
      <c r="AO962" s="33" t="str" cm="1">
        <f t="array" ref="AO962">IFERROR(INDEX($AA$2:$AA$282,MATCH(0,COUNTIF('Paste Here'!$AK$1:AK961,$AA$2:$AA$282),0)),"")</f>
        <v/>
      </c>
      <c r="AP962" s="33" t="str">
        <f>IF(COUNTIF('Paste Here'!$AK$2:AK962,'Paste Here'!AK962)=1,VALUE('Paste Here'!AK962),"")</f>
        <v/>
      </c>
    </row>
    <row r="963" spans="27:42" x14ac:dyDescent="0.3">
      <c r="AA963" s="33" t="str">
        <f t="shared" ref="AA963:AA1026" si="46">IFERROR(MID(G963,FIND("LR-",G963)+3,FIND("-",G963,FIND("LR-",G963)+3)-FIND("LR-",G963)-3),"")</f>
        <v/>
      </c>
      <c r="AC963" s="33">
        <f t="shared" si="45"/>
        <v>1048540</v>
      </c>
      <c r="AD963" s="33" t="str">
        <f t="shared" ref="AD963:AD1026" si="47">IF(F963=0,"",F963)</f>
        <v/>
      </c>
      <c r="AE963" s="33" t="str" cm="1">
        <f t="array" ref="AE963">LOOKUP(2,1/($AB$2:$AB$1000=AB963),$AD$2:$AD$1000)</f>
        <v/>
      </c>
      <c r="AO963" s="33" t="str" cm="1">
        <f t="array" ref="AO963">IFERROR(INDEX($AA$2:$AA$282,MATCH(0,COUNTIF('Paste Here'!$AK$1:AK962,$AA$2:$AA$282),0)),"")</f>
        <v/>
      </c>
      <c r="AP963" s="33" t="str">
        <f>IF(COUNTIF('Paste Here'!$AK$2:AK963,'Paste Here'!AK963)=1,VALUE('Paste Here'!AK963),"")</f>
        <v/>
      </c>
    </row>
    <row r="964" spans="27:42" x14ac:dyDescent="0.3">
      <c r="AA964" s="33" t="str">
        <f t="shared" si="46"/>
        <v/>
      </c>
      <c r="AC964" s="33">
        <f t="shared" si="45"/>
        <v>1048540</v>
      </c>
      <c r="AD964" s="33" t="str">
        <f t="shared" si="47"/>
        <v/>
      </c>
      <c r="AE964" s="33" t="str" cm="1">
        <f t="array" ref="AE964">LOOKUP(2,1/($AB$2:$AB$1000=AB964),$AD$2:$AD$1000)</f>
        <v/>
      </c>
      <c r="AO964" s="33" t="str" cm="1">
        <f t="array" ref="AO964">IFERROR(INDEX($AA$2:$AA$282,MATCH(0,COUNTIF('Paste Here'!$AK$1:AK963,$AA$2:$AA$282),0)),"")</f>
        <v/>
      </c>
      <c r="AP964" s="33" t="str">
        <f>IF(COUNTIF('Paste Here'!$AK$2:AK964,'Paste Here'!AK964)=1,VALUE('Paste Here'!AK964),"")</f>
        <v/>
      </c>
    </row>
    <row r="965" spans="27:42" x14ac:dyDescent="0.3">
      <c r="AA965" s="33" t="str">
        <f t="shared" si="46"/>
        <v/>
      </c>
      <c r="AC965" s="33">
        <f t="shared" si="45"/>
        <v>1048540</v>
      </c>
      <c r="AD965" s="33" t="str">
        <f t="shared" si="47"/>
        <v/>
      </c>
      <c r="AE965" s="33" t="str" cm="1">
        <f t="array" ref="AE965">LOOKUP(2,1/($AB$2:$AB$1000=AB965),$AD$2:$AD$1000)</f>
        <v/>
      </c>
      <c r="AO965" s="33" t="str" cm="1">
        <f t="array" ref="AO965">IFERROR(INDEX($AA$2:$AA$282,MATCH(0,COUNTIF('Paste Here'!$AK$1:AK964,$AA$2:$AA$282),0)),"")</f>
        <v/>
      </c>
      <c r="AP965" s="33" t="str">
        <f>IF(COUNTIF('Paste Here'!$AK$2:AK965,'Paste Here'!AK965)=1,VALUE('Paste Here'!AK965),"")</f>
        <v/>
      </c>
    </row>
    <row r="966" spans="27:42" x14ac:dyDescent="0.3">
      <c r="AA966" s="33" t="str">
        <f t="shared" si="46"/>
        <v/>
      </c>
      <c r="AC966" s="33">
        <f t="shared" si="45"/>
        <v>1048540</v>
      </c>
      <c r="AD966" s="33" t="str">
        <f t="shared" si="47"/>
        <v/>
      </c>
      <c r="AE966" s="33" t="str" cm="1">
        <f t="array" ref="AE966">LOOKUP(2,1/($AB$2:$AB$1000=AB966),$AD$2:$AD$1000)</f>
        <v/>
      </c>
      <c r="AO966" s="33" t="str" cm="1">
        <f t="array" ref="AO966">IFERROR(INDEX($AA$2:$AA$282,MATCH(0,COUNTIF('Paste Here'!$AK$1:AK965,$AA$2:$AA$282),0)),"")</f>
        <v/>
      </c>
      <c r="AP966" s="33" t="str">
        <f>IF(COUNTIF('Paste Here'!$AK$2:AK966,'Paste Here'!AK966)=1,VALUE('Paste Here'!AK966),"")</f>
        <v/>
      </c>
    </row>
    <row r="967" spans="27:42" x14ac:dyDescent="0.3">
      <c r="AA967" s="33" t="str">
        <f t="shared" si="46"/>
        <v/>
      </c>
      <c r="AC967" s="33">
        <f t="shared" si="45"/>
        <v>1048540</v>
      </c>
      <c r="AD967" s="33" t="str">
        <f t="shared" si="47"/>
        <v/>
      </c>
      <c r="AE967" s="33" t="str" cm="1">
        <f t="array" ref="AE967">LOOKUP(2,1/($AB$2:$AB$1000=AB967),$AD$2:$AD$1000)</f>
        <v/>
      </c>
      <c r="AO967" s="33" t="str" cm="1">
        <f t="array" ref="AO967">IFERROR(INDEX($AA$2:$AA$282,MATCH(0,COUNTIF('Paste Here'!$AK$1:AK966,$AA$2:$AA$282),0)),"")</f>
        <v/>
      </c>
      <c r="AP967" s="33" t="str">
        <f>IF(COUNTIF('Paste Here'!$AK$2:AK967,'Paste Here'!AK967)=1,VALUE('Paste Here'!AK967),"")</f>
        <v/>
      </c>
    </row>
    <row r="968" spans="27:42" x14ac:dyDescent="0.3">
      <c r="AA968" s="33" t="str">
        <f t="shared" si="46"/>
        <v/>
      </c>
      <c r="AC968" s="33">
        <f t="shared" si="45"/>
        <v>1048540</v>
      </c>
      <c r="AD968" s="33" t="str">
        <f t="shared" si="47"/>
        <v/>
      </c>
      <c r="AE968" s="33" t="str" cm="1">
        <f t="array" ref="AE968">LOOKUP(2,1/($AB$2:$AB$1000=AB968),$AD$2:$AD$1000)</f>
        <v/>
      </c>
      <c r="AO968" s="33" t="str" cm="1">
        <f t="array" ref="AO968">IFERROR(INDEX($AA$2:$AA$282,MATCH(0,COUNTIF('Paste Here'!$AK$1:AK967,$AA$2:$AA$282),0)),"")</f>
        <v/>
      </c>
      <c r="AP968" s="33" t="str">
        <f>IF(COUNTIF('Paste Here'!$AK$2:AK968,'Paste Here'!AK968)=1,VALUE('Paste Here'!AK968),"")</f>
        <v/>
      </c>
    </row>
    <row r="969" spans="27:42" x14ac:dyDescent="0.3">
      <c r="AA969" s="33" t="str">
        <f t="shared" si="46"/>
        <v/>
      </c>
      <c r="AC969" s="33">
        <f t="shared" si="45"/>
        <v>1048540</v>
      </c>
      <c r="AD969" s="33" t="str">
        <f t="shared" si="47"/>
        <v/>
      </c>
      <c r="AE969" s="33" t="str" cm="1">
        <f t="array" ref="AE969">LOOKUP(2,1/($AB$2:$AB$1000=AB969),$AD$2:$AD$1000)</f>
        <v/>
      </c>
      <c r="AO969" s="33" t="str" cm="1">
        <f t="array" ref="AO969">IFERROR(INDEX($AA$2:$AA$282,MATCH(0,COUNTIF('Paste Here'!$AK$1:AK968,$AA$2:$AA$282),0)),"")</f>
        <v/>
      </c>
      <c r="AP969" s="33" t="str">
        <f>IF(COUNTIF('Paste Here'!$AK$2:AK969,'Paste Here'!AK969)=1,VALUE('Paste Here'!AK969),"")</f>
        <v/>
      </c>
    </row>
    <row r="970" spans="27:42" x14ac:dyDescent="0.3">
      <c r="AA970" s="33" t="str">
        <f t="shared" si="46"/>
        <v/>
      </c>
      <c r="AC970" s="33">
        <f t="shared" si="45"/>
        <v>1048540</v>
      </c>
      <c r="AD970" s="33" t="str">
        <f t="shared" si="47"/>
        <v/>
      </c>
      <c r="AE970" s="33" t="str" cm="1">
        <f t="array" ref="AE970">LOOKUP(2,1/($AB$2:$AB$1000=AB970),$AD$2:$AD$1000)</f>
        <v/>
      </c>
      <c r="AO970" s="33" t="str" cm="1">
        <f t="array" ref="AO970">IFERROR(INDEX($AA$2:$AA$282,MATCH(0,COUNTIF('Paste Here'!$AK$1:AK969,$AA$2:$AA$282),0)),"")</f>
        <v/>
      </c>
      <c r="AP970" s="33" t="str">
        <f>IF(COUNTIF('Paste Here'!$AK$2:AK970,'Paste Here'!AK970)=1,VALUE('Paste Here'!AK970),"")</f>
        <v/>
      </c>
    </row>
    <row r="971" spans="27:42" x14ac:dyDescent="0.3">
      <c r="AA971" s="33" t="str">
        <f t="shared" si="46"/>
        <v/>
      </c>
      <c r="AC971" s="33">
        <f t="shared" si="45"/>
        <v>1048540</v>
      </c>
      <c r="AD971" s="33" t="str">
        <f t="shared" si="47"/>
        <v/>
      </c>
      <c r="AE971" s="33" t="str" cm="1">
        <f t="array" ref="AE971">LOOKUP(2,1/($AB$2:$AB$1000=AB971),$AD$2:$AD$1000)</f>
        <v/>
      </c>
      <c r="AO971" s="33" t="str" cm="1">
        <f t="array" ref="AO971">IFERROR(INDEX($AA$2:$AA$282,MATCH(0,COUNTIF('Paste Here'!$AK$1:AK970,$AA$2:$AA$282),0)),"")</f>
        <v/>
      </c>
      <c r="AP971" s="33" t="str">
        <f>IF(COUNTIF('Paste Here'!$AK$2:AK971,'Paste Here'!AK971)=1,VALUE('Paste Here'!AK971),"")</f>
        <v/>
      </c>
    </row>
    <row r="972" spans="27:42" x14ac:dyDescent="0.3">
      <c r="AA972" s="33" t="str">
        <f t="shared" si="46"/>
        <v/>
      </c>
      <c r="AC972" s="33">
        <f t="shared" si="45"/>
        <v>1048540</v>
      </c>
      <c r="AD972" s="33" t="str">
        <f t="shared" si="47"/>
        <v/>
      </c>
      <c r="AE972" s="33" t="str" cm="1">
        <f t="array" ref="AE972">LOOKUP(2,1/($AB$2:$AB$1000=AB972),$AD$2:$AD$1000)</f>
        <v/>
      </c>
      <c r="AO972" s="33" t="str" cm="1">
        <f t="array" ref="AO972">IFERROR(INDEX($AA$2:$AA$282,MATCH(0,COUNTIF('Paste Here'!$AK$1:AK971,$AA$2:$AA$282),0)),"")</f>
        <v/>
      </c>
      <c r="AP972" s="33" t="str">
        <f>IF(COUNTIF('Paste Here'!$AK$2:AK972,'Paste Here'!AK972)=1,VALUE('Paste Here'!AK972),"")</f>
        <v/>
      </c>
    </row>
    <row r="973" spans="27:42" x14ac:dyDescent="0.3">
      <c r="AA973" s="33" t="str">
        <f t="shared" si="46"/>
        <v/>
      </c>
      <c r="AC973" s="33">
        <f t="shared" si="45"/>
        <v>1048540</v>
      </c>
      <c r="AD973" s="33" t="str">
        <f t="shared" si="47"/>
        <v/>
      </c>
      <c r="AE973" s="33" t="str" cm="1">
        <f t="array" ref="AE973">LOOKUP(2,1/($AB$2:$AB$1000=AB973),$AD$2:$AD$1000)</f>
        <v/>
      </c>
      <c r="AO973" s="33" t="str" cm="1">
        <f t="array" ref="AO973">IFERROR(INDEX($AA$2:$AA$282,MATCH(0,COUNTIF('Paste Here'!$AK$1:AK972,$AA$2:$AA$282),0)),"")</f>
        <v/>
      </c>
      <c r="AP973" s="33" t="str">
        <f>IF(COUNTIF('Paste Here'!$AK$2:AK973,'Paste Here'!AK973)=1,VALUE('Paste Here'!AK973),"")</f>
        <v/>
      </c>
    </row>
    <row r="974" spans="27:42" x14ac:dyDescent="0.3">
      <c r="AA974" s="33" t="str">
        <f t="shared" si="46"/>
        <v/>
      </c>
      <c r="AC974" s="33">
        <f t="shared" si="45"/>
        <v>1048540</v>
      </c>
      <c r="AD974" s="33" t="str">
        <f t="shared" si="47"/>
        <v/>
      </c>
      <c r="AE974" s="33" t="str" cm="1">
        <f t="array" ref="AE974">LOOKUP(2,1/($AB$2:$AB$1000=AB974),$AD$2:$AD$1000)</f>
        <v/>
      </c>
      <c r="AO974" s="33" t="str" cm="1">
        <f t="array" ref="AO974">IFERROR(INDEX($AA$2:$AA$282,MATCH(0,COUNTIF('Paste Here'!$AK$1:AK973,$AA$2:$AA$282),0)),"")</f>
        <v/>
      </c>
      <c r="AP974" s="33" t="str">
        <f>IF(COUNTIF('Paste Here'!$AK$2:AK974,'Paste Here'!AK974)=1,VALUE('Paste Here'!AK974),"")</f>
        <v/>
      </c>
    </row>
    <row r="975" spans="27:42" x14ac:dyDescent="0.3">
      <c r="AA975" s="33" t="str">
        <f t="shared" si="46"/>
        <v/>
      </c>
      <c r="AC975" s="33">
        <f t="shared" si="45"/>
        <v>1048540</v>
      </c>
      <c r="AD975" s="33" t="str">
        <f t="shared" si="47"/>
        <v/>
      </c>
      <c r="AE975" s="33" t="str" cm="1">
        <f t="array" ref="AE975">LOOKUP(2,1/($AB$2:$AB$1000=AB975),$AD$2:$AD$1000)</f>
        <v/>
      </c>
      <c r="AO975" s="33" t="str" cm="1">
        <f t="array" ref="AO975">IFERROR(INDEX($AA$2:$AA$282,MATCH(0,COUNTIF('Paste Here'!$AK$1:AK974,$AA$2:$AA$282),0)),"")</f>
        <v/>
      </c>
      <c r="AP975" s="33" t="str">
        <f>IF(COUNTIF('Paste Here'!$AK$2:AK975,'Paste Here'!AK975)=1,VALUE('Paste Here'!AK975),"")</f>
        <v/>
      </c>
    </row>
    <row r="976" spans="27:42" x14ac:dyDescent="0.3">
      <c r="AA976" s="33" t="str">
        <f t="shared" si="46"/>
        <v/>
      </c>
      <c r="AC976" s="33">
        <f t="shared" si="45"/>
        <v>1048540</v>
      </c>
      <c r="AD976" s="33" t="str">
        <f t="shared" si="47"/>
        <v/>
      </c>
      <c r="AE976" s="33" t="str" cm="1">
        <f t="array" ref="AE976">LOOKUP(2,1/($AB$2:$AB$1000=AB976),$AD$2:$AD$1000)</f>
        <v/>
      </c>
      <c r="AO976" s="33" t="str" cm="1">
        <f t="array" ref="AO976">IFERROR(INDEX($AA$2:$AA$282,MATCH(0,COUNTIF('Paste Here'!$AK$1:AK975,$AA$2:$AA$282),0)),"")</f>
        <v/>
      </c>
      <c r="AP976" s="33" t="str">
        <f>IF(COUNTIF('Paste Here'!$AK$2:AK976,'Paste Here'!AK976)=1,VALUE('Paste Here'!AK976),"")</f>
        <v/>
      </c>
    </row>
    <row r="977" spans="27:42" x14ac:dyDescent="0.3">
      <c r="AA977" s="33" t="str">
        <f t="shared" si="46"/>
        <v/>
      </c>
      <c r="AC977" s="33">
        <f t="shared" si="45"/>
        <v>1048540</v>
      </c>
      <c r="AD977" s="33" t="str">
        <f t="shared" si="47"/>
        <v/>
      </c>
      <c r="AE977" s="33" t="str" cm="1">
        <f t="array" ref="AE977">LOOKUP(2,1/($AB$2:$AB$1000=AB977),$AD$2:$AD$1000)</f>
        <v/>
      </c>
      <c r="AO977" s="33" t="str" cm="1">
        <f t="array" ref="AO977">IFERROR(INDEX($AA$2:$AA$282,MATCH(0,COUNTIF('Paste Here'!$AK$1:AK976,$AA$2:$AA$282),0)),"")</f>
        <v/>
      </c>
      <c r="AP977" s="33" t="str">
        <f>IF(COUNTIF('Paste Here'!$AK$2:AK977,'Paste Here'!AK977)=1,VALUE('Paste Here'!AK977),"")</f>
        <v/>
      </c>
    </row>
    <row r="978" spans="27:42" x14ac:dyDescent="0.3">
      <c r="AA978" s="33" t="str">
        <f t="shared" si="46"/>
        <v/>
      </c>
      <c r="AC978" s="33">
        <f t="shared" si="45"/>
        <v>1048540</v>
      </c>
      <c r="AD978" s="33" t="str">
        <f t="shared" si="47"/>
        <v/>
      </c>
      <c r="AE978" s="33" t="str" cm="1">
        <f t="array" ref="AE978">LOOKUP(2,1/($AB$2:$AB$1000=AB978),$AD$2:$AD$1000)</f>
        <v/>
      </c>
      <c r="AO978" s="33" t="str" cm="1">
        <f t="array" ref="AO978">IFERROR(INDEX($AA$2:$AA$282,MATCH(0,COUNTIF('Paste Here'!$AK$1:AK977,$AA$2:$AA$282),0)),"")</f>
        <v/>
      </c>
      <c r="AP978" s="33" t="str">
        <f>IF(COUNTIF('Paste Here'!$AK$2:AK978,'Paste Here'!AK978)=1,VALUE('Paste Here'!AK978),"")</f>
        <v/>
      </c>
    </row>
    <row r="979" spans="27:42" x14ac:dyDescent="0.3">
      <c r="AA979" s="33" t="str">
        <f t="shared" si="46"/>
        <v/>
      </c>
      <c r="AC979" s="33">
        <f t="shared" si="45"/>
        <v>1048540</v>
      </c>
      <c r="AD979" s="33" t="str">
        <f t="shared" si="47"/>
        <v/>
      </c>
      <c r="AE979" s="33" t="str" cm="1">
        <f t="array" ref="AE979">LOOKUP(2,1/($AB$2:$AB$1000=AB979),$AD$2:$AD$1000)</f>
        <v/>
      </c>
      <c r="AO979" s="33" t="str" cm="1">
        <f t="array" ref="AO979">IFERROR(INDEX($AA$2:$AA$282,MATCH(0,COUNTIF('Paste Here'!$AK$1:AK978,$AA$2:$AA$282),0)),"")</f>
        <v/>
      </c>
      <c r="AP979" s="33" t="str">
        <f>IF(COUNTIF('Paste Here'!$AK$2:AK979,'Paste Here'!AK979)=1,VALUE('Paste Here'!AK979),"")</f>
        <v/>
      </c>
    </row>
    <row r="980" spans="27:42" x14ac:dyDescent="0.3">
      <c r="AA980" s="33" t="str">
        <f t="shared" si="46"/>
        <v/>
      </c>
      <c r="AC980" s="33">
        <f t="shared" si="45"/>
        <v>1048540</v>
      </c>
      <c r="AD980" s="33" t="str">
        <f t="shared" si="47"/>
        <v/>
      </c>
      <c r="AE980" s="33" t="str" cm="1">
        <f t="array" ref="AE980">LOOKUP(2,1/($AB$2:$AB$1000=AB980),$AD$2:$AD$1000)</f>
        <v/>
      </c>
      <c r="AO980" s="33" t="str" cm="1">
        <f t="array" ref="AO980">IFERROR(INDEX($AA$2:$AA$282,MATCH(0,COUNTIF('Paste Here'!$AK$1:AK979,$AA$2:$AA$282),0)),"")</f>
        <v/>
      </c>
      <c r="AP980" s="33" t="str">
        <f>IF(COUNTIF('Paste Here'!$AK$2:AK980,'Paste Here'!AK980)=1,VALUE('Paste Here'!AK980),"")</f>
        <v/>
      </c>
    </row>
    <row r="981" spans="27:42" x14ac:dyDescent="0.3">
      <c r="AA981" s="33" t="str">
        <f t="shared" si="46"/>
        <v/>
      </c>
      <c r="AC981" s="33">
        <f t="shared" si="45"/>
        <v>1048540</v>
      </c>
      <c r="AD981" s="33" t="str">
        <f t="shared" si="47"/>
        <v/>
      </c>
      <c r="AE981" s="33" t="str" cm="1">
        <f t="array" ref="AE981">LOOKUP(2,1/($AB$2:$AB$1000=AB981),$AD$2:$AD$1000)</f>
        <v/>
      </c>
      <c r="AO981" s="33" t="str" cm="1">
        <f t="array" ref="AO981">IFERROR(INDEX($AA$2:$AA$282,MATCH(0,COUNTIF('Paste Here'!$AK$1:AK980,$AA$2:$AA$282),0)),"")</f>
        <v/>
      </c>
      <c r="AP981" s="33" t="str">
        <f>IF(COUNTIF('Paste Here'!$AK$2:AK981,'Paste Here'!AK981)=1,VALUE('Paste Here'!AK981),"")</f>
        <v/>
      </c>
    </row>
    <row r="982" spans="27:42" x14ac:dyDescent="0.3">
      <c r="AA982" s="33" t="str">
        <f t="shared" si="46"/>
        <v/>
      </c>
      <c r="AC982" s="33">
        <f t="shared" si="45"/>
        <v>1048540</v>
      </c>
      <c r="AD982" s="33" t="str">
        <f t="shared" si="47"/>
        <v/>
      </c>
      <c r="AE982" s="33" t="str" cm="1">
        <f t="array" ref="AE982">LOOKUP(2,1/($AB$2:$AB$1000=AB982),$AD$2:$AD$1000)</f>
        <v/>
      </c>
      <c r="AO982" s="33" t="str" cm="1">
        <f t="array" ref="AO982">IFERROR(INDEX($AA$2:$AA$282,MATCH(0,COUNTIF('Paste Here'!$AK$1:AK981,$AA$2:$AA$282),0)),"")</f>
        <v/>
      </c>
      <c r="AP982" s="33" t="str">
        <f>IF(COUNTIF('Paste Here'!$AK$2:AK982,'Paste Here'!AK982)=1,VALUE('Paste Here'!AK982),"")</f>
        <v/>
      </c>
    </row>
    <row r="983" spans="27:42" x14ac:dyDescent="0.3">
      <c r="AA983" s="33" t="str">
        <f t="shared" si="46"/>
        <v/>
      </c>
      <c r="AC983" s="33">
        <f t="shared" si="45"/>
        <v>1048540</v>
      </c>
      <c r="AD983" s="33" t="str">
        <f t="shared" si="47"/>
        <v/>
      </c>
      <c r="AE983" s="33" t="str" cm="1">
        <f t="array" ref="AE983">LOOKUP(2,1/($AB$2:$AB$1000=AB983),$AD$2:$AD$1000)</f>
        <v/>
      </c>
      <c r="AO983" s="33" t="str" cm="1">
        <f t="array" ref="AO983">IFERROR(INDEX($AA$2:$AA$282,MATCH(0,COUNTIF('Paste Here'!$AK$1:AK982,$AA$2:$AA$282),0)),"")</f>
        <v/>
      </c>
      <c r="AP983" s="33" t="str">
        <f>IF(COUNTIF('Paste Here'!$AK$2:AK983,'Paste Here'!AK983)=1,VALUE('Paste Here'!AK983),"")</f>
        <v/>
      </c>
    </row>
    <row r="984" spans="27:42" x14ac:dyDescent="0.3">
      <c r="AA984" s="33" t="str">
        <f t="shared" si="46"/>
        <v/>
      </c>
      <c r="AC984" s="33">
        <f t="shared" si="45"/>
        <v>1048540</v>
      </c>
      <c r="AD984" s="33" t="str">
        <f t="shared" si="47"/>
        <v/>
      </c>
      <c r="AE984" s="33" t="str" cm="1">
        <f t="array" ref="AE984">LOOKUP(2,1/($AB$2:$AB$1000=AB984),$AD$2:$AD$1000)</f>
        <v/>
      </c>
      <c r="AO984" s="33" t="str" cm="1">
        <f t="array" ref="AO984">IFERROR(INDEX($AA$2:$AA$282,MATCH(0,COUNTIF('Paste Here'!$AK$1:AK983,$AA$2:$AA$282),0)),"")</f>
        <v/>
      </c>
      <c r="AP984" s="33" t="str">
        <f>IF(COUNTIF('Paste Here'!$AK$2:AK984,'Paste Here'!AK984)=1,VALUE('Paste Here'!AK984),"")</f>
        <v/>
      </c>
    </row>
    <row r="985" spans="27:42" x14ac:dyDescent="0.3">
      <c r="AA985" s="33" t="str">
        <f t="shared" si="46"/>
        <v/>
      </c>
      <c r="AC985" s="33">
        <f t="shared" si="45"/>
        <v>1048540</v>
      </c>
      <c r="AD985" s="33" t="str">
        <f t="shared" si="47"/>
        <v/>
      </c>
      <c r="AE985" s="33" t="str" cm="1">
        <f t="array" ref="AE985">LOOKUP(2,1/($AB$2:$AB$1000=AB985),$AD$2:$AD$1000)</f>
        <v/>
      </c>
      <c r="AO985" s="33" t="str" cm="1">
        <f t="array" ref="AO985">IFERROR(INDEX($AA$2:$AA$282,MATCH(0,COUNTIF('Paste Here'!$AK$1:AK984,$AA$2:$AA$282),0)),"")</f>
        <v/>
      </c>
      <c r="AP985" s="33" t="str">
        <f>IF(COUNTIF('Paste Here'!$AK$2:AK985,'Paste Here'!AK985)=1,VALUE('Paste Here'!AK985),"")</f>
        <v/>
      </c>
    </row>
    <row r="986" spans="27:42" x14ac:dyDescent="0.3">
      <c r="AA986" s="33" t="str">
        <f t="shared" si="46"/>
        <v/>
      </c>
      <c r="AC986" s="33">
        <f t="shared" si="45"/>
        <v>1048540</v>
      </c>
      <c r="AD986" s="33" t="str">
        <f t="shared" si="47"/>
        <v/>
      </c>
      <c r="AE986" s="33" t="str" cm="1">
        <f t="array" ref="AE986">LOOKUP(2,1/($AB$2:$AB$1000=AB986),$AD$2:$AD$1000)</f>
        <v/>
      </c>
      <c r="AO986" s="33" t="str" cm="1">
        <f t="array" ref="AO986">IFERROR(INDEX($AA$2:$AA$282,MATCH(0,COUNTIF('Paste Here'!$AK$1:AK985,$AA$2:$AA$282),0)),"")</f>
        <v/>
      </c>
      <c r="AP986" s="33" t="str">
        <f>IF(COUNTIF('Paste Here'!$AK$2:AK986,'Paste Here'!AK986)=1,VALUE('Paste Here'!AK986),"")</f>
        <v/>
      </c>
    </row>
    <row r="987" spans="27:42" x14ac:dyDescent="0.3">
      <c r="AA987" s="33" t="str">
        <f t="shared" si="46"/>
        <v/>
      </c>
      <c r="AC987" s="33">
        <f t="shared" si="45"/>
        <v>1048540</v>
      </c>
      <c r="AD987" s="33" t="str">
        <f t="shared" si="47"/>
        <v/>
      </c>
      <c r="AE987" s="33" t="str" cm="1">
        <f t="array" ref="AE987">LOOKUP(2,1/($AB$2:$AB$1000=AB987),$AD$2:$AD$1000)</f>
        <v/>
      </c>
      <c r="AO987" s="33" t="str" cm="1">
        <f t="array" ref="AO987">IFERROR(INDEX($AA$2:$AA$282,MATCH(0,COUNTIF('Paste Here'!$AK$1:AK986,$AA$2:$AA$282),0)),"")</f>
        <v/>
      </c>
      <c r="AP987" s="33" t="str">
        <f>IF(COUNTIF('Paste Here'!$AK$2:AK987,'Paste Here'!AK987)=1,VALUE('Paste Here'!AK987),"")</f>
        <v/>
      </c>
    </row>
    <row r="988" spans="27:42" x14ac:dyDescent="0.3">
      <c r="AA988" s="33" t="str">
        <f t="shared" si="46"/>
        <v/>
      </c>
      <c r="AC988" s="33">
        <f t="shared" si="45"/>
        <v>1048540</v>
      </c>
      <c r="AD988" s="33" t="str">
        <f t="shared" si="47"/>
        <v/>
      </c>
      <c r="AE988" s="33" t="str" cm="1">
        <f t="array" ref="AE988">LOOKUP(2,1/($AB$2:$AB$1000=AB988),$AD$2:$AD$1000)</f>
        <v/>
      </c>
      <c r="AO988" s="33" t="str" cm="1">
        <f t="array" ref="AO988">IFERROR(INDEX($AA$2:$AA$282,MATCH(0,COUNTIF('Paste Here'!$AK$1:AK987,$AA$2:$AA$282),0)),"")</f>
        <v/>
      </c>
      <c r="AP988" s="33" t="str">
        <f>IF(COUNTIF('Paste Here'!$AK$2:AK988,'Paste Here'!AK988)=1,VALUE('Paste Here'!AK988),"")</f>
        <v/>
      </c>
    </row>
    <row r="989" spans="27:42" x14ac:dyDescent="0.3">
      <c r="AA989" s="33" t="str">
        <f t="shared" si="46"/>
        <v/>
      </c>
      <c r="AC989" s="33">
        <f t="shared" si="45"/>
        <v>1048540</v>
      </c>
      <c r="AD989" s="33" t="str">
        <f t="shared" si="47"/>
        <v/>
      </c>
      <c r="AE989" s="33" t="str" cm="1">
        <f t="array" ref="AE989">LOOKUP(2,1/($AB$2:$AB$1000=AB989),$AD$2:$AD$1000)</f>
        <v/>
      </c>
      <c r="AO989" s="33" t="str" cm="1">
        <f t="array" ref="AO989">IFERROR(INDEX($AA$2:$AA$282,MATCH(0,COUNTIF('Paste Here'!$AK$1:AK988,$AA$2:$AA$282),0)),"")</f>
        <v/>
      </c>
      <c r="AP989" s="33" t="str">
        <f>IF(COUNTIF('Paste Here'!$AK$2:AK989,'Paste Here'!AK989)=1,VALUE('Paste Here'!AK989),"")</f>
        <v/>
      </c>
    </row>
    <row r="990" spans="27:42" x14ac:dyDescent="0.3">
      <c r="AA990" s="33" t="str">
        <f t="shared" si="46"/>
        <v/>
      </c>
      <c r="AC990" s="33">
        <f t="shared" si="45"/>
        <v>1048540</v>
      </c>
      <c r="AD990" s="33" t="str">
        <f t="shared" si="47"/>
        <v/>
      </c>
      <c r="AE990" s="33" t="str" cm="1">
        <f t="array" ref="AE990">LOOKUP(2,1/($AB$2:$AB$1000=AB990),$AD$2:$AD$1000)</f>
        <v/>
      </c>
      <c r="AO990" s="33" t="str" cm="1">
        <f t="array" ref="AO990">IFERROR(INDEX($AA$2:$AA$282,MATCH(0,COUNTIF('Paste Here'!$AK$1:AK989,$AA$2:$AA$282),0)),"")</f>
        <v/>
      </c>
      <c r="AP990" s="33" t="str">
        <f>IF(COUNTIF('Paste Here'!$AK$2:AK990,'Paste Here'!AK990)=1,VALUE('Paste Here'!AK990),"")</f>
        <v/>
      </c>
    </row>
    <row r="991" spans="27:42" x14ac:dyDescent="0.3">
      <c r="AA991" s="33" t="str">
        <f t="shared" si="46"/>
        <v/>
      </c>
      <c r="AC991" s="33">
        <f t="shared" si="45"/>
        <v>1048540</v>
      </c>
      <c r="AD991" s="33" t="str">
        <f t="shared" si="47"/>
        <v/>
      </c>
      <c r="AE991" s="33" t="str" cm="1">
        <f t="array" ref="AE991">LOOKUP(2,1/($AB$2:$AB$1000=AB991),$AD$2:$AD$1000)</f>
        <v/>
      </c>
      <c r="AO991" s="33" t="str" cm="1">
        <f t="array" ref="AO991">IFERROR(INDEX($AA$2:$AA$282,MATCH(0,COUNTIF('Paste Here'!$AK$1:AK990,$AA$2:$AA$282),0)),"")</f>
        <v/>
      </c>
      <c r="AP991" s="33" t="str">
        <f>IF(COUNTIF('Paste Here'!$AK$2:AK991,'Paste Here'!AK991)=1,VALUE('Paste Here'!AK991),"")</f>
        <v/>
      </c>
    </row>
    <row r="992" spans="27:42" x14ac:dyDescent="0.3">
      <c r="AA992" s="33" t="str">
        <f t="shared" si="46"/>
        <v/>
      </c>
      <c r="AC992" s="33">
        <f t="shared" si="45"/>
        <v>1048540</v>
      </c>
      <c r="AD992" s="33" t="str">
        <f t="shared" si="47"/>
        <v/>
      </c>
      <c r="AE992" s="33" t="str" cm="1">
        <f t="array" ref="AE992">LOOKUP(2,1/($AB$2:$AB$1000=AB992),$AD$2:$AD$1000)</f>
        <v/>
      </c>
      <c r="AO992" s="33" t="str" cm="1">
        <f t="array" ref="AO992">IFERROR(INDEX($AA$2:$AA$282,MATCH(0,COUNTIF('Paste Here'!$AK$1:AK991,$AA$2:$AA$282),0)),"")</f>
        <v/>
      </c>
      <c r="AP992" s="33" t="str">
        <f>IF(COUNTIF('Paste Here'!$AK$2:AK992,'Paste Here'!AK992)=1,VALUE('Paste Here'!AK992),"")</f>
        <v/>
      </c>
    </row>
    <row r="993" spans="27:42" x14ac:dyDescent="0.3">
      <c r="AA993" s="33" t="str">
        <f t="shared" si="46"/>
        <v/>
      </c>
      <c r="AC993" s="33">
        <f t="shared" si="45"/>
        <v>1048540</v>
      </c>
      <c r="AD993" s="33" t="str">
        <f t="shared" si="47"/>
        <v/>
      </c>
      <c r="AE993" s="33" t="str" cm="1">
        <f t="array" ref="AE993">LOOKUP(2,1/($AB$2:$AB$1000=AB993),$AD$2:$AD$1000)</f>
        <v/>
      </c>
      <c r="AO993" s="33" t="str" cm="1">
        <f t="array" ref="AO993">IFERROR(INDEX($AA$2:$AA$282,MATCH(0,COUNTIF('Paste Here'!$AK$1:AK992,$AA$2:$AA$282),0)),"")</f>
        <v/>
      </c>
      <c r="AP993" s="33" t="str">
        <f>IF(COUNTIF('Paste Here'!$AK$2:AK993,'Paste Here'!AK993)=1,VALUE('Paste Here'!AK993),"")</f>
        <v/>
      </c>
    </row>
    <row r="994" spans="27:42" x14ac:dyDescent="0.3">
      <c r="AA994" s="33" t="str">
        <f t="shared" si="46"/>
        <v/>
      </c>
      <c r="AC994" s="33">
        <f t="shared" si="45"/>
        <v>1048540</v>
      </c>
      <c r="AD994" s="33" t="str">
        <f t="shared" si="47"/>
        <v/>
      </c>
      <c r="AE994" s="33" t="str" cm="1">
        <f t="array" ref="AE994">LOOKUP(2,1/($AB$2:$AB$1000=AB994),$AD$2:$AD$1000)</f>
        <v/>
      </c>
      <c r="AO994" s="33" t="str" cm="1">
        <f t="array" ref="AO994">IFERROR(INDEX($AA$2:$AA$282,MATCH(0,COUNTIF('Paste Here'!$AK$1:AK993,$AA$2:$AA$282),0)),"")</f>
        <v/>
      </c>
      <c r="AP994" s="33" t="str">
        <f>IF(COUNTIF('Paste Here'!$AK$2:AK994,'Paste Here'!AK994)=1,VALUE('Paste Here'!AK994),"")</f>
        <v/>
      </c>
    </row>
    <row r="995" spans="27:42" x14ac:dyDescent="0.3">
      <c r="AA995" s="33" t="str">
        <f t="shared" si="46"/>
        <v/>
      </c>
      <c r="AC995" s="33">
        <f t="shared" si="45"/>
        <v>1048540</v>
      </c>
      <c r="AD995" s="33" t="str">
        <f t="shared" si="47"/>
        <v/>
      </c>
      <c r="AE995" s="33" t="str" cm="1">
        <f t="array" ref="AE995">LOOKUP(2,1/($AB$2:$AB$1000=AB995),$AD$2:$AD$1000)</f>
        <v/>
      </c>
      <c r="AO995" s="33" t="str" cm="1">
        <f t="array" ref="AO995">IFERROR(INDEX($AA$2:$AA$282,MATCH(0,COUNTIF('Paste Here'!$AK$1:AK994,$AA$2:$AA$282),0)),"")</f>
        <v/>
      </c>
      <c r="AP995" s="33" t="str">
        <f>IF(COUNTIF('Paste Here'!$AK$2:AK995,'Paste Here'!AK995)=1,VALUE('Paste Here'!AK995),"")</f>
        <v/>
      </c>
    </row>
    <row r="996" spans="27:42" x14ac:dyDescent="0.3">
      <c r="AA996" s="33" t="str">
        <f t="shared" si="46"/>
        <v/>
      </c>
      <c r="AC996" s="33">
        <f t="shared" si="45"/>
        <v>1048540</v>
      </c>
      <c r="AD996" s="33" t="str">
        <f t="shared" si="47"/>
        <v/>
      </c>
      <c r="AE996" s="33" t="str" cm="1">
        <f t="array" ref="AE996">LOOKUP(2,1/($AB$2:$AB$1000=AB996),$AD$2:$AD$1000)</f>
        <v/>
      </c>
      <c r="AO996" s="33" t="str" cm="1">
        <f t="array" ref="AO996">IFERROR(INDEX($AA$2:$AA$282,MATCH(0,COUNTIF('Paste Here'!$AK$1:AK995,$AA$2:$AA$282),0)),"")</f>
        <v/>
      </c>
      <c r="AP996" s="33" t="str">
        <f>IF(COUNTIF('Paste Here'!$AK$2:AK996,'Paste Here'!AK996)=1,VALUE('Paste Here'!AK996),"")</f>
        <v/>
      </c>
    </row>
    <row r="997" spans="27:42" x14ac:dyDescent="0.3">
      <c r="AA997" s="33" t="str">
        <f t="shared" si="46"/>
        <v/>
      </c>
      <c r="AC997" s="33">
        <f t="shared" si="45"/>
        <v>1048540</v>
      </c>
      <c r="AD997" s="33" t="str">
        <f t="shared" si="47"/>
        <v/>
      </c>
      <c r="AE997" s="33" t="str" cm="1">
        <f t="array" ref="AE997">LOOKUP(2,1/($AB$2:$AB$1000=AB997),$AD$2:$AD$1000)</f>
        <v/>
      </c>
      <c r="AO997" s="33" t="str" cm="1">
        <f t="array" ref="AO997">IFERROR(INDEX($AA$2:$AA$282,MATCH(0,COUNTIF('Paste Here'!$AK$1:AK996,$AA$2:$AA$282),0)),"")</f>
        <v/>
      </c>
      <c r="AP997" s="33" t="str">
        <f>IF(COUNTIF('Paste Here'!$AK$2:AK997,'Paste Here'!AK997)=1,VALUE('Paste Here'!AK997),"")</f>
        <v/>
      </c>
    </row>
    <row r="998" spans="27:42" x14ac:dyDescent="0.3">
      <c r="AA998" s="33" t="str">
        <f t="shared" si="46"/>
        <v/>
      </c>
      <c r="AC998" s="33">
        <f t="shared" si="45"/>
        <v>1048540</v>
      </c>
      <c r="AD998" s="33" t="str">
        <f t="shared" si="47"/>
        <v/>
      </c>
      <c r="AE998" s="33" t="str" cm="1">
        <f t="array" ref="AE998">LOOKUP(2,1/($AB$2:$AB$1000=AB998),$AD$2:$AD$1000)</f>
        <v/>
      </c>
      <c r="AO998" s="33" t="str" cm="1">
        <f t="array" ref="AO998">IFERROR(INDEX($AA$2:$AA$282,MATCH(0,COUNTIF('Paste Here'!$AK$1:AK997,$AA$2:$AA$282),0)),"")</f>
        <v/>
      </c>
      <c r="AP998" s="33" t="str">
        <f>IF(COUNTIF('Paste Here'!$AK$2:AK998,'Paste Here'!AK998)=1,VALUE('Paste Here'!AK998),"")</f>
        <v/>
      </c>
    </row>
    <row r="999" spans="27:42" x14ac:dyDescent="0.3">
      <c r="AA999" s="33" t="str">
        <f t="shared" si="46"/>
        <v/>
      </c>
      <c r="AC999" s="33">
        <f t="shared" si="45"/>
        <v>1048540</v>
      </c>
      <c r="AD999" s="33" t="str">
        <f t="shared" si="47"/>
        <v/>
      </c>
      <c r="AE999" s="33" t="str" cm="1">
        <f t="array" ref="AE999">LOOKUP(2,1/($AB$2:$AB$1000=AB999),$AD$2:$AD$1000)</f>
        <v/>
      </c>
      <c r="AO999" s="33" t="str" cm="1">
        <f t="array" ref="AO999">IFERROR(INDEX($AA$2:$AA$282,MATCH(0,COUNTIF('Paste Here'!$AK$1:AK998,$AA$2:$AA$282),0)),"")</f>
        <v/>
      </c>
      <c r="AP999" s="33" t="str">
        <f>IF(COUNTIF('Paste Here'!$AK$2:AK999,'Paste Here'!AK999)=1,VALUE('Paste Here'!AK999),"")</f>
        <v/>
      </c>
    </row>
    <row r="1000" spans="27:42" x14ac:dyDescent="0.3">
      <c r="AA1000" s="33" t="str">
        <f t="shared" si="46"/>
        <v/>
      </c>
      <c r="AC1000" s="33">
        <f t="shared" si="45"/>
        <v>1048540</v>
      </c>
      <c r="AD1000" s="33" t="str">
        <f t="shared" si="47"/>
        <v/>
      </c>
      <c r="AE1000" s="33" t="str" cm="1">
        <f t="array" ref="AE1000">LOOKUP(2,1/($AB$2:$AB$1000=AB1000),$AD$2:$AD$1000)</f>
        <v/>
      </c>
      <c r="AO1000" s="33" t="str" cm="1">
        <f t="array" ref="AO1000">IFERROR(INDEX($AA$2:$AA$282,MATCH(0,COUNTIF('Paste Here'!$AK$1:AK999,$AA$2:$AA$282),0)),"")</f>
        <v/>
      </c>
      <c r="AP1000" s="33" t="str">
        <f>IF(COUNTIF('Paste Here'!$AK$2:AK1000,'Paste Here'!AK1000)=1,VALUE('Paste Here'!AK1000),"")</f>
        <v/>
      </c>
    </row>
    <row r="1001" spans="27:42" x14ac:dyDescent="0.3">
      <c r="AA1001" s="33" t="str">
        <f t="shared" si="46"/>
        <v/>
      </c>
      <c r="AC1001" s="33">
        <f t="shared" si="45"/>
        <v>1048540</v>
      </c>
      <c r="AD1001" s="33" t="str">
        <f t="shared" si="47"/>
        <v/>
      </c>
      <c r="AE1001" s="33" t="str" cm="1">
        <f t="array" ref="AE1001">LOOKUP(2,1/($AB$2:$AB$1000=AB1001),$AD$2:$AD$1000)</f>
        <v/>
      </c>
      <c r="AO1001" s="33" t="str" cm="1">
        <f t="array" ref="AO1001">IFERROR(INDEX($AA$2:$AA$282,MATCH(0,COUNTIF('Paste Here'!$AK$1:AK1000,$AA$2:$AA$282),0)),"")</f>
        <v/>
      </c>
      <c r="AP1001" s="33" t="str">
        <f>IF(COUNTIF('Paste Here'!$AK$2:AK1001,'Paste Here'!AK1001)=1,VALUE('Paste Here'!AK1001),"")</f>
        <v/>
      </c>
    </row>
    <row r="1002" spans="27:42" x14ac:dyDescent="0.3">
      <c r="AA1002" s="33" t="str">
        <f t="shared" si="46"/>
        <v/>
      </c>
      <c r="AC1002" s="33">
        <f t="shared" si="45"/>
        <v>1048540</v>
      </c>
      <c r="AD1002" s="33" t="str">
        <f t="shared" si="47"/>
        <v/>
      </c>
      <c r="AE1002" s="33" t="str" cm="1">
        <f t="array" ref="AE1002">LOOKUP(2,1/($AB$2:$AB$1000=AB1002),$AD$2:$AD$1000)</f>
        <v/>
      </c>
      <c r="AO1002" s="33" t="str" cm="1">
        <f t="array" ref="AO1002">IFERROR(INDEX($AA$2:$AA$282,MATCH(0,COUNTIF('Paste Here'!$AK$1:AK1001,$AA$2:$AA$282),0)),"")</f>
        <v/>
      </c>
      <c r="AP1002" s="33" t="str">
        <f>IF(COUNTIF('Paste Here'!$AK$2:AK1002,'Paste Here'!AK1002)=1,VALUE('Paste Here'!AK1002),"")</f>
        <v/>
      </c>
    </row>
    <row r="1003" spans="27:42" x14ac:dyDescent="0.3">
      <c r="AA1003" s="33" t="str">
        <f t="shared" si="46"/>
        <v/>
      </c>
      <c r="AC1003" s="33">
        <f t="shared" si="45"/>
        <v>1048540</v>
      </c>
      <c r="AD1003" s="33" t="str">
        <f t="shared" si="47"/>
        <v/>
      </c>
      <c r="AE1003" s="33" t="str" cm="1">
        <f t="array" ref="AE1003">LOOKUP(2,1/($AB$2:$AB$1000=AB1003),$AD$2:$AD$1000)</f>
        <v/>
      </c>
      <c r="AO1003" s="33" t="str" cm="1">
        <f t="array" ref="AO1003">IFERROR(INDEX($AA$2:$AA$282,MATCH(0,COUNTIF('Paste Here'!$AK$1:AK1002,$AA$2:$AA$282),0)),"")</f>
        <v/>
      </c>
      <c r="AP1003" s="33" t="str">
        <f>IF(COUNTIF('Paste Here'!$AK$2:AK1003,'Paste Here'!AK1003)=1,VALUE('Paste Here'!AK1003),"")</f>
        <v/>
      </c>
    </row>
    <row r="1004" spans="27:42" x14ac:dyDescent="0.3">
      <c r="AA1004" s="33" t="str">
        <f t="shared" si="46"/>
        <v/>
      </c>
      <c r="AC1004" s="33">
        <f t="shared" si="45"/>
        <v>1048540</v>
      </c>
      <c r="AD1004" s="33" t="str">
        <f t="shared" si="47"/>
        <v/>
      </c>
      <c r="AE1004" s="33" t="str" cm="1">
        <f t="array" ref="AE1004">LOOKUP(2,1/($AB$2:$AB$1000=AB1004),$AD$2:$AD$1000)</f>
        <v/>
      </c>
      <c r="AO1004" s="33" t="str" cm="1">
        <f t="array" ref="AO1004">IFERROR(INDEX($AA$2:$AA$282,MATCH(0,COUNTIF('Paste Here'!$AK$1:AK1003,$AA$2:$AA$282),0)),"")</f>
        <v/>
      </c>
      <c r="AP1004" s="33" t="str">
        <f>IF(COUNTIF('Paste Here'!$AK$2:AK1004,'Paste Here'!AK1004)=1,VALUE('Paste Here'!AK1004),"")</f>
        <v/>
      </c>
    </row>
    <row r="1005" spans="27:42" x14ac:dyDescent="0.3">
      <c r="AA1005" s="33" t="str">
        <f t="shared" si="46"/>
        <v/>
      </c>
      <c r="AC1005" s="33">
        <f t="shared" si="45"/>
        <v>1048540</v>
      </c>
      <c r="AD1005" s="33" t="str">
        <f t="shared" si="47"/>
        <v/>
      </c>
      <c r="AE1005" s="33" t="str" cm="1">
        <f t="array" ref="AE1005">LOOKUP(2,1/($AB$2:$AB$1000=AB1005),$AD$2:$AD$1000)</f>
        <v/>
      </c>
      <c r="AO1005" s="33" t="str" cm="1">
        <f t="array" ref="AO1005">IFERROR(INDEX($AA$2:$AA$282,MATCH(0,COUNTIF('Paste Here'!$AK$1:AK1004,$AA$2:$AA$282),0)),"")</f>
        <v/>
      </c>
      <c r="AP1005" s="33" t="str">
        <f>IF(COUNTIF('Paste Here'!$AK$2:AK1005,'Paste Here'!AK1005)=1,VALUE('Paste Here'!AK1005),"")</f>
        <v/>
      </c>
    </row>
    <row r="1006" spans="27:42" x14ac:dyDescent="0.3">
      <c r="AA1006" s="33" t="str">
        <f t="shared" si="46"/>
        <v/>
      </c>
      <c r="AC1006" s="33">
        <f t="shared" si="45"/>
        <v>1048540</v>
      </c>
      <c r="AD1006" s="33" t="str">
        <f t="shared" si="47"/>
        <v/>
      </c>
      <c r="AE1006" s="33" t="str" cm="1">
        <f t="array" ref="AE1006">LOOKUP(2,1/($AB$2:$AB$1000=AB1006),$AD$2:$AD$1000)</f>
        <v/>
      </c>
      <c r="AO1006" s="33" t="str" cm="1">
        <f t="array" ref="AO1006">IFERROR(INDEX($AA$2:$AA$282,MATCH(0,COUNTIF('Paste Here'!$AK$1:AK1005,$AA$2:$AA$282),0)),"")</f>
        <v/>
      </c>
      <c r="AP1006" s="33" t="str">
        <f>IF(COUNTIF('Paste Here'!$AK$2:AK1006,'Paste Here'!AK1006)=1,VALUE('Paste Here'!AK1006),"")</f>
        <v/>
      </c>
    </row>
    <row r="1007" spans="27:42" x14ac:dyDescent="0.3">
      <c r="AA1007" s="33" t="str">
        <f t="shared" si="46"/>
        <v/>
      </c>
      <c r="AC1007" s="33">
        <f t="shared" si="45"/>
        <v>1048540</v>
      </c>
      <c r="AD1007" s="33" t="str">
        <f t="shared" si="47"/>
        <v/>
      </c>
      <c r="AE1007" s="33" t="str" cm="1">
        <f t="array" ref="AE1007">LOOKUP(2,1/($AB$2:$AB$1000=AB1007),$AD$2:$AD$1000)</f>
        <v/>
      </c>
      <c r="AO1007" s="33" t="str" cm="1">
        <f t="array" ref="AO1007">IFERROR(INDEX($AA$2:$AA$282,MATCH(0,COUNTIF('Paste Here'!$AK$1:AK1006,$AA$2:$AA$282),0)),"")</f>
        <v/>
      </c>
      <c r="AP1007" s="33" t="str">
        <f>IF(COUNTIF('Paste Here'!$AK$2:AK1007,'Paste Here'!AK1007)=1,VALUE('Paste Here'!AK1007),"")</f>
        <v/>
      </c>
    </row>
    <row r="1008" spans="27:42" x14ac:dyDescent="0.3">
      <c r="AA1008" s="33" t="str">
        <f t="shared" si="46"/>
        <v/>
      </c>
      <c r="AC1008" s="33">
        <f t="shared" si="45"/>
        <v>1048540</v>
      </c>
      <c r="AD1008" s="33" t="str">
        <f t="shared" si="47"/>
        <v/>
      </c>
      <c r="AE1008" s="33" t="str" cm="1">
        <f t="array" ref="AE1008">LOOKUP(2,1/($AB$2:$AB$1000=AB1008),$AD$2:$AD$1000)</f>
        <v/>
      </c>
      <c r="AO1008" s="33" t="str" cm="1">
        <f t="array" ref="AO1008">IFERROR(INDEX($AA$2:$AA$282,MATCH(0,COUNTIF('Paste Here'!$AK$1:AK1007,$AA$2:$AA$282),0)),"")</f>
        <v/>
      </c>
      <c r="AP1008" s="33" t="str">
        <f>IF(COUNTIF('Paste Here'!$AK$2:AK1008,'Paste Here'!AK1008)=1,VALUE('Paste Here'!AK1008),"")</f>
        <v/>
      </c>
    </row>
    <row r="1009" spans="27:42" x14ac:dyDescent="0.3">
      <c r="AA1009" s="33" t="str">
        <f t="shared" si="46"/>
        <v/>
      </c>
      <c r="AC1009" s="33">
        <f t="shared" si="45"/>
        <v>1048540</v>
      </c>
      <c r="AD1009" s="33" t="str">
        <f t="shared" si="47"/>
        <v/>
      </c>
      <c r="AE1009" s="33" t="str" cm="1">
        <f t="array" ref="AE1009">LOOKUP(2,1/($AB$2:$AB$1000=AB1009),$AD$2:$AD$1000)</f>
        <v/>
      </c>
      <c r="AO1009" s="33" t="str" cm="1">
        <f t="array" ref="AO1009">IFERROR(INDEX($AA$2:$AA$282,MATCH(0,COUNTIF('Paste Here'!$AK$1:AK1008,$AA$2:$AA$282),0)),"")</f>
        <v/>
      </c>
      <c r="AP1009" s="33" t="str">
        <f>IF(COUNTIF('Paste Here'!$AK$2:AK1009,'Paste Here'!AK1009)=1,VALUE('Paste Here'!AK1009),"")</f>
        <v/>
      </c>
    </row>
    <row r="1010" spans="27:42" x14ac:dyDescent="0.3">
      <c r="AA1010" s="33" t="str">
        <f t="shared" si="46"/>
        <v/>
      </c>
      <c r="AC1010" s="33">
        <f t="shared" si="45"/>
        <v>1048540</v>
      </c>
      <c r="AD1010" s="33" t="str">
        <f t="shared" si="47"/>
        <v/>
      </c>
      <c r="AE1010" s="33" t="str" cm="1">
        <f t="array" ref="AE1010">LOOKUP(2,1/($AB$2:$AB$1000=AB1010),$AD$2:$AD$1000)</f>
        <v/>
      </c>
      <c r="AO1010" s="33" t="str" cm="1">
        <f t="array" ref="AO1010">IFERROR(INDEX($AA$2:$AA$282,MATCH(0,COUNTIF('Paste Here'!$AK$1:AK1009,$AA$2:$AA$282),0)),"")</f>
        <v/>
      </c>
      <c r="AP1010" s="33" t="str">
        <f>IF(COUNTIF('Paste Here'!$AK$2:AK1010,'Paste Here'!AK1010)=1,VALUE('Paste Here'!AK1010),"")</f>
        <v/>
      </c>
    </row>
    <row r="1011" spans="27:42" x14ac:dyDescent="0.3">
      <c r="AA1011" s="33" t="str">
        <f t="shared" si="46"/>
        <v/>
      </c>
      <c r="AC1011" s="33">
        <f t="shared" si="45"/>
        <v>1048540</v>
      </c>
      <c r="AD1011" s="33" t="str">
        <f t="shared" si="47"/>
        <v/>
      </c>
      <c r="AE1011" s="33" t="str" cm="1">
        <f t="array" ref="AE1011">LOOKUP(2,1/($AB$2:$AB$1000=AB1011),$AD$2:$AD$1000)</f>
        <v/>
      </c>
      <c r="AO1011" s="33" t="str" cm="1">
        <f t="array" ref="AO1011">IFERROR(INDEX($AA$2:$AA$282,MATCH(0,COUNTIF('Paste Here'!$AK$1:AK1010,$AA$2:$AA$282),0)),"")</f>
        <v/>
      </c>
      <c r="AP1011" s="33" t="str">
        <f>IF(COUNTIF('Paste Here'!$AK$2:AK1011,'Paste Here'!AK1011)=1,VALUE('Paste Here'!AK1011),"")</f>
        <v/>
      </c>
    </row>
    <row r="1012" spans="27:42" x14ac:dyDescent="0.3">
      <c r="AA1012" s="33" t="str">
        <f t="shared" si="46"/>
        <v/>
      </c>
      <c r="AC1012" s="33">
        <f t="shared" si="45"/>
        <v>1048540</v>
      </c>
      <c r="AD1012" s="33" t="str">
        <f t="shared" si="47"/>
        <v/>
      </c>
      <c r="AE1012" s="33" t="str" cm="1">
        <f t="array" ref="AE1012">LOOKUP(2,1/($AB$2:$AB$1000=AB1012),$AD$2:$AD$1000)</f>
        <v/>
      </c>
      <c r="AO1012" s="33" t="str" cm="1">
        <f t="array" ref="AO1012">IFERROR(INDEX($AA$2:$AA$282,MATCH(0,COUNTIF('Paste Here'!$AK$1:AK1011,$AA$2:$AA$282),0)),"")</f>
        <v/>
      </c>
      <c r="AP1012" s="33" t="str">
        <f>IF(COUNTIF('Paste Here'!$AK$2:AK1012,'Paste Here'!AK1012)=1,VALUE('Paste Here'!AK1012),"")</f>
        <v/>
      </c>
    </row>
    <row r="1013" spans="27:42" x14ac:dyDescent="0.3">
      <c r="AA1013" s="33" t="str">
        <f t="shared" si="46"/>
        <v/>
      </c>
      <c r="AC1013" s="33">
        <f t="shared" si="45"/>
        <v>1048540</v>
      </c>
      <c r="AD1013" s="33" t="str">
        <f t="shared" si="47"/>
        <v/>
      </c>
      <c r="AE1013" s="33" t="str" cm="1">
        <f t="array" ref="AE1013">LOOKUP(2,1/($AB$2:$AB$1000=AB1013),$AD$2:$AD$1000)</f>
        <v/>
      </c>
      <c r="AO1013" s="33" t="str" cm="1">
        <f t="array" ref="AO1013">IFERROR(INDEX($AA$2:$AA$282,MATCH(0,COUNTIF('Paste Here'!$AK$1:AK1012,$AA$2:$AA$282),0)),"")</f>
        <v/>
      </c>
      <c r="AP1013" s="33" t="str">
        <f>IF(COUNTIF('Paste Here'!$AK$2:AK1013,'Paste Here'!AK1013)=1,VALUE('Paste Here'!AK1013),"")</f>
        <v/>
      </c>
    </row>
    <row r="1014" spans="27:42" x14ac:dyDescent="0.3">
      <c r="AA1014" s="33" t="str">
        <f t="shared" si="46"/>
        <v/>
      </c>
      <c r="AC1014" s="33">
        <f t="shared" si="45"/>
        <v>1048540</v>
      </c>
      <c r="AD1014" s="33" t="str">
        <f t="shared" si="47"/>
        <v/>
      </c>
      <c r="AE1014" s="33" t="str" cm="1">
        <f t="array" ref="AE1014">LOOKUP(2,1/($AB$2:$AB$1000=AB1014),$AD$2:$AD$1000)</f>
        <v/>
      </c>
      <c r="AO1014" s="33" t="str" cm="1">
        <f t="array" ref="AO1014">IFERROR(INDEX($AA$2:$AA$282,MATCH(0,COUNTIF('Paste Here'!$AK$1:AK1013,$AA$2:$AA$282),0)),"")</f>
        <v/>
      </c>
      <c r="AP1014" s="33" t="str">
        <f>IF(COUNTIF('Paste Here'!$AK$2:AK1014,'Paste Here'!AK1014)=1,VALUE('Paste Here'!AK1014),"")</f>
        <v/>
      </c>
    </row>
    <row r="1015" spans="27:42" x14ac:dyDescent="0.3">
      <c r="AA1015" s="33" t="str">
        <f t="shared" si="46"/>
        <v/>
      </c>
      <c r="AC1015" s="33">
        <f t="shared" si="45"/>
        <v>1048540</v>
      </c>
      <c r="AD1015" s="33" t="str">
        <f t="shared" si="47"/>
        <v/>
      </c>
      <c r="AE1015" s="33" t="str" cm="1">
        <f t="array" ref="AE1015">LOOKUP(2,1/($AB$2:$AB$1000=AB1015),$AD$2:$AD$1000)</f>
        <v/>
      </c>
      <c r="AO1015" s="33" t="str" cm="1">
        <f t="array" ref="AO1015">IFERROR(INDEX($AA$2:$AA$282,MATCH(0,COUNTIF('Paste Here'!$AK$1:AK1014,$AA$2:$AA$282),0)),"")</f>
        <v/>
      </c>
      <c r="AP1015" s="33" t="str">
        <f>IF(COUNTIF('Paste Here'!$AK$2:AK1015,'Paste Here'!AK1015)=1,VALUE('Paste Here'!AK1015),"")</f>
        <v/>
      </c>
    </row>
    <row r="1016" spans="27:42" x14ac:dyDescent="0.3">
      <c r="AA1016" s="33" t="str">
        <f t="shared" si="46"/>
        <v/>
      </c>
      <c r="AC1016" s="33">
        <f t="shared" si="45"/>
        <v>1048540</v>
      </c>
      <c r="AD1016" s="33" t="str">
        <f t="shared" si="47"/>
        <v/>
      </c>
      <c r="AE1016" s="33" t="str" cm="1">
        <f t="array" ref="AE1016">LOOKUP(2,1/($AB$2:$AB$1000=AB1016),$AD$2:$AD$1000)</f>
        <v/>
      </c>
      <c r="AO1016" s="33" t="str" cm="1">
        <f t="array" ref="AO1016">IFERROR(INDEX($AA$2:$AA$282,MATCH(0,COUNTIF('Paste Here'!$AK$1:AK1015,$AA$2:$AA$282),0)),"")</f>
        <v/>
      </c>
      <c r="AP1016" s="33" t="str">
        <f>IF(COUNTIF('Paste Here'!$AK$2:AK1016,'Paste Here'!AK1016)=1,VALUE('Paste Here'!AK1016),"")</f>
        <v/>
      </c>
    </row>
    <row r="1017" spans="27:42" x14ac:dyDescent="0.3">
      <c r="AA1017" s="33" t="str">
        <f t="shared" si="46"/>
        <v/>
      </c>
      <c r="AC1017" s="33">
        <f t="shared" si="45"/>
        <v>1048540</v>
      </c>
      <c r="AD1017" s="33" t="str">
        <f t="shared" si="47"/>
        <v/>
      </c>
      <c r="AE1017" s="33" t="str" cm="1">
        <f t="array" ref="AE1017">LOOKUP(2,1/($AB$2:$AB$1000=AB1017),$AD$2:$AD$1000)</f>
        <v/>
      </c>
      <c r="AO1017" s="33" t="str" cm="1">
        <f t="array" ref="AO1017">IFERROR(INDEX($AA$2:$AA$282,MATCH(0,COUNTIF('Paste Here'!$AK$1:AK1016,$AA$2:$AA$282),0)),"")</f>
        <v/>
      </c>
      <c r="AP1017" s="33" t="str">
        <f>IF(COUNTIF('Paste Here'!$AK$2:AK1017,'Paste Here'!AK1017)=1,VALUE('Paste Here'!AK1017),"")</f>
        <v/>
      </c>
    </row>
    <row r="1018" spans="27:42" x14ac:dyDescent="0.3">
      <c r="AA1018" s="33" t="str">
        <f t="shared" si="46"/>
        <v/>
      </c>
      <c r="AC1018" s="33">
        <f t="shared" si="45"/>
        <v>1048540</v>
      </c>
      <c r="AD1018" s="33" t="str">
        <f t="shared" si="47"/>
        <v/>
      </c>
      <c r="AE1018" s="33" t="str" cm="1">
        <f t="array" ref="AE1018">LOOKUP(2,1/($AB$2:$AB$1000=AB1018),$AD$2:$AD$1000)</f>
        <v/>
      </c>
      <c r="AO1018" s="33" t="str" cm="1">
        <f t="array" ref="AO1018">IFERROR(INDEX($AA$2:$AA$282,MATCH(0,COUNTIF('Paste Here'!$AK$1:AK1017,$AA$2:$AA$282),0)),"")</f>
        <v/>
      </c>
      <c r="AP1018" s="33" t="str">
        <f>IF(COUNTIF('Paste Here'!$AK$2:AK1018,'Paste Here'!AK1018)=1,VALUE('Paste Here'!AK1018),"")</f>
        <v/>
      </c>
    </row>
    <row r="1019" spans="27:42" x14ac:dyDescent="0.3">
      <c r="AA1019" s="33" t="str">
        <f t="shared" si="46"/>
        <v/>
      </c>
      <c r="AC1019" s="33">
        <f t="shared" si="45"/>
        <v>1048540</v>
      </c>
      <c r="AD1019" s="33" t="str">
        <f t="shared" si="47"/>
        <v/>
      </c>
      <c r="AE1019" s="33" t="str" cm="1">
        <f t="array" ref="AE1019">LOOKUP(2,1/($AB$2:$AB$1000=AB1019),$AD$2:$AD$1000)</f>
        <v/>
      </c>
      <c r="AO1019" s="33" t="str" cm="1">
        <f t="array" ref="AO1019">IFERROR(INDEX($AA$2:$AA$282,MATCH(0,COUNTIF('Paste Here'!$AK$1:AK1018,$AA$2:$AA$282),0)),"")</f>
        <v/>
      </c>
      <c r="AP1019" s="33" t="str">
        <f>IF(COUNTIF('Paste Here'!$AK$2:AK1019,'Paste Here'!AK1019)=1,VALUE('Paste Here'!AK1019),"")</f>
        <v/>
      </c>
    </row>
    <row r="1020" spans="27:42" x14ac:dyDescent="0.3">
      <c r="AA1020" s="33" t="str">
        <f t="shared" si="46"/>
        <v/>
      </c>
      <c r="AC1020" s="33">
        <f t="shared" si="45"/>
        <v>1048540</v>
      </c>
      <c r="AD1020" s="33" t="str">
        <f t="shared" si="47"/>
        <v/>
      </c>
      <c r="AE1020" s="33" t="str" cm="1">
        <f t="array" ref="AE1020">LOOKUP(2,1/($AB$2:$AB$1000=AB1020),$AD$2:$AD$1000)</f>
        <v/>
      </c>
      <c r="AO1020" s="33" t="str" cm="1">
        <f t="array" ref="AO1020">IFERROR(INDEX($AA$2:$AA$282,MATCH(0,COUNTIF('Paste Here'!$AK$1:AK1019,$AA$2:$AA$282),0)),"")</f>
        <v/>
      </c>
      <c r="AP1020" s="33" t="str">
        <f>IF(COUNTIF('Paste Here'!$AK$2:AK1020,'Paste Here'!AK1020)=1,VALUE('Paste Here'!AK1020),"")</f>
        <v/>
      </c>
    </row>
    <row r="1021" spans="27:42" x14ac:dyDescent="0.3">
      <c r="AA1021" s="33" t="str">
        <f t="shared" si="46"/>
        <v/>
      </c>
      <c r="AC1021" s="33">
        <f t="shared" si="45"/>
        <v>1048540</v>
      </c>
      <c r="AD1021" s="33" t="str">
        <f t="shared" si="47"/>
        <v/>
      </c>
      <c r="AE1021" s="33" t="str" cm="1">
        <f t="array" ref="AE1021">LOOKUP(2,1/($AB$2:$AB$1000=AB1021),$AD$2:$AD$1000)</f>
        <v/>
      </c>
      <c r="AO1021" s="33" t="str" cm="1">
        <f t="array" ref="AO1021">IFERROR(INDEX($AA$2:$AA$282,MATCH(0,COUNTIF('Paste Here'!$AK$1:AK1020,$AA$2:$AA$282),0)),"")</f>
        <v/>
      </c>
      <c r="AP1021" s="33" t="str">
        <f>IF(COUNTIF('Paste Here'!$AK$2:AK1021,'Paste Here'!AK1021)=1,VALUE('Paste Here'!AK1021),"")</f>
        <v/>
      </c>
    </row>
    <row r="1022" spans="27:42" x14ac:dyDescent="0.3">
      <c r="AA1022" s="33" t="str">
        <f t="shared" si="46"/>
        <v/>
      </c>
      <c r="AC1022" s="33">
        <f t="shared" si="45"/>
        <v>1048540</v>
      </c>
      <c r="AD1022" s="33" t="str">
        <f t="shared" si="47"/>
        <v/>
      </c>
      <c r="AE1022" s="33" t="str" cm="1">
        <f t="array" ref="AE1022">LOOKUP(2,1/($AB$2:$AB$1000=AB1022),$AD$2:$AD$1000)</f>
        <v/>
      </c>
      <c r="AO1022" s="33" t="str" cm="1">
        <f t="array" ref="AO1022">IFERROR(INDEX($AA$2:$AA$282,MATCH(0,COUNTIF('Paste Here'!$AK$1:AK1021,$AA$2:$AA$282),0)),"")</f>
        <v/>
      </c>
      <c r="AP1022" s="33" t="str">
        <f>IF(COUNTIF('Paste Here'!$AK$2:AK1022,'Paste Here'!AK1022)=1,VALUE('Paste Here'!AK1022),"")</f>
        <v/>
      </c>
    </row>
    <row r="1023" spans="27:42" x14ac:dyDescent="0.3">
      <c r="AA1023" s="33" t="str">
        <f t="shared" si="46"/>
        <v/>
      </c>
      <c r="AC1023" s="33">
        <f t="shared" si="45"/>
        <v>1048540</v>
      </c>
      <c r="AD1023" s="33" t="str">
        <f t="shared" si="47"/>
        <v/>
      </c>
      <c r="AE1023" s="33" t="str" cm="1">
        <f t="array" ref="AE1023">LOOKUP(2,1/($AB$2:$AB$1000=AB1023),$AD$2:$AD$1000)</f>
        <v/>
      </c>
      <c r="AO1023" s="33" t="str" cm="1">
        <f t="array" ref="AO1023">IFERROR(INDEX($AA$2:$AA$282,MATCH(0,COUNTIF('Paste Here'!$AK$1:AK1022,$AA$2:$AA$282),0)),"")</f>
        <v/>
      </c>
      <c r="AP1023" s="33" t="str">
        <f>IF(COUNTIF('Paste Here'!$AK$2:AK1023,'Paste Here'!AK1023)=1,VALUE('Paste Here'!AK1023),"")</f>
        <v/>
      </c>
    </row>
    <row r="1024" spans="27:42" x14ac:dyDescent="0.3">
      <c r="AA1024" s="33" t="str">
        <f t="shared" si="46"/>
        <v/>
      </c>
      <c r="AC1024" s="33">
        <f t="shared" si="45"/>
        <v>1048540</v>
      </c>
      <c r="AD1024" s="33" t="str">
        <f t="shared" si="47"/>
        <v/>
      </c>
      <c r="AE1024" s="33" t="str" cm="1">
        <f t="array" ref="AE1024">LOOKUP(2,1/($AB$2:$AB$1000=AB1024),$AD$2:$AD$1000)</f>
        <v/>
      </c>
      <c r="AO1024" s="33" t="str" cm="1">
        <f t="array" ref="AO1024">IFERROR(INDEX($AA$2:$AA$282,MATCH(0,COUNTIF('Paste Here'!$AK$1:AK1023,$AA$2:$AA$282),0)),"")</f>
        <v/>
      </c>
      <c r="AP1024" s="33" t="str">
        <f>IF(COUNTIF('Paste Here'!$AK$2:AK1024,'Paste Here'!AK1024)=1,VALUE('Paste Here'!AK1024),"")</f>
        <v/>
      </c>
    </row>
    <row r="1025" spans="27:42" x14ac:dyDescent="0.3">
      <c r="AA1025" s="33" t="str">
        <f t="shared" si="46"/>
        <v/>
      </c>
      <c r="AC1025" s="33">
        <f t="shared" si="45"/>
        <v>1048540</v>
      </c>
      <c r="AD1025" s="33" t="str">
        <f t="shared" si="47"/>
        <v/>
      </c>
      <c r="AE1025" s="33" t="str" cm="1">
        <f t="array" ref="AE1025">LOOKUP(2,1/($AB$2:$AB$1000=AB1025),$AD$2:$AD$1000)</f>
        <v/>
      </c>
      <c r="AO1025" s="33" t="str" cm="1">
        <f t="array" ref="AO1025">IFERROR(INDEX($AA$2:$AA$282,MATCH(0,COUNTIF('Paste Here'!$AK$1:AK1024,$AA$2:$AA$282),0)),"")</f>
        <v/>
      </c>
      <c r="AP1025" s="33" t="str">
        <f>IF(COUNTIF('Paste Here'!$AK$2:AK1025,'Paste Here'!AK1025)=1,VALUE('Paste Here'!AK1025),"")</f>
        <v/>
      </c>
    </row>
    <row r="1026" spans="27:42" x14ac:dyDescent="0.3">
      <c r="AA1026" s="33" t="str">
        <f t="shared" si="46"/>
        <v/>
      </c>
      <c r="AC1026" s="33">
        <f t="shared" ref="AC1026:AC1089" si="48">COUNTIF($AA:$AA,AA1026)</f>
        <v>1048540</v>
      </c>
      <c r="AD1026" s="33" t="str">
        <f t="shared" si="47"/>
        <v/>
      </c>
      <c r="AE1026" s="33" t="str" cm="1">
        <f t="array" ref="AE1026">LOOKUP(2,1/($AB$2:$AB$1000=AB1026),$AD$2:$AD$1000)</f>
        <v/>
      </c>
      <c r="AO1026" s="33" t="str" cm="1">
        <f t="array" ref="AO1026">IFERROR(INDEX($AA$2:$AA$282,MATCH(0,COUNTIF('Paste Here'!$AK$1:AK1025,$AA$2:$AA$282),0)),"")</f>
        <v/>
      </c>
      <c r="AP1026" s="33" t="str">
        <f>IF(COUNTIF('Paste Here'!$AK$2:AK1026,'Paste Here'!AK1026)=1,VALUE('Paste Here'!AK1026),"")</f>
        <v/>
      </c>
    </row>
    <row r="1027" spans="27:42" x14ac:dyDescent="0.3">
      <c r="AA1027" s="33" t="str">
        <f t="shared" ref="AA1027:AA1090" si="49">IFERROR(MID(G1027,FIND("LR-",G1027)+3,FIND("-",G1027,FIND("LR-",G1027)+3)-FIND("LR-",G1027)-3),"")</f>
        <v/>
      </c>
      <c r="AC1027" s="33">
        <f t="shared" si="48"/>
        <v>1048540</v>
      </c>
      <c r="AD1027" s="33" t="str">
        <f t="shared" ref="AD1027:AD1090" si="50">IF(F1027=0,"",F1027)</f>
        <v/>
      </c>
      <c r="AE1027" s="33" t="str" cm="1">
        <f t="array" ref="AE1027">LOOKUP(2,1/($AB$2:$AB$1000=AB1027),$AD$2:$AD$1000)</f>
        <v/>
      </c>
      <c r="AO1027" s="33" t="str" cm="1">
        <f t="array" ref="AO1027">IFERROR(INDEX($AA$2:$AA$282,MATCH(0,COUNTIF('Paste Here'!$AK$1:AK1026,$AA$2:$AA$282),0)),"")</f>
        <v/>
      </c>
      <c r="AP1027" s="33" t="str">
        <f>IF(COUNTIF('Paste Here'!$AK$2:AK1027,'Paste Here'!AK1027)=1,VALUE('Paste Here'!AK1027),"")</f>
        <v/>
      </c>
    </row>
    <row r="1028" spans="27:42" x14ac:dyDescent="0.3">
      <c r="AA1028" s="33" t="str">
        <f t="shared" si="49"/>
        <v/>
      </c>
      <c r="AC1028" s="33">
        <f t="shared" si="48"/>
        <v>1048540</v>
      </c>
      <c r="AD1028" s="33" t="str">
        <f t="shared" si="50"/>
        <v/>
      </c>
      <c r="AE1028" s="33" t="str" cm="1">
        <f t="array" ref="AE1028">LOOKUP(2,1/($AB$2:$AB$1000=AB1028),$AD$2:$AD$1000)</f>
        <v/>
      </c>
      <c r="AO1028" s="33" t="str" cm="1">
        <f t="array" ref="AO1028">IFERROR(INDEX($AA$2:$AA$282,MATCH(0,COUNTIF('Paste Here'!$AK$1:AK1027,$AA$2:$AA$282),0)),"")</f>
        <v/>
      </c>
      <c r="AP1028" s="33" t="str">
        <f>IF(COUNTIF('Paste Here'!$AK$2:AK1028,'Paste Here'!AK1028)=1,VALUE('Paste Here'!AK1028),"")</f>
        <v/>
      </c>
    </row>
    <row r="1029" spans="27:42" x14ac:dyDescent="0.3">
      <c r="AA1029" s="33" t="str">
        <f t="shared" si="49"/>
        <v/>
      </c>
      <c r="AC1029" s="33">
        <f t="shared" si="48"/>
        <v>1048540</v>
      </c>
      <c r="AD1029" s="33" t="str">
        <f t="shared" si="50"/>
        <v/>
      </c>
      <c r="AE1029" s="33" t="str" cm="1">
        <f t="array" ref="AE1029">LOOKUP(2,1/($AB$2:$AB$1000=AB1029),$AD$2:$AD$1000)</f>
        <v/>
      </c>
      <c r="AO1029" s="33" t="str" cm="1">
        <f t="array" ref="AO1029">IFERROR(INDEX($AA$2:$AA$282,MATCH(0,COUNTIF('Paste Here'!$AK$1:AK1028,$AA$2:$AA$282),0)),"")</f>
        <v/>
      </c>
      <c r="AP1029" s="33" t="str">
        <f>IF(COUNTIF('Paste Here'!$AK$2:AK1029,'Paste Here'!AK1029)=1,VALUE('Paste Here'!AK1029),"")</f>
        <v/>
      </c>
    </row>
    <row r="1030" spans="27:42" x14ac:dyDescent="0.3">
      <c r="AA1030" s="33" t="str">
        <f t="shared" si="49"/>
        <v/>
      </c>
      <c r="AC1030" s="33">
        <f t="shared" si="48"/>
        <v>1048540</v>
      </c>
      <c r="AD1030" s="33" t="str">
        <f t="shared" si="50"/>
        <v/>
      </c>
      <c r="AE1030" s="33" t="str" cm="1">
        <f t="array" ref="AE1030">LOOKUP(2,1/($AB$2:$AB$1000=AB1030),$AD$2:$AD$1000)</f>
        <v/>
      </c>
      <c r="AO1030" s="33" t="str" cm="1">
        <f t="array" ref="AO1030">IFERROR(INDEX($AA$2:$AA$282,MATCH(0,COUNTIF('Paste Here'!$AK$1:AK1029,$AA$2:$AA$282),0)),"")</f>
        <v/>
      </c>
      <c r="AP1030" s="33" t="str">
        <f>IF(COUNTIF('Paste Here'!$AK$2:AK1030,'Paste Here'!AK1030)=1,VALUE('Paste Here'!AK1030),"")</f>
        <v/>
      </c>
    </row>
    <row r="1031" spans="27:42" x14ac:dyDescent="0.3">
      <c r="AA1031" s="33" t="str">
        <f t="shared" si="49"/>
        <v/>
      </c>
      <c r="AC1031" s="33">
        <f t="shared" si="48"/>
        <v>1048540</v>
      </c>
      <c r="AD1031" s="33" t="str">
        <f t="shared" si="50"/>
        <v/>
      </c>
      <c r="AE1031" s="33" t="str" cm="1">
        <f t="array" ref="AE1031">LOOKUP(2,1/($AB$2:$AB$1000=AB1031),$AD$2:$AD$1000)</f>
        <v/>
      </c>
      <c r="AO1031" s="33" t="str" cm="1">
        <f t="array" ref="AO1031">IFERROR(INDEX($AA$2:$AA$282,MATCH(0,COUNTIF('Paste Here'!$AK$1:AK1030,$AA$2:$AA$282),0)),"")</f>
        <v/>
      </c>
      <c r="AP1031" s="33" t="str">
        <f>IF(COUNTIF('Paste Here'!$AK$2:AK1031,'Paste Here'!AK1031)=1,VALUE('Paste Here'!AK1031),"")</f>
        <v/>
      </c>
    </row>
    <row r="1032" spans="27:42" x14ac:dyDescent="0.3">
      <c r="AA1032" s="33" t="str">
        <f t="shared" si="49"/>
        <v/>
      </c>
      <c r="AC1032" s="33">
        <f t="shared" si="48"/>
        <v>1048540</v>
      </c>
      <c r="AD1032" s="33" t="str">
        <f t="shared" si="50"/>
        <v/>
      </c>
      <c r="AE1032" s="33" t="str" cm="1">
        <f t="array" ref="AE1032">LOOKUP(2,1/($AB$2:$AB$1000=AB1032),$AD$2:$AD$1000)</f>
        <v/>
      </c>
      <c r="AO1032" s="33" t="str" cm="1">
        <f t="array" ref="AO1032">IFERROR(INDEX($AA$2:$AA$282,MATCH(0,COUNTIF('Paste Here'!$AK$1:AK1031,$AA$2:$AA$282),0)),"")</f>
        <v/>
      </c>
      <c r="AP1032" s="33" t="str">
        <f>IF(COUNTIF('Paste Here'!$AK$2:AK1032,'Paste Here'!AK1032)=1,VALUE('Paste Here'!AK1032),"")</f>
        <v/>
      </c>
    </row>
    <row r="1033" spans="27:42" x14ac:dyDescent="0.3">
      <c r="AA1033" s="33" t="str">
        <f t="shared" si="49"/>
        <v/>
      </c>
      <c r="AC1033" s="33">
        <f t="shared" si="48"/>
        <v>1048540</v>
      </c>
      <c r="AD1033" s="33" t="str">
        <f t="shared" si="50"/>
        <v/>
      </c>
      <c r="AE1033" s="33" t="str" cm="1">
        <f t="array" ref="AE1033">LOOKUP(2,1/($AB$2:$AB$1000=AB1033),$AD$2:$AD$1000)</f>
        <v/>
      </c>
      <c r="AO1033" s="33" t="str" cm="1">
        <f t="array" ref="AO1033">IFERROR(INDEX($AA$2:$AA$282,MATCH(0,COUNTIF('Paste Here'!$AK$1:AK1032,$AA$2:$AA$282),0)),"")</f>
        <v/>
      </c>
      <c r="AP1033" s="33" t="str">
        <f>IF(COUNTIF('Paste Here'!$AK$2:AK1033,'Paste Here'!AK1033)=1,VALUE('Paste Here'!AK1033),"")</f>
        <v/>
      </c>
    </row>
    <row r="1034" spans="27:42" x14ac:dyDescent="0.3">
      <c r="AA1034" s="33" t="str">
        <f t="shared" si="49"/>
        <v/>
      </c>
      <c r="AC1034" s="33">
        <f t="shared" si="48"/>
        <v>1048540</v>
      </c>
      <c r="AD1034" s="33" t="str">
        <f t="shared" si="50"/>
        <v/>
      </c>
      <c r="AE1034" s="33" t="str" cm="1">
        <f t="array" ref="AE1034">LOOKUP(2,1/($AB$2:$AB$1000=AB1034),$AD$2:$AD$1000)</f>
        <v/>
      </c>
      <c r="AO1034" s="33" t="str" cm="1">
        <f t="array" ref="AO1034">IFERROR(INDEX($AA$2:$AA$282,MATCH(0,COUNTIF('Paste Here'!$AK$1:AK1033,$AA$2:$AA$282),0)),"")</f>
        <v/>
      </c>
      <c r="AP1034" s="33" t="str">
        <f>IF(COUNTIF('Paste Here'!$AK$2:AK1034,'Paste Here'!AK1034)=1,VALUE('Paste Here'!AK1034),"")</f>
        <v/>
      </c>
    </row>
    <row r="1035" spans="27:42" x14ac:dyDescent="0.3">
      <c r="AA1035" s="33" t="str">
        <f t="shared" si="49"/>
        <v/>
      </c>
      <c r="AC1035" s="33">
        <f t="shared" si="48"/>
        <v>1048540</v>
      </c>
      <c r="AD1035" s="33" t="str">
        <f t="shared" si="50"/>
        <v/>
      </c>
      <c r="AE1035" s="33" t="str" cm="1">
        <f t="array" ref="AE1035">LOOKUP(2,1/($AB$2:$AB$1000=AB1035),$AD$2:$AD$1000)</f>
        <v/>
      </c>
      <c r="AO1035" s="33" t="str" cm="1">
        <f t="array" ref="AO1035">IFERROR(INDEX($AA$2:$AA$282,MATCH(0,COUNTIF('Paste Here'!$AK$1:AK1034,$AA$2:$AA$282),0)),"")</f>
        <v/>
      </c>
      <c r="AP1035" s="33" t="str">
        <f>IF(COUNTIF('Paste Here'!$AK$2:AK1035,'Paste Here'!AK1035)=1,VALUE('Paste Here'!AK1035),"")</f>
        <v/>
      </c>
    </row>
    <row r="1036" spans="27:42" x14ac:dyDescent="0.3">
      <c r="AA1036" s="33" t="str">
        <f t="shared" si="49"/>
        <v/>
      </c>
      <c r="AC1036" s="33">
        <f t="shared" si="48"/>
        <v>1048540</v>
      </c>
      <c r="AD1036" s="33" t="str">
        <f t="shared" si="50"/>
        <v/>
      </c>
      <c r="AE1036" s="33" t="str" cm="1">
        <f t="array" ref="AE1036">LOOKUP(2,1/($AB$2:$AB$1000=AB1036),$AD$2:$AD$1000)</f>
        <v/>
      </c>
      <c r="AO1036" s="33" t="str" cm="1">
        <f t="array" ref="AO1036">IFERROR(INDEX($AA$2:$AA$282,MATCH(0,COUNTIF('Paste Here'!$AK$1:AK1035,$AA$2:$AA$282),0)),"")</f>
        <v/>
      </c>
      <c r="AP1036" s="33" t="str">
        <f>IF(COUNTIF('Paste Here'!$AK$2:AK1036,'Paste Here'!AK1036)=1,VALUE('Paste Here'!AK1036),"")</f>
        <v/>
      </c>
    </row>
    <row r="1037" spans="27:42" x14ac:dyDescent="0.3">
      <c r="AA1037" s="33" t="str">
        <f t="shared" si="49"/>
        <v/>
      </c>
      <c r="AC1037" s="33">
        <f t="shared" si="48"/>
        <v>1048540</v>
      </c>
      <c r="AD1037" s="33" t="str">
        <f t="shared" si="50"/>
        <v/>
      </c>
      <c r="AE1037" s="33" t="str" cm="1">
        <f t="array" ref="AE1037">LOOKUP(2,1/($AB$2:$AB$1000=AB1037),$AD$2:$AD$1000)</f>
        <v/>
      </c>
      <c r="AO1037" s="33" t="str" cm="1">
        <f t="array" ref="AO1037">IFERROR(INDEX($AA$2:$AA$282,MATCH(0,COUNTIF('Paste Here'!$AK$1:AK1036,$AA$2:$AA$282),0)),"")</f>
        <v/>
      </c>
      <c r="AP1037" s="33" t="str">
        <f>IF(COUNTIF('Paste Here'!$AK$2:AK1037,'Paste Here'!AK1037)=1,VALUE('Paste Here'!AK1037),"")</f>
        <v/>
      </c>
    </row>
    <row r="1038" spans="27:42" x14ac:dyDescent="0.3">
      <c r="AA1038" s="33" t="str">
        <f t="shared" si="49"/>
        <v/>
      </c>
      <c r="AC1038" s="33">
        <f t="shared" si="48"/>
        <v>1048540</v>
      </c>
      <c r="AD1038" s="33" t="str">
        <f t="shared" si="50"/>
        <v/>
      </c>
      <c r="AE1038" s="33" t="str" cm="1">
        <f t="array" ref="AE1038">LOOKUP(2,1/($AB$2:$AB$1000=AB1038),$AD$2:$AD$1000)</f>
        <v/>
      </c>
      <c r="AO1038" s="33" t="str" cm="1">
        <f t="array" ref="AO1038">IFERROR(INDEX($AA$2:$AA$282,MATCH(0,COUNTIF('Paste Here'!$AK$1:AK1037,$AA$2:$AA$282),0)),"")</f>
        <v/>
      </c>
      <c r="AP1038" s="33" t="str">
        <f>IF(COUNTIF('Paste Here'!$AK$2:AK1038,'Paste Here'!AK1038)=1,VALUE('Paste Here'!AK1038),"")</f>
        <v/>
      </c>
    </row>
    <row r="1039" spans="27:42" x14ac:dyDescent="0.3">
      <c r="AA1039" s="33" t="str">
        <f t="shared" si="49"/>
        <v/>
      </c>
      <c r="AC1039" s="33">
        <f t="shared" si="48"/>
        <v>1048540</v>
      </c>
      <c r="AD1039" s="33" t="str">
        <f t="shared" si="50"/>
        <v/>
      </c>
      <c r="AE1039" s="33" t="str" cm="1">
        <f t="array" ref="AE1039">LOOKUP(2,1/($AB$2:$AB$1000=AB1039),$AD$2:$AD$1000)</f>
        <v/>
      </c>
      <c r="AO1039" s="33" t="str" cm="1">
        <f t="array" ref="AO1039">IFERROR(INDEX($AA$2:$AA$282,MATCH(0,COUNTIF('Paste Here'!$AK$1:AK1038,$AA$2:$AA$282),0)),"")</f>
        <v/>
      </c>
      <c r="AP1039" s="33" t="str">
        <f>IF(COUNTIF('Paste Here'!$AK$2:AK1039,'Paste Here'!AK1039)=1,VALUE('Paste Here'!AK1039),"")</f>
        <v/>
      </c>
    </row>
    <row r="1040" spans="27:42" x14ac:dyDescent="0.3">
      <c r="AA1040" s="33" t="str">
        <f t="shared" si="49"/>
        <v/>
      </c>
      <c r="AC1040" s="33">
        <f t="shared" si="48"/>
        <v>1048540</v>
      </c>
      <c r="AD1040" s="33" t="str">
        <f t="shared" si="50"/>
        <v/>
      </c>
      <c r="AE1040" s="33" t="str" cm="1">
        <f t="array" ref="AE1040">LOOKUP(2,1/($AB$2:$AB$1000=AB1040),$AD$2:$AD$1000)</f>
        <v/>
      </c>
      <c r="AO1040" s="33" t="str" cm="1">
        <f t="array" ref="AO1040">IFERROR(INDEX($AA$2:$AA$282,MATCH(0,COUNTIF('Paste Here'!$AK$1:AK1039,$AA$2:$AA$282),0)),"")</f>
        <v/>
      </c>
      <c r="AP1040" s="33" t="str">
        <f>IF(COUNTIF('Paste Here'!$AK$2:AK1040,'Paste Here'!AK1040)=1,VALUE('Paste Here'!AK1040),"")</f>
        <v/>
      </c>
    </row>
    <row r="1041" spans="27:42" x14ac:dyDescent="0.3">
      <c r="AA1041" s="33" t="str">
        <f t="shared" si="49"/>
        <v/>
      </c>
      <c r="AC1041" s="33">
        <f t="shared" si="48"/>
        <v>1048540</v>
      </c>
      <c r="AD1041" s="33" t="str">
        <f t="shared" si="50"/>
        <v/>
      </c>
      <c r="AE1041" s="33" t="str" cm="1">
        <f t="array" ref="AE1041">LOOKUP(2,1/($AB$2:$AB$1000=AB1041),$AD$2:$AD$1000)</f>
        <v/>
      </c>
      <c r="AO1041" s="33" t="str" cm="1">
        <f t="array" ref="AO1041">IFERROR(INDEX($AA$2:$AA$282,MATCH(0,COUNTIF('Paste Here'!$AK$1:AK1040,$AA$2:$AA$282),0)),"")</f>
        <v/>
      </c>
      <c r="AP1041" s="33" t="str">
        <f>IF(COUNTIF('Paste Here'!$AK$2:AK1041,'Paste Here'!AK1041)=1,VALUE('Paste Here'!AK1041),"")</f>
        <v/>
      </c>
    </row>
    <row r="1042" spans="27:42" x14ac:dyDescent="0.3">
      <c r="AA1042" s="33" t="str">
        <f t="shared" si="49"/>
        <v/>
      </c>
      <c r="AC1042" s="33">
        <f t="shared" si="48"/>
        <v>1048540</v>
      </c>
      <c r="AD1042" s="33" t="str">
        <f t="shared" si="50"/>
        <v/>
      </c>
      <c r="AE1042" s="33" t="str" cm="1">
        <f t="array" ref="AE1042">LOOKUP(2,1/($AB$2:$AB$1000=AB1042),$AD$2:$AD$1000)</f>
        <v/>
      </c>
      <c r="AO1042" s="33" t="str" cm="1">
        <f t="array" ref="AO1042">IFERROR(INDEX($AA$2:$AA$282,MATCH(0,COUNTIF('Paste Here'!$AK$1:AK1041,$AA$2:$AA$282),0)),"")</f>
        <v/>
      </c>
      <c r="AP1042" s="33" t="str">
        <f>IF(COUNTIF('Paste Here'!$AK$2:AK1042,'Paste Here'!AK1042)=1,VALUE('Paste Here'!AK1042),"")</f>
        <v/>
      </c>
    </row>
    <row r="1043" spans="27:42" x14ac:dyDescent="0.3">
      <c r="AA1043" s="33" t="str">
        <f t="shared" si="49"/>
        <v/>
      </c>
      <c r="AC1043" s="33">
        <f t="shared" si="48"/>
        <v>1048540</v>
      </c>
      <c r="AD1043" s="33" t="str">
        <f t="shared" si="50"/>
        <v/>
      </c>
      <c r="AE1043" s="33" t="str" cm="1">
        <f t="array" ref="AE1043">LOOKUP(2,1/($AB$2:$AB$1000=AB1043),$AD$2:$AD$1000)</f>
        <v/>
      </c>
      <c r="AO1043" s="33" t="str" cm="1">
        <f t="array" ref="AO1043">IFERROR(INDEX($AA$2:$AA$282,MATCH(0,COUNTIF('Paste Here'!$AK$1:AK1042,$AA$2:$AA$282),0)),"")</f>
        <v/>
      </c>
      <c r="AP1043" s="33" t="str">
        <f>IF(COUNTIF('Paste Here'!$AK$2:AK1043,'Paste Here'!AK1043)=1,VALUE('Paste Here'!AK1043),"")</f>
        <v/>
      </c>
    </row>
    <row r="1044" spans="27:42" x14ac:dyDescent="0.3">
      <c r="AA1044" s="33" t="str">
        <f t="shared" si="49"/>
        <v/>
      </c>
      <c r="AC1044" s="33">
        <f t="shared" si="48"/>
        <v>1048540</v>
      </c>
      <c r="AD1044" s="33" t="str">
        <f t="shared" si="50"/>
        <v/>
      </c>
      <c r="AE1044" s="33" t="str" cm="1">
        <f t="array" ref="AE1044">LOOKUP(2,1/($AB$2:$AB$1000=AB1044),$AD$2:$AD$1000)</f>
        <v/>
      </c>
      <c r="AO1044" s="33" t="str" cm="1">
        <f t="array" ref="AO1044">IFERROR(INDEX($AA$2:$AA$282,MATCH(0,COUNTIF('Paste Here'!$AK$1:AK1043,$AA$2:$AA$282),0)),"")</f>
        <v/>
      </c>
      <c r="AP1044" s="33" t="str">
        <f>IF(COUNTIF('Paste Here'!$AK$2:AK1044,'Paste Here'!AK1044)=1,VALUE('Paste Here'!AK1044),"")</f>
        <v/>
      </c>
    </row>
    <row r="1045" spans="27:42" x14ac:dyDescent="0.3">
      <c r="AA1045" s="33" t="str">
        <f t="shared" si="49"/>
        <v/>
      </c>
      <c r="AC1045" s="33">
        <f t="shared" si="48"/>
        <v>1048540</v>
      </c>
      <c r="AD1045" s="33" t="str">
        <f t="shared" si="50"/>
        <v/>
      </c>
      <c r="AE1045" s="33" t="str" cm="1">
        <f t="array" ref="AE1045">LOOKUP(2,1/($AB$2:$AB$1000=AB1045),$AD$2:$AD$1000)</f>
        <v/>
      </c>
      <c r="AO1045" s="33" t="str" cm="1">
        <f t="array" ref="AO1045">IFERROR(INDEX($AA$2:$AA$282,MATCH(0,COUNTIF('Paste Here'!$AK$1:AK1044,$AA$2:$AA$282),0)),"")</f>
        <v/>
      </c>
      <c r="AP1045" s="33" t="str">
        <f>IF(COUNTIF('Paste Here'!$AK$2:AK1045,'Paste Here'!AK1045)=1,VALUE('Paste Here'!AK1045),"")</f>
        <v/>
      </c>
    </row>
    <row r="1046" spans="27:42" x14ac:dyDescent="0.3">
      <c r="AA1046" s="33" t="str">
        <f t="shared" si="49"/>
        <v/>
      </c>
      <c r="AC1046" s="33">
        <f t="shared" si="48"/>
        <v>1048540</v>
      </c>
      <c r="AD1046" s="33" t="str">
        <f t="shared" si="50"/>
        <v/>
      </c>
      <c r="AE1046" s="33" t="str" cm="1">
        <f t="array" ref="AE1046">LOOKUP(2,1/($AB$2:$AB$1000=AB1046),$AD$2:$AD$1000)</f>
        <v/>
      </c>
      <c r="AO1046" s="33" t="str" cm="1">
        <f t="array" ref="AO1046">IFERROR(INDEX($AA$2:$AA$282,MATCH(0,COUNTIF('Paste Here'!$AK$1:AK1045,$AA$2:$AA$282),0)),"")</f>
        <v/>
      </c>
      <c r="AP1046" s="33" t="str">
        <f>IF(COUNTIF('Paste Here'!$AK$2:AK1046,'Paste Here'!AK1046)=1,VALUE('Paste Here'!AK1046),"")</f>
        <v/>
      </c>
    </row>
    <row r="1047" spans="27:42" x14ac:dyDescent="0.3">
      <c r="AA1047" s="33" t="str">
        <f t="shared" si="49"/>
        <v/>
      </c>
      <c r="AC1047" s="33">
        <f t="shared" si="48"/>
        <v>1048540</v>
      </c>
      <c r="AD1047" s="33" t="str">
        <f t="shared" si="50"/>
        <v/>
      </c>
      <c r="AE1047" s="33" t="str" cm="1">
        <f t="array" ref="AE1047">LOOKUP(2,1/($AB$2:$AB$1000=AB1047),$AD$2:$AD$1000)</f>
        <v/>
      </c>
      <c r="AO1047" s="33" t="str" cm="1">
        <f t="array" ref="AO1047">IFERROR(INDEX($AA$2:$AA$282,MATCH(0,COUNTIF('Paste Here'!$AK$1:AK1046,$AA$2:$AA$282),0)),"")</f>
        <v/>
      </c>
      <c r="AP1047" s="33" t="str">
        <f>IF(COUNTIF('Paste Here'!$AK$2:AK1047,'Paste Here'!AK1047)=1,VALUE('Paste Here'!AK1047),"")</f>
        <v/>
      </c>
    </row>
    <row r="1048" spans="27:42" x14ac:dyDescent="0.3">
      <c r="AA1048" s="33" t="str">
        <f t="shared" si="49"/>
        <v/>
      </c>
      <c r="AC1048" s="33">
        <f t="shared" si="48"/>
        <v>1048540</v>
      </c>
      <c r="AD1048" s="33" t="str">
        <f t="shared" si="50"/>
        <v/>
      </c>
      <c r="AE1048" s="33" t="str" cm="1">
        <f t="array" ref="AE1048">LOOKUP(2,1/($AB$2:$AB$1000=AB1048),$AD$2:$AD$1000)</f>
        <v/>
      </c>
      <c r="AO1048" s="33" t="str" cm="1">
        <f t="array" ref="AO1048">IFERROR(INDEX($AA$2:$AA$282,MATCH(0,COUNTIF('Paste Here'!$AK$1:AK1047,$AA$2:$AA$282),0)),"")</f>
        <v/>
      </c>
      <c r="AP1048" s="33" t="str">
        <f>IF(COUNTIF('Paste Here'!$AK$2:AK1048,'Paste Here'!AK1048)=1,VALUE('Paste Here'!AK1048),"")</f>
        <v/>
      </c>
    </row>
    <row r="1049" spans="27:42" x14ac:dyDescent="0.3">
      <c r="AA1049" s="33" t="str">
        <f t="shared" si="49"/>
        <v/>
      </c>
      <c r="AC1049" s="33">
        <f t="shared" si="48"/>
        <v>1048540</v>
      </c>
      <c r="AD1049" s="33" t="str">
        <f t="shared" si="50"/>
        <v/>
      </c>
      <c r="AE1049" s="33" t="str" cm="1">
        <f t="array" ref="AE1049">LOOKUP(2,1/($AB$2:$AB$1000=AB1049),$AD$2:$AD$1000)</f>
        <v/>
      </c>
      <c r="AO1049" s="33" t="str" cm="1">
        <f t="array" ref="AO1049">IFERROR(INDEX($AA$2:$AA$282,MATCH(0,COUNTIF('Paste Here'!$AK$1:AK1048,$AA$2:$AA$282),0)),"")</f>
        <v/>
      </c>
      <c r="AP1049" s="33" t="str">
        <f>IF(COUNTIF('Paste Here'!$AK$2:AK1049,'Paste Here'!AK1049)=1,VALUE('Paste Here'!AK1049),"")</f>
        <v/>
      </c>
    </row>
    <row r="1050" spans="27:42" x14ac:dyDescent="0.3">
      <c r="AA1050" s="33" t="str">
        <f t="shared" si="49"/>
        <v/>
      </c>
      <c r="AC1050" s="33">
        <f t="shared" si="48"/>
        <v>1048540</v>
      </c>
      <c r="AD1050" s="33" t="str">
        <f t="shared" si="50"/>
        <v/>
      </c>
      <c r="AE1050" s="33" t="str" cm="1">
        <f t="array" ref="AE1050">LOOKUP(2,1/($AB$2:$AB$1000=AB1050),$AD$2:$AD$1000)</f>
        <v/>
      </c>
      <c r="AO1050" s="33" t="str" cm="1">
        <f t="array" ref="AO1050">IFERROR(INDEX($AA$2:$AA$282,MATCH(0,COUNTIF('Paste Here'!$AK$1:AK1049,$AA$2:$AA$282),0)),"")</f>
        <v/>
      </c>
      <c r="AP1050" s="33" t="str">
        <f>IF(COUNTIF('Paste Here'!$AK$2:AK1050,'Paste Here'!AK1050)=1,VALUE('Paste Here'!AK1050),"")</f>
        <v/>
      </c>
    </row>
    <row r="1051" spans="27:42" x14ac:dyDescent="0.3">
      <c r="AA1051" s="33" t="str">
        <f t="shared" si="49"/>
        <v/>
      </c>
      <c r="AC1051" s="33">
        <f t="shared" si="48"/>
        <v>1048540</v>
      </c>
      <c r="AD1051" s="33" t="str">
        <f t="shared" si="50"/>
        <v/>
      </c>
      <c r="AE1051" s="33" t="str" cm="1">
        <f t="array" ref="AE1051">LOOKUP(2,1/($AB$2:$AB$1000=AB1051),$AD$2:$AD$1000)</f>
        <v/>
      </c>
      <c r="AO1051" s="33" t="str" cm="1">
        <f t="array" ref="AO1051">IFERROR(INDEX($AA$2:$AA$282,MATCH(0,COUNTIF('Paste Here'!$AK$1:AK1050,$AA$2:$AA$282),0)),"")</f>
        <v/>
      </c>
      <c r="AP1051" s="33" t="str">
        <f>IF(COUNTIF('Paste Here'!$AK$2:AK1051,'Paste Here'!AK1051)=1,VALUE('Paste Here'!AK1051),"")</f>
        <v/>
      </c>
    </row>
    <row r="1052" spans="27:42" x14ac:dyDescent="0.3">
      <c r="AA1052" s="33" t="str">
        <f t="shared" si="49"/>
        <v/>
      </c>
      <c r="AC1052" s="33">
        <f t="shared" si="48"/>
        <v>1048540</v>
      </c>
      <c r="AD1052" s="33" t="str">
        <f t="shared" si="50"/>
        <v/>
      </c>
      <c r="AE1052" s="33" t="str" cm="1">
        <f t="array" ref="AE1052">LOOKUP(2,1/($AB$2:$AB$1000=AB1052),$AD$2:$AD$1000)</f>
        <v/>
      </c>
      <c r="AO1052" s="33" t="str" cm="1">
        <f t="array" ref="AO1052">IFERROR(INDEX($AA$2:$AA$282,MATCH(0,COUNTIF('Paste Here'!$AK$1:AK1051,$AA$2:$AA$282),0)),"")</f>
        <v/>
      </c>
      <c r="AP1052" s="33" t="str">
        <f>IF(COUNTIF('Paste Here'!$AK$2:AK1052,'Paste Here'!AK1052)=1,VALUE('Paste Here'!AK1052),"")</f>
        <v/>
      </c>
    </row>
    <row r="1053" spans="27:42" x14ac:dyDescent="0.3">
      <c r="AA1053" s="33" t="str">
        <f t="shared" si="49"/>
        <v/>
      </c>
      <c r="AC1053" s="33">
        <f t="shared" si="48"/>
        <v>1048540</v>
      </c>
      <c r="AD1053" s="33" t="str">
        <f t="shared" si="50"/>
        <v/>
      </c>
      <c r="AE1053" s="33" t="str" cm="1">
        <f t="array" ref="AE1053">LOOKUP(2,1/($AB$2:$AB$1000=AB1053),$AD$2:$AD$1000)</f>
        <v/>
      </c>
      <c r="AO1053" s="33" t="str" cm="1">
        <f t="array" ref="AO1053">IFERROR(INDEX($AA$2:$AA$282,MATCH(0,COUNTIF('Paste Here'!$AK$1:AK1052,$AA$2:$AA$282),0)),"")</f>
        <v/>
      </c>
      <c r="AP1053" s="33" t="str">
        <f>IF(COUNTIF('Paste Here'!$AK$2:AK1053,'Paste Here'!AK1053)=1,VALUE('Paste Here'!AK1053),"")</f>
        <v/>
      </c>
    </row>
    <row r="1054" spans="27:42" x14ac:dyDescent="0.3">
      <c r="AA1054" s="33" t="str">
        <f t="shared" si="49"/>
        <v/>
      </c>
      <c r="AC1054" s="33">
        <f t="shared" si="48"/>
        <v>1048540</v>
      </c>
      <c r="AD1054" s="33" t="str">
        <f t="shared" si="50"/>
        <v/>
      </c>
      <c r="AE1054" s="33" t="str" cm="1">
        <f t="array" ref="AE1054">LOOKUP(2,1/($AB$2:$AB$1000=AB1054),$AD$2:$AD$1000)</f>
        <v/>
      </c>
      <c r="AO1054" s="33" t="str" cm="1">
        <f t="array" ref="AO1054">IFERROR(INDEX($AA$2:$AA$282,MATCH(0,COUNTIF('Paste Here'!$AK$1:AK1053,$AA$2:$AA$282),0)),"")</f>
        <v/>
      </c>
      <c r="AP1054" s="33" t="str">
        <f>IF(COUNTIF('Paste Here'!$AK$2:AK1054,'Paste Here'!AK1054)=1,VALUE('Paste Here'!AK1054),"")</f>
        <v/>
      </c>
    </row>
    <row r="1055" spans="27:42" x14ac:dyDescent="0.3">
      <c r="AA1055" s="33" t="str">
        <f t="shared" si="49"/>
        <v/>
      </c>
      <c r="AC1055" s="33">
        <f t="shared" si="48"/>
        <v>1048540</v>
      </c>
      <c r="AD1055" s="33" t="str">
        <f t="shared" si="50"/>
        <v/>
      </c>
      <c r="AE1055" s="33" t="str" cm="1">
        <f t="array" ref="AE1055">LOOKUP(2,1/($AB$2:$AB$1000=AB1055),$AD$2:$AD$1000)</f>
        <v/>
      </c>
      <c r="AO1055" s="33" t="str" cm="1">
        <f t="array" ref="AO1055">IFERROR(INDEX($AA$2:$AA$282,MATCH(0,COUNTIF('Paste Here'!$AK$1:AK1054,$AA$2:$AA$282),0)),"")</f>
        <v/>
      </c>
      <c r="AP1055" s="33" t="str">
        <f>IF(COUNTIF('Paste Here'!$AK$2:AK1055,'Paste Here'!AK1055)=1,VALUE('Paste Here'!AK1055),"")</f>
        <v/>
      </c>
    </row>
    <row r="1056" spans="27:42" x14ac:dyDescent="0.3">
      <c r="AA1056" s="33" t="str">
        <f t="shared" si="49"/>
        <v/>
      </c>
      <c r="AC1056" s="33">
        <f t="shared" si="48"/>
        <v>1048540</v>
      </c>
      <c r="AD1056" s="33" t="str">
        <f t="shared" si="50"/>
        <v/>
      </c>
      <c r="AE1056" s="33" t="str" cm="1">
        <f t="array" ref="AE1056">LOOKUP(2,1/($AB$2:$AB$1000=AB1056),$AD$2:$AD$1000)</f>
        <v/>
      </c>
      <c r="AO1056" s="33" t="str" cm="1">
        <f t="array" ref="AO1056">IFERROR(INDEX($AA$2:$AA$282,MATCH(0,COUNTIF('Paste Here'!$AK$1:AK1055,$AA$2:$AA$282),0)),"")</f>
        <v/>
      </c>
      <c r="AP1056" s="33" t="str">
        <f>IF(COUNTIF('Paste Here'!$AK$2:AK1056,'Paste Here'!AK1056)=1,VALUE('Paste Here'!AK1056),"")</f>
        <v/>
      </c>
    </row>
    <row r="1057" spans="27:42" x14ac:dyDescent="0.3">
      <c r="AA1057" s="33" t="str">
        <f t="shared" si="49"/>
        <v/>
      </c>
      <c r="AC1057" s="33">
        <f t="shared" si="48"/>
        <v>1048540</v>
      </c>
      <c r="AD1057" s="33" t="str">
        <f t="shared" si="50"/>
        <v/>
      </c>
      <c r="AE1057" s="33" t="str" cm="1">
        <f t="array" ref="AE1057">LOOKUP(2,1/($AB$2:$AB$1000=AB1057),$AD$2:$AD$1000)</f>
        <v/>
      </c>
      <c r="AO1057" s="33" t="str" cm="1">
        <f t="array" ref="AO1057">IFERROR(INDEX($AA$2:$AA$282,MATCH(0,COUNTIF('Paste Here'!$AK$1:AK1056,$AA$2:$AA$282),0)),"")</f>
        <v/>
      </c>
      <c r="AP1057" s="33" t="str">
        <f>IF(COUNTIF('Paste Here'!$AK$2:AK1057,'Paste Here'!AK1057)=1,VALUE('Paste Here'!AK1057),"")</f>
        <v/>
      </c>
    </row>
    <row r="1058" spans="27:42" x14ac:dyDescent="0.3">
      <c r="AA1058" s="33" t="str">
        <f t="shared" si="49"/>
        <v/>
      </c>
      <c r="AC1058" s="33">
        <f t="shared" si="48"/>
        <v>1048540</v>
      </c>
      <c r="AD1058" s="33" t="str">
        <f t="shared" si="50"/>
        <v/>
      </c>
      <c r="AE1058" s="33" t="str" cm="1">
        <f t="array" ref="AE1058">LOOKUP(2,1/($AB$2:$AB$1000=AB1058),$AD$2:$AD$1000)</f>
        <v/>
      </c>
      <c r="AO1058" s="33" t="str" cm="1">
        <f t="array" ref="AO1058">IFERROR(INDEX($AA$2:$AA$282,MATCH(0,COUNTIF('Paste Here'!$AK$1:AK1057,$AA$2:$AA$282),0)),"")</f>
        <v/>
      </c>
      <c r="AP1058" s="33" t="str">
        <f>IF(COUNTIF('Paste Here'!$AK$2:AK1058,'Paste Here'!AK1058)=1,VALUE('Paste Here'!AK1058),"")</f>
        <v/>
      </c>
    </row>
    <row r="1059" spans="27:42" x14ac:dyDescent="0.3">
      <c r="AA1059" s="33" t="str">
        <f t="shared" si="49"/>
        <v/>
      </c>
      <c r="AC1059" s="33">
        <f t="shared" si="48"/>
        <v>1048540</v>
      </c>
      <c r="AD1059" s="33" t="str">
        <f t="shared" si="50"/>
        <v/>
      </c>
      <c r="AE1059" s="33" t="str" cm="1">
        <f t="array" ref="AE1059">LOOKUP(2,1/($AB$2:$AB$1000=AB1059),$AD$2:$AD$1000)</f>
        <v/>
      </c>
      <c r="AO1059" s="33" t="str" cm="1">
        <f t="array" ref="AO1059">IFERROR(INDEX($AA$2:$AA$282,MATCH(0,COUNTIF('Paste Here'!$AK$1:AK1058,$AA$2:$AA$282),0)),"")</f>
        <v/>
      </c>
      <c r="AP1059" s="33" t="str">
        <f>IF(COUNTIF('Paste Here'!$AK$2:AK1059,'Paste Here'!AK1059)=1,VALUE('Paste Here'!AK1059),"")</f>
        <v/>
      </c>
    </row>
    <row r="1060" spans="27:42" x14ac:dyDescent="0.3">
      <c r="AA1060" s="33" t="str">
        <f t="shared" si="49"/>
        <v/>
      </c>
      <c r="AC1060" s="33">
        <f t="shared" si="48"/>
        <v>1048540</v>
      </c>
      <c r="AD1060" s="33" t="str">
        <f t="shared" si="50"/>
        <v/>
      </c>
      <c r="AE1060" s="33" t="str" cm="1">
        <f t="array" ref="AE1060">LOOKUP(2,1/($AB$2:$AB$1000=AB1060),$AD$2:$AD$1000)</f>
        <v/>
      </c>
      <c r="AO1060" s="33" t="str" cm="1">
        <f t="array" ref="AO1060">IFERROR(INDEX($AA$2:$AA$282,MATCH(0,COUNTIF('Paste Here'!$AK$1:AK1059,$AA$2:$AA$282),0)),"")</f>
        <v/>
      </c>
      <c r="AP1060" s="33" t="str">
        <f>IF(COUNTIF('Paste Here'!$AK$2:AK1060,'Paste Here'!AK1060)=1,VALUE('Paste Here'!AK1060),"")</f>
        <v/>
      </c>
    </row>
    <row r="1061" spans="27:42" x14ac:dyDescent="0.3">
      <c r="AA1061" s="33" t="str">
        <f t="shared" si="49"/>
        <v/>
      </c>
      <c r="AC1061" s="33">
        <f t="shared" si="48"/>
        <v>1048540</v>
      </c>
      <c r="AD1061" s="33" t="str">
        <f t="shared" si="50"/>
        <v/>
      </c>
      <c r="AE1061" s="33" t="str" cm="1">
        <f t="array" ref="AE1061">LOOKUP(2,1/($AB$2:$AB$1000=AB1061),$AD$2:$AD$1000)</f>
        <v/>
      </c>
      <c r="AO1061" s="33" t="str" cm="1">
        <f t="array" ref="AO1061">IFERROR(INDEX($AA$2:$AA$282,MATCH(0,COUNTIF('Paste Here'!$AK$1:AK1060,$AA$2:$AA$282),0)),"")</f>
        <v/>
      </c>
      <c r="AP1061" s="33" t="str">
        <f>IF(COUNTIF('Paste Here'!$AK$2:AK1061,'Paste Here'!AK1061)=1,VALUE('Paste Here'!AK1061),"")</f>
        <v/>
      </c>
    </row>
    <row r="1062" spans="27:42" x14ac:dyDescent="0.3">
      <c r="AA1062" s="33" t="str">
        <f t="shared" si="49"/>
        <v/>
      </c>
      <c r="AC1062" s="33">
        <f t="shared" si="48"/>
        <v>1048540</v>
      </c>
      <c r="AD1062" s="33" t="str">
        <f t="shared" si="50"/>
        <v/>
      </c>
      <c r="AE1062" s="33" t="str" cm="1">
        <f t="array" ref="AE1062">LOOKUP(2,1/($AB$2:$AB$1000=AB1062),$AD$2:$AD$1000)</f>
        <v/>
      </c>
      <c r="AO1062" s="33" t="str" cm="1">
        <f t="array" ref="AO1062">IFERROR(INDEX($AA$2:$AA$282,MATCH(0,COUNTIF('Paste Here'!$AK$1:AK1061,$AA$2:$AA$282),0)),"")</f>
        <v/>
      </c>
      <c r="AP1062" s="33" t="str">
        <f>IF(COUNTIF('Paste Here'!$AK$2:AK1062,'Paste Here'!AK1062)=1,VALUE('Paste Here'!AK1062),"")</f>
        <v/>
      </c>
    </row>
    <row r="1063" spans="27:42" x14ac:dyDescent="0.3">
      <c r="AA1063" s="33" t="str">
        <f t="shared" si="49"/>
        <v/>
      </c>
      <c r="AC1063" s="33">
        <f t="shared" si="48"/>
        <v>1048540</v>
      </c>
      <c r="AD1063" s="33" t="str">
        <f t="shared" si="50"/>
        <v/>
      </c>
      <c r="AE1063" s="33" t="str" cm="1">
        <f t="array" ref="AE1063">LOOKUP(2,1/($AB$2:$AB$1000=AB1063),$AD$2:$AD$1000)</f>
        <v/>
      </c>
      <c r="AO1063" s="33" t="str" cm="1">
        <f t="array" ref="AO1063">IFERROR(INDEX($AA$2:$AA$282,MATCH(0,COUNTIF('Paste Here'!$AK$1:AK1062,$AA$2:$AA$282),0)),"")</f>
        <v/>
      </c>
      <c r="AP1063" s="33" t="str">
        <f>IF(COUNTIF('Paste Here'!$AK$2:AK1063,'Paste Here'!AK1063)=1,VALUE('Paste Here'!AK1063),"")</f>
        <v/>
      </c>
    </row>
    <row r="1064" spans="27:42" x14ac:dyDescent="0.3">
      <c r="AA1064" s="33" t="str">
        <f t="shared" si="49"/>
        <v/>
      </c>
      <c r="AC1064" s="33">
        <f t="shared" si="48"/>
        <v>1048540</v>
      </c>
      <c r="AD1064" s="33" t="str">
        <f t="shared" si="50"/>
        <v/>
      </c>
      <c r="AE1064" s="33" t="str" cm="1">
        <f t="array" ref="AE1064">LOOKUP(2,1/($AB$2:$AB$1000=AB1064),$AD$2:$AD$1000)</f>
        <v/>
      </c>
      <c r="AO1064" s="33" t="str" cm="1">
        <f t="array" ref="AO1064">IFERROR(INDEX($AA$2:$AA$282,MATCH(0,COUNTIF('Paste Here'!$AK$1:AK1063,$AA$2:$AA$282),0)),"")</f>
        <v/>
      </c>
      <c r="AP1064" s="33" t="str">
        <f>IF(COUNTIF('Paste Here'!$AK$2:AK1064,'Paste Here'!AK1064)=1,VALUE('Paste Here'!AK1064),"")</f>
        <v/>
      </c>
    </row>
    <row r="1065" spans="27:42" x14ac:dyDescent="0.3">
      <c r="AA1065" s="33" t="str">
        <f t="shared" si="49"/>
        <v/>
      </c>
      <c r="AC1065" s="33">
        <f t="shared" si="48"/>
        <v>1048540</v>
      </c>
      <c r="AD1065" s="33" t="str">
        <f t="shared" si="50"/>
        <v/>
      </c>
      <c r="AE1065" s="33" t="str" cm="1">
        <f t="array" ref="AE1065">LOOKUP(2,1/($AB$2:$AB$1000=AB1065),$AD$2:$AD$1000)</f>
        <v/>
      </c>
      <c r="AO1065" s="33" t="str" cm="1">
        <f t="array" ref="AO1065">IFERROR(INDEX($AA$2:$AA$282,MATCH(0,COUNTIF('Paste Here'!$AK$1:AK1064,$AA$2:$AA$282),0)),"")</f>
        <v/>
      </c>
      <c r="AP1065" s="33" t="str">
        <f>IF(COUNTIF('Paste Here'!$AK$2:AK1065,'Paste Here'!AK1065)=1,VALUE('Paste Here'!AK1065),"")</f>
        <v/>
      </c>
    </row>
    <row r="1066" spans="27:42" x14ac:dyDescent="0.3">
      <c r="AA1066" s="33" t="str">
        <f t="shared" si="49"/>
        <v/>
      </c>
      <c r="AC1066" s="33">
        <f t="shared" si="48"/>
        <v>1048540</v>
      </c>
      <c r="AD1066" s="33" t="str">
        <f t="shared" si="50"/>
        <v/>
      </c>
      <c r="AE1066" s="33" t="str" cm="1">
        <f t="array" ref="AE1066">LOOKUP(2,1/($AB$2:$AB$1000=AB1066),$AD$2:$AD$1000)</f>
        <v/>
      </c>
      <c r="AO1066" s="33" t="str" cm="1">
        <f t="array" ref="AO1066">IFERROR(INDEX($AA$2:$AA$282,MATCH(0,COUNTIF('Paste Here'!$AK$1:AK1065,$AA$2:$AA$282),0)),"")</f>
        <v/>
      </c>
      <c r="AP1066" s="33" t="str">
        <f>IF(COUNTIF('Paste Here'!$AK$2:AK1066,'Paste Here'!AK1066)=1,VALUE('Paste Here'!AK1066),"")</f>
        <v/>
      </c>
    </row>
    <row r="1067" spans="27:42" x14ac:dyDescent="0.3">
      <c r="AA1067" s="33" t="str">
        <f t="shared" si="49"/>
        <v/>
      </c>
      <c r="AC1067" s="33">
        <f t="shared" si="48"/>
        <v>1048540</v>
      </c>
      <c r="AD1067" s="33" t="str">
        <f t="shared" si="50"/>
        <v/>
      </c>
      <c r="AE1067" s="33" t="str" cm="1">
        <f t="array" ref="AE1067">LOOKUP(2,1/($AB$2:$AB$1000=AB1067),$AD$2:$AD$1000)</f>
        <v/>
      </c>
      <c r="AO1067" s="33" t="str" cm="1">
        <f t="array" ref="AO1067">IFERROR(INDEX($AA$2:$AA$282,MATCH(0,COUNTIF('Paste Here'!$AK$1:AK1066,$AA$2:$AA$282),0)),"")</f>
        <v/>
      </c>
      <c r="AP1067" s="33" t="str">
        <f>IF(COUNTIF('Paste Here'!$AK$2:AK1067,'Paste Here'!AK1067)=1,VALUE('Paste Here'!AK1067),"")</f>
        <v/>
      </c>
    </row>
    <row r="1068" spans="27:42" x14ac:dyDescent="0.3">
      <c r="AA1068" s="33" t="str">
        <f t="shared" si="49"/>
        <v/>
      </c>
      <c r="AC1068" s="33">
        <f t="shared" si="48"/>
        <v>1048540</v>
      </c>
      <c r="AD1068" s="33" t="str">
        <f t="shared" si="50"/>
        <v/>
      </c>
      <c r="AE1068" s="33" t="str" cm="1">
        <f t="array" ref="AE1068">LOOKUP(2,1/($AB$2:$AB$1000=AB1068),$AD$2:$AD$1000)</f>
        <v/>
      </c>
      <c r="AO1068" s="33" t="str" cm="1">
        <f t="array" ref="AO1068">IFERROR(INDEX($AA$2:$AA$282,MATCH(0,COUNTIF('Paste Here'!$AK$1:AK1067,$AA$2:$AA$282),0)),"")</f>
        <v/>
      </c>
      <c r="AP1068" s="33" t="str">
        <f>IF(COUNTIF('Paste Here'!$AK$2:AK1068,'Paste Here'!AK1068)=1,VALUE('Paste Here'!AK1068),"")</f>
        <v/>
      </c>
    </row>
    <row r="1069" spans="27:42" x14ac:dyDescent="0.3">
      <c r="AA1069" s="33" t="str">
        <f t="shared" si="49"/>
        <v/>
      </c>
      <c r="AC1069" s="33">
        <f t="shared" si="48"/>
        <v>1048540</v>
      </c>
      <c r="AD1069" s="33" t="str">
        <f t="shared" si="50"/>
        <v/>
      </c>
      <c r="AE1069" s="33" t="str" cm="1">
        <f t="array" ref="AE1069">LOOKUP(2,1/($AB$2:$AB$1000=AB1069),$AD$2:$AD$1000)</f>
        <v/>
      </c>
      <c r="AO1069" s="33" t="str" cm="1">
        <f t="array" ref="AO1069">IFERROR(INDEX($AA$2:$AA$282,MATCH(0,COUNTIF('Paste Here'!$AK$1:AK1068,$AA$2:$AA$282),0)),"")</f>
        <v/>
      </c>
      <c r="AP1069" s="33" t="str">
        <f>IF(COUNTIF('Paste Here'!$AK$2:AK1069,'Paste Here'!AK1069)=1,VALUE('Paste Here'!AK1069),"")</f>
        <v/>
      </c>
    </row>
    <row r="1070" spans="27:42" x14ac:dyDescent="0.3">
      <c r="AA1070" s="33" t="str">
        <f t="shared" si="49"/>
        <v/>
      </c>
      <c r="AC1070" s="33">
        <f t="shared" si="48"/>
        <v>1048540</v>
      </c>
      <c r="AD1070" s="33" t="str">
        <f t="shared" si="50"/>
        <v/>
      </c>
      <c r="AE1070" s="33" t="str" cm="1">
        <f t="array" ref="AE1070">LOOKUP(2,1/($AB$2:$AB$1000=AB1070),$AD$2:$AD$1000)</f>
        <v/>
      </c>
      <c r="AO1070" s="33" t="str" cm="1">
        <f t="array" ref="AO1070">IFERROR(INDEX($AA$2:$AA$282,MATCH(0,COUNTIF('Paste Here'!$AK$1:AK1069,$AA$2:$AA$282),0)),"")</f>
        <v/>
      </c>
      <c r="AP1070" s="33" t="str">
        <f>IF(COUNTIF('Paste Here'!$AK$2:AK1070,'Paste Here'!AK1070)=1,VALUE('Paste Here'!AK1070),"")</f>
        <v/>
      </c>
    </row>
    <row r="1071" spans="27:42" x14ac:dyDescent="0.3">
      <c r="AA1071" s="33" t="str">
        <f t="shared" si="49"/>
        <v/>
      </c>
      <c r="AC1071" s="33">
        <f t="shared" si="48"/>
        <v>1048540</v>
      </c>
      <c r="AD1071" s="33" t="str">
        <f t="shared" si="50"/>
        <v/>
      </c>
      <c r="AE1071" s="33" t="str" cm="1">
        <f t="array" ref="AE1071">LOOKUP(2,1/($AB$2:$AB$1000=AB1071),$AD$2:$AD$1000)</f>
        <v/>
      </c>
      <c r="AO1071" s="33" t="str" cm="1">
        <f t="array" ref="AO1071">IFERROR(INDEX($AA$2:$AA$282,MATCH(0,COUNTIF('Paste Here'!$AK$1:AK1070,$AA$2:$AA$282),0)),"")</f>
        <v/>
      </c>
      <c r="AP1071" s="33" t="str">
        <f>IF(COUNTIF('Paste Here'!$AK$2:AK1071,'Paste Here'!AK1071)=1,VALUE('Paste Here'!AK1071),"")</f>
        <v/>
      </c>
    </row>
    <row r="1072" spans="27:42" x14ac:dyDescent="0.3">
      <c r="AA1072" s="33" t="str">
        <f t="shared" si="49"/>
        <v/>
      </c>
      <c r="AC1072" s="33">
        <f t="shared" si="48"/>
        <v>1048540</v>
      </c>
      <c r="AD1072" s="33" t="str">
        <f t="shared" si="50"/>
        <v/>
      </c>
      <c r="AE1072" s="33" t="str" cm="1">
        <f t="array" ref="AE1072">LOOKUP(2,1/($AB$2:$AB$1000=AB1072),$AD$2:$AD$1000)</f>
        <v/>
      </c>
      <c r="AO1072" s="33" t="str" cm="1">
        <f t="array" ref="AO1072">IFERROR(INDEX($AA$2:$AA$282,MATCH(0,COUNTIF('Paste Here'!$AK$1:AK1071,$AA$2:$AA$282),0)),"")</f>
        <v/>
      </c>
      <c r="AP1072" s="33" t="str">
        <f>IF(COUNTIF('Paste Here'!$AK$2:AK1072,'Paste Here'!AK1072)=1,VALUE('Paste Here'!AK1072),"")</f>
        <v/>
      </c>
    </row>
    <row r="1073" spans="27:42" x14ac:dyDescent="0.3">
      <c r="AA1073" s="33" t="str">
        <f t="shared" si="49"/>
        <v/>
      </c>
      <c r="AC1073" s="33">
        <f t="shared" si="48"/>
        <v>1048540</v>
      </c>
      <c r="AD1073" s="33" t="str">
        <f t="shared" si="50"/>
        <v/>
      </c>
      <c r="AE1073" s="33" t="str" cm="1">
        <f t="array" ref="AE1073">LOOKUP(2,1/($AB$2:$AB$1000=AB1073),$AD$2:$AD$1000)</f>
        <v/>
      </c>
      <c r="AO1073" s="33" t="str" cm="1">
        <f t="array" ref="AO1073">IFERROR(INDEX($AA$2:$AA$282,MATCH(0,COUNTIF('Paste Here'!$AK$1:AK1072,$AA$2:$AA$282),0)),"")</f>
        <v/>
      </c>
      <c r="AP1073" s="33" t="str">
        <f>IF(COUNTIF('Paste Here'!$AK$2:AK1073,'Paste Here'!AK1073)=1,VALUE('Paste Here'!AK1073),"")</f>
        <v/>
      </c>
    </row>
    <row r="1074" spans="27:42" x14ac:dyDescent="0.3">
      <c r="AA1074" s="33" t="str">
        <f t="shared" si="49"/>
        <v/>
      </c>
      <c r="AC1074" s="33">
        <f t="shared" si="48"/>
        <v>1048540</v>
      </c>
      <c r="AD1074" s="33" t="str">
        <f t="shared" si="50"/>
        <v/>
      </c>
      <c r="AE1074" s="33" t="str" cm="1">
        <f t="array" ref="AE1074">LOOKUP(2,1/($AB$2:$AB$1000=AB1074),$AD$2:$AD$1000)</f>
        <v/>
      </c>
      <c r="AO1074" s="33" t="str" cm="1">
        <f t="array" ref="AO1074">IFERROR(INDEX($AA$2:$AA$282,MATCH(0,COUNTIF('Paste Here'!$AK$1:AK1073,$AA$2:$AA$282),0)),"")</f>
        <v/>
      </c>
      <c r="AP1074" s="33" t="str">
        <f>IF(COUNTIF('Paste Here'!$AK$2:AK1074,'Paste Here'!AK1074)=1,VALUE('Paste Here'!AK1074),"")</f>
        <v/>
      </c>
    </row>
    <row r="1075" spans="27:42" x14ac:dyDescent="0.3">
      <c r="AA1075" s="33" t="str">
        <f t="shared" si="49"/>
        <v/>
      </c>
      <c r="AC1075" s="33">
        <f t="shared" si="48"/>
        <v>1048540</v>
      </c>
      <c r="AD1075" s="33" t="str">
        <f t="shared" si="50"/>
        <v/>
      </c>
      <c r="AE1075" s="33" t="str" cm="1">
        <f t="array" ref="AE1075">LOOKUP(2,1/($AB$2:$AB$1000=AB1075),$AD$2:$AD$1000)</f>
        <v/>
      </c>
      <c r="AO1075" s="33" t="str" cm="1">
        <f t="array" ref="AO1075">IFERROR(INDEX($AA$2:$AA$282,MATCH(0,COUNTIF('Paste Here'!$AK$1:AK1074,$AA$2:$AA$282),0)),"")</f>
        <v/>
      </c>
      <c r="AP1075" s="33" t="str">
        <f>IF(COUNTIF('Paste Here'!$AK$2:AK1075,'Paste Here'!AK1075)=1,VALUE('Paste Here'!AK1075),"")</f>
        <v/>
      </c>
    </row>
    <row r="1076" spans="27:42" x14ac:dyDescent="0.3">
      <c r="AA1076" s="33" t="str">
        <f t="shared" si="49"/>
        <v/>
      </c>
      <c r="AC1076" s="33">
        <f t="shared" si="48"/>
        <v>1048540</v>
      </c>
      <c r="AD1076" s="33" t="str">
        <f t="shared" si="50"/>
        <v/>
      </c>
      <c r="AE1076" s="33" t="str" cm="1">
        <f t="array" ref="AE1076">LOOKUP(2,1/($AB$2:$AB$1000=AB1076),$AD$2:$AD$1000)</f>
        <v/>
      </c>
      <c r="AO1076" s="33" t="str" cm="1">
        <f t="array" ref="AO1076">IFERROR(INDEX($AA$2:$AA$282,MATCH(0,COUNTIF('Paste Here'!$AK$1:AK1075,$AA$2:$AA$282),0)),"")</f>
        <v/>
      </c>
      <c r="AP1076" s="33" t="str">
        <f>IF(COUNTIF('Paste Here'!$AK$2:AK1076,'Paste Here'!AK1076)=1,VALUE('Paste Here'!AK1076),"")</f>
        <v/>
      </c>
    </row>
    <row r="1077" spans="27:42" x14ac:dyDescent="0.3">
      <c r="AA1077" s="33" t="str">
        <f t="shared" si="49"/>
        <v/>
      </c>
      <c r="AC1077" s="33">
        <f t="shared" si="48"/>
        <v>1048540</v>
      </c>
      <c r="AD1077" s="33" t="str">
        <f t="shared" si="50"/>
        <v/>
      </c>
      <c r="AE1077" s="33" t="str" cm="1">
        <f t="array" ref="AE1077">LOOKUP(2,1/($AB$2:$AB$1000=AB1077),$AD$2:$AD$1000)</f>
        <v/>
      </c>
      <c r="AO1077" s="33" t="str" cm="1">
        <f t="array" ref="AO1077">IFERROR(INDEX($AA$2:$AA$282,MATCH(0,COUNTIF('Paste Here'!$AK$1:AK1076,$AA$2:$AA$282),0)),"")</f>
        <v/>
      </c>
      <c r="AP1077" s="33" t="str">
        <f>IF(COUNTIF('Paste Here'!$AK$2:AK1077,'Paste Here'!AK1077)=1,VALUE('Paste Here'!AK1077),"")</f>
        <v/>
      </c>
    </row>
    <row r="1078" spans="27:42" x14ac:dyDescent="0.3">
      <c r="AA1078" s="33" t="str">
        <f t="shared" si="49"/>
        <v/>
      </c>
      <c r="AC1078" s="33">
        <f t="shared" si="48"/>
        <v>1048540</v>
      </c>
      <c r="AD1078" s="33" t="str">
        <f t="shared" si="50"/>
        <v/>
      </c>
      <c r="AE1078" s="33" t="str" cm="1">
        <f t="array" ref="AE1078">LOOKUP(2,1/($AB$2:$AB$1000=AB1078),$AD$2:$AD$1000)</f>
        <v/>
      </c>
      <c r="AO1078" s="33" t="str" cm="1">
        <f t="array" ref="AO1078">IFERROR(INDEX($AA$2:$AA$282,MATCH(0,COUNTIF('Paste Here'!$AK$1:AK1077,$AA$2:$AA$282),0)),"")</f>
        <v/>
      </c>
      <c r="AP1078" s="33" t="str">
        <f>IF(COUNTIF('Paste Here'!$AK$2:AK1078,'Paste Here'!AK1078)=1,VALUE('Paste Here'!AK1078),"")</f>
        <v/>
      </c>
    </row>
    <row r="1079" spans="27:42" x14ac:dyDescent="0.3">
      <c r="AA1079" s="33" t="str">
        <f t="shared" si="49"/>
        <v/>
      </c>
      <c r="AC1079" s="33">
        <f t="shared" si="48"/>
        <v>1048540</v>
      </c>
      <c r="AD1079" s="33" t="str">
        <f t="shared" si="50"/>
        <v/>
      </c>
      <c r="AE1079" s="33" t="str" cm="1">
        <f t="array" ref="AE1079">LOOKUP(2,1/($AB$2:$AB$1000=AB1079),$AD$2:$AD$1000)</f>
        <v/>
      </c>
      <c r="AO1079" s="33" t="str" cm="1">
        <f t="array" ref="AO1079">IFERROR(INDEX($AA$2:$AA$282,MATCH(0,COUNTIF('Paste Here'!$AK$1:AK1078,$AA$2:$AA$282),0)),"")</f>
        <v/>
      </c>
      <c r="AP1079" s="33" t="str">
        <f>IF(COUNTIF('Paste Here'!$AK$2:AK1079,'Paste Here'!AK1079)=1,VALUE('Paste Here'!AK1079),"")</f>
        <v/>
      </c>
    </row>
    <row r="1080" spans="27:42" x14ac:dyDescent="0.3">
      <c r="AA1080" s="33" t="str">
        <f t="shared" si="49"/>
        <v/>
      </c>
      <c r="AC1080" s="33">
        <f t="shared" si="48"/>
        <v>1048540</v>
      </c>
      <c r="AD1080" s="33" t="str">
        <f t="shared" si="50"/>
        <v/>
      </c>
      <c r="AE1080" s="33" t="str" cm="1">
        <f t="array" ref="AE1080">LOOKUP(2,1/($AB$2:$AB$1000=AB1080),$AD$2:$AD$1000)</f>
        <v/>
      </c>
      <c r="AO1080" s="33" t="str" cm="1">
        <f t="array" ref="AO1080">IFERROR(INDEX($AA$2:$AA$282,MATCH(0,COUNTIF('Paste Here'!$AK$1:AK1079,$AA$2:$AA$282),0)),"")</f>
        <v/>
      </c>
      <c r="AP1080" s="33" t="str">
        <f>IF(COUNTIF('Paste Here'!$AK$2:AK1080,'Paste Here'!AK1080)=1,VALUE('Paste Here'!AK1080),"")</f>
        <v/>
      </c>
    </row>
    <row r="1081" spans="27:42" x14ac:dyDescent="0.3">
      <c r="AA1081" s="33" t="str">
        <f t="shared" si="49"/>
        <v/>
      </c>
      <c r="AC1081" s="33">
        <f t="shared" si="48"/>
        <v>1048540</v>
      </c>
      <c r="AD1081" s="33" t="str">
        <f t="shared" si="50"/>
        <v/>
      </c>
      <c r="AE1081" s="33" t="str" cm="1">
        <f t="array" ref="AE1081">LOOKUP(2,1/($AB$2:$AB$1000=AB1081),$AD$2:$AD$1000)</f>
        <v/>
      </c>
      <c r="AO1081" s="33" t="str" cm="1">
        <f t="array" ref="AO1081">IFERROR(INDEX($AA$2:$AA$282,MATCH(0,COUNTIF('Paste Here'!$AK$1:AK1080,$AA$2:$AA$282),0)),"")</f>
        <v/>
      </c>
    </row>
    <row r="1082" spans="27:42" x14ac:dyDescent="0.3">
      <c r="AA1082" s="33" t="str">
        <f t="shared" si="49"/>
        <v/>
      </c>
      <c r="AC1082" s="33">
        <f t="shared" si="48"/>
        <v>1048540</v>
      </c>
      <c r="AD1082" s="33" t="str">
        <f t="shared" si="50"/>
        <v/>
      </c>
      <c r="AE1082" s="33" t="str" cm="1">
        <f t="array" ref="AE1082">LOOKUP(2,1/($AB$2:$AB$1000=AB1082),$AD$2:$AD$1000)</f>
        <v/>
      </c>
      <c r="AO1082" s="33" t="str" cm="1">
        <f t="array" ref="AO1082">IFERROR(INDEX($AA$2:$AA$282,MATCH(0,COUNTIF('Paste Here'!$AK$1:AK1081,$AA$2:$AA$282),0)),"")</f>
        <v/>
      </c>
    </row>
    <row r="1083" spans="27:42" x14ac:dyDescent="0.3">
      <c r="AA1083" s="33" t="str">
        <f t="shared" si="49"/>
        <v/>
      </c>
      <c r="AC1083" s="33">
        <f t="shared" si="48"/>
        <v>1048540</v>
      </c>
      <c r="AD1083" s="33" t="str">
        <f t="shared" si="50"/>
        <v/>
      </c>
      <c r="AE1083" s="33" t="str" cm="1">
        <f t="array" ref="AE1083">LOOKUP(2,1/($AB$2:$AB$1000=AB1083),$AD$2:$AD$1000)</f>
        <v/>
      </c>
    </row>
    <row r="1084" spans="27:42" x14ac:dyDescent="0.3">
      <c r="AA1084" s="33" t="str">
        <f t="shared" si="49"/>
        <v/>
      </c>
      <c r="AC1084" s="33">
        <f t="shared" si="48"/>
        <v>1048540</v>
      </c>
      <c r="AD1084" s="33" t="str">
        <f t="shared" si="50"/>
        <v/>
      </c>
      <c r="AE1084" s="33" t="str" cm="1">
        <f t="array" ref="AE1084">LOOKUP(2,1/($AB$2:$AB$1000=AB1084),$AD$2:$AD$1000)</f>
        <v/>
      </c>
    </row>
    <row r="1085" spans="27:42" x14ac:dyDescent="0.3">
      <c r="AA1085" s="33" t="str">
        <f t="shared" si="49"/>
        <v/>
      </c>
      <c r="AC1085" s="33">
        <f t="shared" si="48"/>
        <v>1048540</v>
      </c>
      <c r="AD1085" s="33" t="str">
        <f t="shared" si="50"/>
        <v/>
      </c>
      <c r="AE1085" s="33" t="str" cm="1">
        <f t="array" ref="AE1085">LOOKUP(2,1/($AB$2:$AB$1000=AB1085),$AD$2:$AD$1000)</f>
        <v/>
      </c>
    </row>
    <row r="1086" spans="27:42" x14ac:dyDescent="0.3">
      <c r="AA1086" s="33" t="str">
        <f t="shared" si="49"/>
        <v/>
      </c>
      <c r="AC1086" s="33">
        <f t="shared" si="48"/>
        <v>1048540</v>
      </c>
      <c r="AD1086" s="33" t="str">
        <f t="shared" si="50"/>
        <v/>
      </c>
      <c r="AE1086" s="33" t="str" cm="1">
        <f t="array" ref="AE1086">LOOKUP(2,1/($AB$2:$AB$1000=AB1086),$AD$2:$AD$1000)</f>
        <v/>
      </c>
    </row>
    <row r="1087" spans="27:42" x14ac:dyDescent="0.3">
      <c r="AA1087" s="33" t="str">
        <f t="shared" si="49"/>
        <v/>
      </c>
      <c r="AC1087" s="33">
        <f t="shared" si="48"/>
        <v>1048540</v>
      </c>
      <c r="AD1087" s="33" t="str">
        <f t="shared" si="50"/>
        <v/>
      </c>
      <c r="AE1087" s="33" t="str" cm="1">
        <f t="array" ref="AE1087">LOOKUP(2,1/($AB$2:$AB$1000=AB1087),$AD$2:$AD$1000)</f>
        <v/>
      </c>
    </row>
    <row r="1088" spans="27:42" x14ac:dyDescent="0.3">
      <c r="AA1088" s="33" t="str">
        <f t="shared" si="49"/>
        <v/>
      </c>
      <c r="AC1088" s="33">
        <f t="shared" si="48"/>
        <v>1048540</v>
      </c>
      <c r="AD1088" s="33" t="str">
        <f t="shared" si="50"/>
        <v/>
      </c>
      <c r="AE1088" s="33" t="str" cm="1">
        <f t="array" ref="AE1088">LOOKUP(2,1/($AB$2:$AB$1000=AB1088),$AD$2:$AD$1000)</f>
        <v/>
      </c>
    </row>
    <row r="1089" spans="27:31" x14ac:dyDescent="0.3">
      <c r="AA1089" s="33" t="str">
        <f t="shared" si="49"/>
        <v/>
      </c>
      <c r="AC1089" s="33">
        <f t="shared" si="48"/>
        <v>1048540</v>
      </c>
      <c r="AD1089" s="33" t="str">
        <f t="shared" si="50"/>
        <v/>
      </c>
      <c r="AE1089" s="33" t="str" cm="1">
        <f t="array" ref="AE1089">LOOKUP(2,1/($AB$2:$AB$1000=AB1089),$AD$2:$AD$1000)</f>
        <v/>
      </c>
    </row>
    <row r="1090" spans="27:31" x14ac:dyDescent="0.3">
      <c r="AA1090" s="33" t="str">
        <f t="shared" si="49"/>
        <v/>
      </c>
      <c r="AC1090" s="33">
        <f t="shared" ref="AC1090:AC1153" si="51">COUNTIF($AA:$AA,AA1090)</f>
        <v>1048540</v>
      </c>
      <c r="AD1090" s="33" t="str">
        <f t="shared" si="50"/>
        <v/>
      </c>
      <c r="AE1090" s="33" t="str" cm="1">
        <f t="array" ref="AE1090">LOOKUP(2,1/($AB$2:$AB$1000=AB1090),$AD$2:$AD$1000)</f>
        <v/>
      </c>
    </row>
    <row r="1091" spans="27:31" x14ac:dyDescent="0.3">
      <c r="AA1091" s="33" t="str">
        <f t="shared" ref="AA1091:AA1154" si="52">IFERROR(MID(G1091,FIND("LR-",G1091)+3,FIND("-",G1091,FIND("LR-",G1091)+3)-FIND("LR-",G1091)-3),"")</f>
        <v/>
      </c>
      <c r="AC1091" s="33">
        <f t="shared" si="51"/>
        <v>1048540</v>
      </c>
      <c r="AD1091" s="33" t="str">
        <f t="shared" ref="AD1091:AD1154" si="53">IF(F1091=0,"",F1091)</f>
        <v/>
      </c>
      <c r="AE1091" s="33" t="str" cm="1">
        <f t="array" ref="AE1091">LOOKUP(2,1/($AB$2:$AB$1000=AB1091),$AD$2:$AD$1000)</f>
        <v/>
      </c>
    </row>
    <row r="1092" spans="27:31" x14ac:dyDescent="0.3">
      <c r="AA1092" s="33" t="str">
        <f t="shared" si="52"/>
        <v/>
      </c>
      <c r="AC1092" s="33">
        <f t="shared" si="51"/>
        <v>1048540</v>
      </c>
      <c r="AD1092" s="33" t="str">
        <f t="shared" si="53"/>
        <v/>
      </c>
      <c r="AE1092" s="33" t="str" cm="1">
        <f t="array" ref="AE1092">LOOKUP(2,1/($AB$2:$AB$1000=AB1092),$AD$2:$AD$1000)</f>
        <v/>
      </c>
    </row>
    <row r="1093" spans="27:31" x14ac:dyDescent="0.3">
      <c r="AA1093" s="33" t="str">
        <f t="shared" si="52"/>
        <v/>
      </c>
      <c r="AC1093" s="33">
        <f t="shared" si="51"/>
        <v>1048540</v>
      </c>
      <c r="AD1093" s="33" t="str">
        <f t="shared" si="53"/>
        <v/>
      </c>
      <c r="AE1093" s="33" t="str" cm="1">
        <f t="array" ref="AE1093">LOOKUP(2,1/($AB$2:$AB$1000=AB1093),$AD$2:$AD$1000)</f>
        <v/>
      </c>
    </row>
    <row r="1094" spans="27:31" x14ac:dyDescent="0.3">
      <c r="AA1094" s="33" t="str">
        <f t="shared" si="52"/>
        <v/>
      </c>
      <c r="AC1094" s="33">
        <f t="shared" si="51"/>
        <v>1048540</v>
      </c>
      <c r="AD1094" s="33" t="str">
        <f t="shared" si="53"/>
        <v/>
      </c>
      <c r="AE1094" s="33" t="str" cm="1">
        <f t="array" ref="AE1094">LOOKUP(2,1/($AB$2:$AB$1000=AB1094),$AD$2:$AD$1000)</f>
        <v/>
      </c>
    </row>
    <row r="1095" spans="27:31" x14ac:dyDescent="0.3">
      <c r="AA1095" s="33" t="str">
        <f t="shared" si="52"/>
        <v/>
      </c>
      <c r="AC1095" s="33">
        <f t="shared" si="51"/>
        <v>1048540</v>
      </c>
      <c r="AD1095" s="33" t="str">
        <f t="shared" si="53"/>
        <v/>
      </c>
      <c r="AE1095" s="33" t="str" cm="1">
        <f t="array" ref="AE1095">LOOKUP(2,1/($AB$2:$AB$1000=AB1095),$AD$2:$AD$1000)</f>
        <v/>
      </c>
    </row>
    <row r="1096" spans="27:31" x14ac:dyDescent="0.3">
      <c r="AA1096" s="33" t="str">
        <f t="shared" si="52"/>
        <v/>
      </c>
      <c r="AC1096" s="33">
        <f t="shared" si="51"/>
        <v>1048540</v>
      </c>
      <c r="AD1096" s="33" t="str">
        <f t="shared" si="53"/>
        <v/>
      </c>
      <c r="AE1096" s="33" t="str" cm="1">
        <f t="array" ref="AE1096">LOOKUP(2,1/($AB$2:$AB$1000=AB1096),$AD$2:$AD$1000)</f>
        <v/>
      </c>
    </row>
    <row r="1097" spans="27:31" x14ac:dyDescent="0.3">
      <c r="AA1097" s="33" t="str">
        <f t="shared" si="52"/>
        <v/>
      </c>
      <c r="AC1097" s="33">
        <f t="shared" si="51"/>
        <v>1048540</v>
      </c>
      <c r="AD1097" s="33" t="str">
        <f t="shared" si="53"/>
        <v/>
      </c>
      <c r="AE1097" s="33" t="str" cm="1">
        <f t="array" ref="AE1097">LOOKUP(2,1/($AB$2:$AB$1000=AB1097),$AD$2:$AD$1000)</f>
        <v/>
      </c>
    </row>
    <row r="1098" spans="27:31" x14ac:dyDescent="0.3">
      <c r="AA1098" s="33" t="str">
        <f t="shared" si="52"/>
        <v/>
      </c>
      <c r="AC1098" s="33">
        <f t="shared" si="51"/>
        <v>1048540</v>
      </c>
      <c r="AD1098" s="33" t="str">
        <f t="shared" si="53"/>
        <v/>
      </c>
      <c r="AE1098" s="33" t="str" cm="1">
        <f t="array" ref="AE1098">LOOKUP(2,1/($AB$2:$AB$1000=AB1098),$AD$2:$AD$1000)</f>
        <v/>
      </c>
    </row>
    <row r="1099" spans="27:31" x14ac:dyDescent="0.3">
      <c r="AA1099" s="33" t="str">
        <f t="shared" si="52"/>
        <v/>
      </c>
      <c r="AC1099" s="33">
        <f t="shared" si="51"/>
        <v>1048540</v>
      </c>
      <c r="AD1099" s="33" t="str">
        <f t="shared" si="53"/>
        <v/>
      </c>
      <c r="AE1099" s="33" t="str" cm="1">
        <f t="array" ref="AE1099">LOOKUP(2,1/($AB$2:$AB$1000=AB1099),$AD$2:$AD$1000)</f>
        <v/>
      </c>
    </row>
    <row r="1100" spans="27:31" x14ac:dyDescent="0.3">
      <c r="AA1100" s="33" t="str">
        <f t="shared" si="52"/>
        <v/>
      </c>
      <c r="AC1100" s="33">
        <f t="shared" si="51"/>
        <v>1048540</v>
      </c>
      <c r="AD1100" s="33" t="str">
        <f t="shared" si="53"/>
        <v/>
      </c>
      <c r="AE1100" s="33" t="str" cm="1">
        <f t="array" ref="AE1100">LOOKUP(2,1/($AB$2:$AB$1000=AB1100),$AD$2:$AD$1000)</f>
        <v/>
      </c>
    </row>
    <row r="1101" spans="27:31" x14ac:dyDescent="0.3">
      <c r="AA1101" s="33" t="str">
        <f t="shared" si="52"/>
        <v/>
      </c>
      <c r="AC1101" s="33">
        <f t="shared" si="51"/>
        <v>1048540</v>
      </c>
      <c r="AD1101" s="33" t="str">
        <f t="shared" si="53"/>
        <v/>
      </c>
      <c r="AE1101" s="33" t="str" cm="1">
        <f t="array" ref="AE1101">LOOKUP(2,1/($AB$2:$AB$1000=AB1101),$AD$2:$AD$1000)</f>
        <v/>
      </c>
    </row>
    <row r="1102" spans="27:31" x14ac:dyDescent="0.3">
      <c r="AA1102" s="33" t="str">
        <f t="shared" si="52"/>
        <v/>
      </c>
      <c r="AC1102" s="33">
        <f t="shared" si="51"/>
        <v>1048540</v>
      </c>
      <c r="AD1102" s="33" t="str">
        <f t="shared" si="53"/>
        <v/>
      </c>
      <c r="AE1102" s="33" t="str" cm="1">
        <f t="array" ref="AE1102">LOOKUP(2,1/($AB$2:$AB$1000=AB1102),$AD$2:$AD$1000)</f>
        <v/>
      </c>
    </row>
    <row r="1103" spans="27:31" x14ac:dyDescent="0.3">
      <c r="AA1103" s="33" t="str">
        <f t="shared" si="52"/>
        <v/>
      </c>
      <c r="AC1103" s="33">
        <f t="shared" si="51"/>
        <v>1048540</v>
      </c>
      <c r="AD1103" s="33" t="str">
        <f t="shared" si="53"/>
        <v/>
      </c>
      <c r="AE1103" s="33" t="str" cm="1">
        <f t="array" ref="AE1103">LOOKUP(2,1/($AB$2:$AB$1000=AB1103),$AD$2:$AD$1000)</f>
        <v/>
      </c>
    </row>
    <row r="1104" spans="27:31" x14ac:dyDescent="0.3">
      <c r="AA1104" s="33" t="str">
        <f t="shared" si="52"/>
        <v/>
      </c>
      <c r="AC1104" s="33">
        <f t="shared" si="51"/>
        <v>1048540</v>
      </c>
      <c r="AD1104" s="33" t="str">
        <f t="shared" si="53"/>
        <v/>
      </c>
      <c r="AE1104" s="33" t="str" cm="1">
        <f t="array" ref="AE1104">LOOKUP(2,1/($AB$2:$AB$1000=AB1104),$AD$2:$AD$1000)</f>
        <v/>
      </c>
    </row>
    <row r="1105" spans="27:31" x14ac:dyDescent="0.3">
      <c r="AA1105" s="33" t="str">
        <f t="shared" si="52"/>
        <v/>
      </c>
      <c r="AC1105" s="33">
        <f t="shared" si="51"/>
        <v>1048540</v>
      </c>
      <c r="AD1105" s="33" t="str">
        <f t="shared" si="53"/>
        <v/>
      </c>
      <c r="AE1105" s="33" t="str" cm="1">
        <f t="array" ref="AE1105">LOOKUP(2,1/($AB$2:$AB$1000=AB1105),$AD$2:$AD$1000)</f>
        <v/>
      </c>
    </row>
    <row r="1106" spans="27:31" x14ac:dyDescent="0.3">
      <c r="AA1106" s="33" t="str">
        <f t="shared" si="52"/>
        <v/>
      </c>
      <c r="AC1106" s="33">
        <f t="shared" si="51"/>
        <v>1048540</v>
      </c>
      <c r="AD1106" s="33" t="str">
        <f t="shared" si="53"/>
        <v/>
      </c>
      <c r="AE1106" s="33" t="str" cm="1">
        <f t="array" ref="AE1106">LOOKUP(2,1/($AB$2:$AB$1000=AB1106),$AD$2:$AD$1000)</f>
        <v/>
      </c>
    </row>
    <row r="1107" spans="27:31" x14ac:dyDescent="0.3">
      <c r="AA1107" s="33" t="str">
        <f t="shared" si="52"/>
        <v/>
      </c>
      <c r="AC1107" s="33">
        <f t="shared" si="51"/>
        <v>1048540</v>
      </c>
      <c r="AD1107" s="33" t="str">
        <f t="shared" si="53"/>
        <v/>
      </c>
      <c r="AE1107" s="33" t="str" cm="1">
        <f t="array" ref="AE1107">LOOKUP(2,1/($AB$2:$AB$1000=AB1107),$AD$2:$AD$1000)</f>
        <v/>
      </c>
    </row>
    <row r="1108" spans="27:31" x14ac:dyDescent="0.3">
      <c r="AA1108" s="33" t="str">
        <f t="shared" si="52"/>
        <v/>
      </c>
      <c r="AC1108" s="33">
        <f t="shared" si="51"/>
        <v>1048540</v>
      </c>
      <c r="AD1108" s="33" t="str">
        <f t="shared" si="53"/>
        <v/>
      </c>
      <c r="AE1108" s="33" t="str" cm="1">
        <f t="array" ref="AE1108">LOOKUP(2,1/($AB$2:$AB$1000=AB1108),$AD$2:$AD$1000)</f>
        <v/>
      </c>
    </row>
    <row r="1109" spans="27:31" x14ac:dyDescent="0.3">
      <c r="AA1109" s="33" t="str">
        <f t="shared" si="52"/>
        <v/>
      </c>
      <c r="AC1109" s="33">
        <f t="shared" si="51"/>
        <v>1048540</v>
      </c>
      <c r="AD1109" s="33" t="str">
        <f t="shared" si="53"/>
        <v/>
      </c>
      <c r="AE1109" s="33" t="str" cm="1">
        <f t="array" ref="AE1109">LOOKUP(2,1/($AB$2:$AB$1000=AB1109),$AD$2:$AD$1000)</f>
        <v/>
      </c>
    </row>
    <row r="1110" spans="27:31" x14ac:dyDescent="0.3">
      <c r="AA1110" s="33" t="str">
        <f t="shared" si="52"/>
        <v/>
      </c>
      <c r="AC1110" s="33">
        <f t="shared" si="51"/>
        <v>1048540</v>
      </c>
      <c r="AD1110" s="33" t="str">
        <f t="shared" si="53"/>
        <v/>
      </c>
      <c r="AE1110" s="33" t="str" cm="1">
        <f t="array" ref="AE1110">LOOKUP(2,1/($AB$2:$AB$1000=AB1110),$AD$2:$AD$1000)</f>
        <v/>
      </c>
    </row>
    <row r="1111" spans="27:31" x14ac:dyDescent="0.3">
      <c r="AA1111" s="33" t="str">
        <f t="shared" si="52"/>
        <v/>
      </c>
      <c r="AC1111" s="33">
        <f t="shared" si="51"/>
        <v>1048540</v>
      </c>
      <c r="AD1111" s="33" t="str">
        <f t="shared" si="53"/>
        <v/>
      </c>
      <c r="AE1111" s="33" t="str" cm="1">
        <f t="array" ref="AE1111">LOOKUP(2,1/($AB$2:$AB$1000=AB1111),$AD$2:$AD$1000)</f>
        <v/>
      </c>
    </row>
    <row r="1112" spans="27:31" x14ac:dyDescent="0.3">
      <c r="AA1112" s="33" t="str">
        <f t="shared" si="52"/>
        <v/>
      </c>
      <c r="AC1112" s="33">
        <f t="shared" si="51"/>
        <v>1048540</v>
      </c>
      <c r="AD1112" s="33" t="str">
        <f t="shared" si="53"/>
        <v/>
      </c>
      <c r="AE1112" s="33" t="str" cm="1">
        <f t="array" ref="AE1112">LOOKUP(2,1/($AB$2:$AB$1000=AB1112),$AD$2:$AD$1000)</f>
        <v/>
      </c>
    </row>
    <row r="1113" spans="27:31" x14ac:dyDescent="0.3">
      <c r="AA1113" s="33" t="str">
        <f t="shared" si="52"/>
        <v/>
      </c>
      <c r="AC1113" s="33">
        <f t="shared" si="51"/>
        <v>1048540</v>
      </c>
      <c r="AD1113" s="33" t="str">
        <f t="shared" si="53"/>
        <v/>
      </c>
      <c r="AE1113" s="33" t="str" cm="1">
        <f t="array" ref="AE1113">LOOKUP(2,1/($AB$2:$AB$1000=AB1113),$AD$2:$AD$1000)</f>
        <v/>
      </c>
    </row>
    <row r="1114" spans="27:31" x14ac:dyDescent="0.3">
      <c r="AA1114" s="33" t="str">
        <f t="shared" si="52"/>
        <v/>
      </c>
      <c r="AC1114" s="33">
        <f t="shared" si="51"/>
        <v>1048540</v>
      </c>
      <c r="AD1114" s="33" t="str">
        <f t="shared" si="53"/>
        <v/>
      </c>
      <c r="AE1114" s="33" t="str" cm="1">
        <f t="array" ref="AE1114">LOOKUP(2,1/($AB$2:$AB$1000=AB1114),$AD$2:$AD$1000)</f>
        <v/>
      </c>
    </row>
    <row r="1115" spans="27:31" x14ac:dyDescent="0.3">
      <c r="AA1115" s="33" t="str">
        <f t="shared" si="52"/>
        <v/>
      </c>
      <c r="AC1115" s="33">
        <f t="shared" si="51"/>
        <v>1048540</v>
      </c>
      <c r="AD1115" s="33" t="str">
        <f t="shared" si="53"/>
        <v/>
      </c>
      <c r="AE1115" s="33" t="str" cm="1">
        <f t="array" ref="AE1115">LOOKUP(2,1/($AB$2:$AB$1000=AB1115),$AD$2:$AD$1000)</f>
        <v/>
      </c>
    </row>
    <row r="1116" spans="27:31" x14ac:dyDescent="0.3">
      <c r="AA1116" s="33" t="str">
        <f t="shared" si="52"/>
        <v/>
      </c>
      <c r="AC1116" s="33">
        <f t="shared" si="51"/>
        <v>1048540</v>
      </c>
      <c r="AD1116" s="33" t="str">
        <f t="shared" si="53"/>
        <v/>
      </c>
      <c r="AE1116" s="33" t="str" cm="1">
        <f t="array" ref="AE1116">LOOKUP(2,1/($AB$2:$AB$1000=AB1116),$AD$2:$AD$1000)</f>
        <v/>
      </c>
    </row>
    <row r="1117" spans="27:31" x14ac:dyDescent="0.3">
      <c r="AA1117" s="33" t="str">
        <f t="shared" si="52"/>
        <v/>
      </c>
      <c r="AC1117" s="33">
        <f t="shared" si="51"/>
        <v>1048540</v>
      </c>
      <c r="AD1117" s="33" t="str">
        <f t="shared" si="53"/>
        <v/>
      </c>
      <c r="AE1117" s="33" t="str" cm="1">
        <f t="array" ref="AE1117">LOOKUP(2,1/($AB$2:$AB$1000=AB1117),$AD$2:$AD$1000)</f>
        <v/>
      </c>
    </row>
    <row r="1118" spans="27:31" x14ac:dyDescent="0.3">
      <c r="AA1118" s="33" t="str">
        <f t="shared" si="52"/>
        <v/>
      </c>
      <c r="AC1118" s="33">
        <f t="shared" si="51"/>
        <v>1048540</v>
      </c>
      <c r="AD1118" s="33" t="str">
        <f t="shared" si="53"/>
        <v/>
      </c>
      <c r="AE1118" s="33" t="str" cm="1">
        <f t="array" ref="AE1118">LOOKUP(2,1/($AB$2:$AB$1000=AB1118),$AD$2:$AD$1000)</f>
        <v/>
      </c>
    </row>
    <row r="1119" spans="27:31" x14ac:dyDescent="0.3">
      <c r="AA1119" s="33" t="str">
        <f t="shared" si="52"/>
        <v/>
      </c>
      <c r="AC1119" s="33">
        <f t="shared" si="51"/>
        <v>1048540</v>
      </c>
      <c r="AD1119" s="33" t="str">
        <f t="shared" si="53"/>
        <v/>
      </c>
      <c r="AE1119" s="33" t="str" cm="1">
        <f t="array" ref="AE1119">LOOKUP(2,1/($AB$2:$AB$1000=AB1119),$AD$2:$AD$1000)</f>
        <v/>
      </c>
    </row>
    <row r="1120" spans="27:31" x14ac:dyDescent="0.3">
      <c r="AA1120" s="33" t="str">
        <f t="shared" si="52"/>
        <v/>
      </c>
      <c r="AC1120" s="33">
        <f t="shared" si="51"/>
        <v>1048540</v>
      </c>
      <c r="AD1120" s="33" t="str">
        <f t="shared" si="53"/>
        <v/>
      </c>
      <c r="AE1120" s="33" t="str" cm="1">
        <f t="array" ref="AE1120">LOOKUP(2,1/($AB$2:$AB$1000=AB1120),$AD$2:$AD$1000)</f>
        <v/>
      </c>
    </row>
    <row r="1121" spans="27:31" x14ac:dyDescent="0.3">
      <c r="AA1121" s="33" t="str">
        <f t="shared" si="52"/>
        <v/>
      </c>
      <c r="AC1121" s="33">
        <f t="shared" si="51"/>
        <v>1048540</v>
      </c>
      <c r="AD1121" s="33" t="str">
        <f t="shared" si="53"/>
        <v/>
      </c>
      <c r="AE1121" s="33" t="str" cm="1">
        <f t="array" ref="AE1121">LOOKUP(2,1/($AB$2:$AB$1000=AB1121),$AD$2:$AD$1000)</f>
        <v/>
      </c>
    </row>
    <row r="1122" spans="27:31" x14ac:dyDescent="0.3">
      <c r="AA1122" s="33" t="str">
        <f t="shared" si="52"/>
        <v/>
      </c>
      <c r="AC1122" s="33">
        <f t="shared" si="51"/>
        <v>1048540</v>
      </c>
      <c r="AD1122" s="33" t="str">
        <f t="shared" si="53"/>
        <v/>
      </c>
      <c r="AE1122" s="33" t="str" cm="1">
        <f t="array" ref="AE1122">LOOKUP(2,1/($AB$2:$AB$1000=AB1122),$AD$2:$AD$1000)</f>
        <v/>
      </c>
    </row>
    <row r="1123" spans="27:31" x14ac:dyDescent="0.3">
      <c r="AA1123" s="33" t="str">
        <f t="shared" si="52"/>
        <v/>
      </c>
      <c r="AC1123" s="33">
        <f t="shared" si="51"/>
        <v>1048540</v>
      </c>
      <c r="AD1123" s="33" t="str">
        <f t="shared" si="53"/>
        <v/>
      </c>
      <c r="AE1123" s="33" t="str" cm="1">
        <f t="array" ref="AE1123">LOOKUP(2,1/($AB$2:$AB$1000=AB1123),$AD$2:$AD$1000)</f>
        <v/>
      </c>
    </row>
    <row r="1124" spans="27:31" x14ac:dyDescent="0.3">
      <c r="AA1124" s="33" t="str">
        <f t="shared" si="52"/>
        <v/>
      </c>
      <c r="AC1124" s="33">
        <f t="shared" si="51"/>
        <v>1048540</v>
      </c>
      <c r="AD1124" s="33" t="str">
        <f t="shared" si="53"/>
        <v/>
      </c>
      <c r="AE1124" s="33" t="str" cm="1">
        <f t="array" ref="AE1124">LOOKUP(2,1/($AB$2:$AB$1000=AB1124),$AD$2:$AD$1000)</f>
        <v/>
      </c>
    </row>
    <row r="1125" spans="27:31" x14ac:dyDescent="0.3">
      <c r="AA1125" s="33" t="str">
        <f t="shared" si="52"/>
        <v/>
      </c>
      <c r="AC1125" s="33">
        <f t="shared" si="51"/>
        <v>1048540</v>
      </c>
      <c r="AD1125" s="33" t="str">
        <f t="shared" si="53"/>
        <v/>
      </c>
      <c r="AE1125" s="33" t="str" cm="1">
        <f t="array" ref="AE1125">LOOKUP(2,1/($AB$2:$AB$1000=AB1125),$AD$2:$AD$1000)</f>
        <v/>
      </c>
    </row>
    <row r="1126" spans="27:31" x14ac:dyDescent="0.3">
      <c r="AA1126" s="33" t="str">
        <f t="shared" si="52"/>
        <v/>
      </c>
      <c r="AC1126" s="33">
        <f t="shared" si="51"/>
        <v>1048540</v>
      </c>
      <c r="AD1126" s="33" t="str">
        <f t="shared" si="53"/>
        <v/>
      </c>
      <c r="AE1126" s="33" t="str" cm="1">
        <f t="array" ref="AE1126">LOOKUP(2,1/($AB$2:$AB$1000=AB1126),$AD$2:$AD$1000)</f>
        <v/>
      </c>
    </row>
    <row r="1127" spans="27:31" x14ac:dyDescent="0.3">
      <c r="AA1127" s="33" t="str">
        <f t="shared" si="52"/>
        <v/>
      </c>
      <c r="AC1127" s="33">
        <f t="shared" si="51"/>
        <v>1048540</v>
      </c>
      <c r="AD1127" s="33" t="str">
        <f t="shared" si="53"/>
        <v/>
      </c>
      <c r="AE1127" s="33" t="str" cm="1">
        <f t="array" ref="AE1127">LOOKUP(2,1/($AB$2:$AB$1000=AB1127),$AD$2:$AD$1000)</f>
        <v/>
      </c>
    </row>
    <row r="1128" spans="27:31" x14ac:dyDescent="0.3">
      <c r="AA1128" s="33" t="str">
        <f t="shared" si="52"/>
        <v/>
      </c>
      <c r="AC1128" s="33">
        <f t="shared" si="51"/>
        <v>1048540</v>
      </c>
      <c r="AD1128" s="33" t="str">
        <f t="shared" si="53"/>
        <v/>
      </c>
      <c r="AE1128" s="33" t="str" cm="1">
        <f t="array" ref="AE1128">LOOKUP(2,1/($AB$2:$AB$1000=AB1128),$AD$2:$AD$1000)</f>
        <v/>
      </c>
    </row>
    <row r="1129" spans="27:31" x14ac:dyDescent="0.3">
      <c r="AA1129" s="33" t="str">
        <f t="shared" si="52"/>
        <v/>
      </c>
      <c r="AC1129" s="33">
        <f t="shared" si="51"/>
        <v>1048540</v>
      </c>
      <c r="AD1129" s="33" t="str">
        <f t="shared" si="53"/>
        <v/>
      </c>
      <c r="AE1129" s="33" t="str" cm="1">
        <f t="array" ref="AE1129">LOOKUP(2,1/($AB$2:$AB$1000=AB1129),$AD$2:$AD$1000)</f>
        <v/>
      </c>
    </row>
    <row r="1130" spans="27:31" x14ac:dyDescent="0.3">
      <c r="AA1130" s="33" t="str">
        <f t="shared" si="52"/>
        <v/>
      </c>
      <c r="AC1130" s="33">
        <f t="shared" si="51"/>
        <v>1048540</v>
      </c>
      <c r="AD1130" s="33" t="str">
        <f t="shared" si="53"/>
        <v/>
      </c>
      <c r="AE1130" s="33" t="str" cm="1">
        <f t="array" ref="AE1130">LOOKUP(2,1/($AB$2:$AB$1000=AB1130),$AD$2:$AD$1000)</f>
        <v/>
      </c>
    </row>
    <row r="1131" spans="27:31" x14ac:dyDescent="0.3">
      <c r="AA1131" s="33" t="str">
        <f t="shared" si="52"/>
        <v/>
      </c>
      <c r="AC1131" s="33">
        <f t="shared" si="51"/>
        <v>1048540</v>
      </c>
      <c r="AD1131" s="33" t="str">
        <f t="shared" si="53"/>
        <v/>
      </c>
      <c r="AE1131" s="33" t="str" cm="1">
        <f t="array" ref="AE1131">LOOKUP(2,1/($AB$2:$AB$1000=AB1131),$AD$2:$AD$1000)</f>
        <v/>
      </c>
    </row>
    <row r="1132" spans="27:31" x14ac:dyDescent="0.3">
      <c r="AA1132" s="33" t="str">
        <f t="shared" si="52"/>
        <v/>
      </c>
      <c r="AC1132" s="33">
        <f t="shared" si="51"/>
        <v>1048540</v>
      </c>
      <c r="AD1132" s="33" t="str">
        <f t="shared" si="53"/>
        <v/>
      </c>
      <c r="AE1132" s="33" t="str" cm="1">
        <f t="array" ref="AE1132">LOOKUP(2,1/($AB$2:$AB$1000=AB1132),$AD$2:$AD$1000)</f>
        <v/>
      </c>
    </row>
    <row r="1133" spans="27:31" x14ac:dyDescent="0.3">
      <c r="AA1133" s="33" t="str">
        <f t="shared" si="52"/>
        <v/>
      </c>
      <c r="AC1133" s="33">
        <f t="shared" si="51"/>
        <v>1048540</v>
      </c>
      <c r="AD1133" s="33" t="str">
        <f t="shared" si="53"/>
        <v/>
      </c>
      <c r="AE1133" s="33" t="str" cm="1">
        <f t="array" ref="AE1133">LOOKUP(2,1/($AB$2:$AB$1000=AB1133),$AD$2:$AD$1000)</f>
        <v/>
      </c>
    </row>
    <row r="1134" spans="27:31" x14ac:dyDescent="0.3">
      <c r="AA1134" s="33" t="str">
        <f t="shared" si="52"/>
        <v/>
      </c>
      <c r="AC1134" s="33">
        <f t="shared" si="51"/>
        <v>1048540</v>
      </c>
      <c r="AD1134" s="33" t="str">
        <f t="shared" si="53"/>
        <v/>
      </c>
      <c r="AE1134" s="33" t="str" cm="1">
        <f t="array" ref="AE1134">LOOKUP(2,1/($AB$2:$AB$1000=AB1134),$AD$2:$AD$1000)</f>
        <v/>
      </c>
    </row>
    <row r="1135" spans="27:31" x14ac:dyDescent="0.3">
      <c r="AA1135" s="33" t="str">
        <f t="shared" si="52"/>
        <v/>
      </c>
      <c r="AC1135" s="33">
        <f t="shared" si="51"/>
        <v>1048540</v>
      </c>
      <c r="AD1135" s="33" t="str">
        <f t="shared" si="53"/>
        <v/>
      </c>
      <c r="AE1135" s="33" t="str" cm="1">
        <f t="array" ref="AE1135">LOOKUP(2,1/($AB$2:$AB$1000=AB1135),$AD$2:$AD$1000)</f>
        <v/>
      </c>
    </row>
    <row r="1136" spans="27:31" x14ac:dyDescent="0.3">
      <c r="AA1136" s="33" t="str">
        <f t="shared" si="52"/>
        <v/>
      </c>
      <c r="AC1136" s="33">
        <f t="shared" si="51"/>
        <v>1048540</v>
      </c>
      <c r="AD1136" s="33" t="str">
        <f t="shared" si="53"/>
        <v/>
      </c>
      <c r="AE1136" s="33" t="str" cm="1">
        <f t="array" ref="AE1136">LOOKUP(2,1/($AB$2:$AB$1000=AB1136),$AD$2:$AD$1000)</f>
        <v/>
      </c>
    </row>
    <row r="1137" spans="27:31" x14ac:dyDescent="0.3">
      <c r="AA1137" s="33" t="str">
        <f t="shared" si="52"/>
        <v/>
      </c>
      <c r="AC1137" s="33">
        <f t="shared" si="51"/>
        <v>1048540</v>
      </c>
      <c r="AD1137" s="33" t="str">
        <f t="shared" si="53"/>
        <v/>
      </c>
      <c r="AE1137" s="33" t="str" cm="1">
        <f t="array" ref="AE1137">LOOKUP(2,1/($AB$2:$AB$1000=AB1137),$AD$2:$AD$1000)</f>
        <v/>
      </c>
    </row>
    <row r="1138" spans="27:31" x14ac:dyDescent="0.3">
      <c r="AA1138" s="33" t="str">
        <f t="shared" si="52"/>
        <v/>
      </c>
      <c r="AC1138" s="33">
        <f t="shared" si="51"/>
        <v>1048540</v>
      </c>
      <c r="AD1138" s="33" t="str">
        <f t="shared" si="53"/>
        <v/>
      </c>
    </row>
    <row r="1139" spans="27:31" x14ac:dyDescent="0.3">
      <c r="AA1139" s="33" t="str">
        <f t="shared" si="52"/>
        <v/>
      </c>
      <c r="AC1139" s="33">
        <f t="shared" si="51"/>
        <v>1048540</v>
      </c>
      <c r="AD1139" s="33" t="str">
        <f t="shared" si="53"/>
        <v/>
      </c>
    </row>
    <row r="1140" spans="27:31" x14ac:dyDescent="0.3">
      <c r="AA1140" s="33" t="str">
        <f t="shared" si="52"/>
        <v/>
      </c>
      <c r="AC1140" s="33">
        <f t="shared" si="51"/>
        <v>1048540</v>
      </c>
      <c r="AD1140" s="33" t="str">
        <f t="shared" si="53"/>
        <v/>
      </c>
    </row>
    <row r="1141" spans="27:31" x14ac:dyDescent="0.3">
      <c r="AA1141" s="33" t="str">
        <f t="shared" si="52"/>
        <v/>
      </c>
      <c r="AC1141" s="33">
        <f t="shared" si="51"/>
        <v>1048540</v>
      </c>
      <c r="AD1141" s="33" t="str">
        <f t="shared" si="53"/>
        <v/>
      </c>
    </row>
    <row r="1142" spans="27:31" x14ac:dyDescent="0.3">
      <c r="AA1142" s="33" t="str">
        <f t="shared" si="52"/>
        <v/>
      </c>
      <c r="AC1142" s="33">
        <f t="shared" si="51"/>
        <v>1048540</v>
      </c>
      <c r="AD1142" s="33" t="str">
        <f t="shared" si="53"/>
        <v/>
      </c>
    </row>
    <row r="1143" spans="27:31" x14ac:dyDescent="0.3">
      <c r="AA1143" s="33" t="str">
        <f t="shared" si="52"/>
        <v/>
      </c>
      <c r="AC1143" s="33">
        <f t="shared" si="51"/>
        <v>1048540</v>
      </c>
      <c r="AD1143" s="33" t="str">
        <f t="shared" si="53"/>
        <v/>
      </c>
    </row>
    <row r="1144" spans="27:31" x14ac:dyDescent="0.3">
      <c r="AA1144" s="33" t="str">
        <f t="shared" si="52"/>
        <v/>
      </c>
      <c r="AC1144" s="33">
        <f t="shared" si="51"/>
        <v>1048540</v>
      </c>
      <c r="AD1144" s="33" t="str">
        <f t="shared" si="53"/>
        <v/>
      </c>
    </row>
    <row r="1145" spans="27:31" x14ac:dyDescent="0.3">
      <c r="AA1145" s="33" t="str">
        <f t="shared" si="52"/>
        <v/>
      </c>
      <c r="AC1145" s="33">
        <f t="shared" si="51"/>
        <v>1048540</v>
      </c>
      <c r="AD1145" s="33" t="str">
        <f t="shared" si="53"/>
        <v/>
      </c>
    </row>
    <row r="1146" spans="27:31" x14ac:dyDescent="0.3">
      <c r="AA1146" s="33" t="str">
        <f t="shared" si="52"/>
        <v/>
      </c>
      <c r="AC1146" s="33">
        <f t="shared" si="51"/>
        <v>1048540</v>
      </c>
      <c r="AD1146" s="33" t="str">
        <f t="shared" si="53"/>
        <v/>
      </c>
    </row>
    <row r="1147" spans="27:31" x14ac:dyDescent="0.3">
      <c r="AA1147" s="33" t="str">
        <f t="shared" si="52"/>
        <v/>
      </c>
      <c r="AC1147" s="33">
        <f t="shared" si="51"/>
        <v>1048540</v>
      </c>
      <c r="AD1147" s="33" t="str">
        <f t="shared" si="53"/>
        <v/>
      </c>
    </row>
    <row r="1148" spans="27:31" x14ac:dyDescent="0.3">
      <c r="AA1148" s="33" t="str">
        <f t="shared" si="52"/>
        <v/>
      </c>
      <c r="AC1148" s="33">
        <f t="shared" si="51"/>
        <v>1048540</v>
      </c>
      <c r="AD1148" s="33" t="str">
        <f t="shared" si="53"/>
        <v/>
      </c>
    </row>
    <row r="1149" spans="27:31" x14ac:dyDescent="0.3">
      <c r="AA1149" s="33" t="str">
        <f t="shared" si="52"/>
        <v/>
      </c>
      <c r="AC1149" s="33">
        <f t="shared" si="51"/>
        <v>1048540</v>
      </c>
      <c r="AD1149" s="33" t="str">
        <f t="shared" si="53"/>
        <v/>
      </c>
    </row>
    <row r="1150" spans="27:31" x14ac:dyDescent="0.3">
      <c r="AA1150" s="33" t="str">
        <f t="shared" si="52"/>
        <v/>
      </c>
      <c r="AC1150" s="33">
        <f t="shared" si="51"/>
        <v>1048540</v>
      </c>
      <c r="AD1150" s="33" t="str">
        <f t="shared" si="53"/>
        <v/>
      </c>
    </row>
    <row r="1151" spans="27:31" x14ac:dyDescent="0.3">
      <c r="AA1151" s="33" t="str">
        <f t="shared" si="52"/>
        <v/>
      </c>
      <c r="AC1151" s="33">
        <f t="shared" si="51"/>
        <v>1048540</v>
      </c>
      <c r="AD1151" s="33" t="str">
        <f t="shared" si="53"/>
        <v/>
      </c>
    </row>
    <row r="1152" spans="27:31" x14ac:dyDescent="0.3">
      <c r="AA1152" s="33" t="str">
        <f t="shared" si="52"/>
        <v/>
      </c>
      <c r="AC1152" s="33">
        <f t="shared" si="51"/>
        <v>1048540</v>
      </c>
      <c r="AD1152" s="33" t="str">
        <f t="shared" si="53"/>
        <v/>
      </c>
    </row>
    <row r="1153" spans="27:30" x14ac:dyDescent="0.3">
      <c r="AA1153" s="33" t="str">
        <f t="shared" si="52"/>
        <v/>
      </c>
      <c r="AC1153" s="33">
        <f t="shared" si="51"/>
        <v>1048540</v>
      </c>
      <c r="AD1153" s="33" t="str">
        <f t="shared" si="53"/>
        <v/>
      </c>
    </row>
    <row r="1154" spans="27:30" x14ac:dyDescent="0.3">
      <c r="AA1154" s="33" t="str">
        <f t="shared" si="52"/>
        <v/>
      </c>
      <c r="AC1154" s="33">
        <f t="shared" ref="AC1154:AC1213" si="54">COUNTIF($AA:$AA,AA1154)</f>
        <v>1048540</v>
      </c>
      <c r="AD1154" s="33" t="str">
        <f t="shared" si="53"/>
        <v/>
      </c>
    </row>
    <row r="1155" spans="27:30" x14ac:dyDescent="0.3">
      <c r="AA1155" s="33" t="str">
        <f t="shared" ref="AA1155:AA1212" si="55">IFERROR(MID(G1155,FIND("LR-",G1155)+3,FIND("-",G1155,FIND("LR-",G1155)+3)-FIND("LR-",G1155)-3),"")</f>
        <v/>
      </c>
      <c r="AC1155" s="33">
        <f t="shared" si="54"/>
        <v>1048540</v>
      </c>
      <c r="AD1155" s="33" t="str">
        <f t="shared" ref="AD1155:AD1205" si="56">IF(F1155=0,"",F1155)</f>
        <v/>
      </c>
    </row>
    <row r="1156" spans="27:30" x14ac:dyDescent="0.3">
      <c r="AA1156" s="33" t="str">
        <f t="shared" si="55"/>
        <v/>
      </c>
      <c r="AC1156" s="33">
        <f t="shared" si="54"/>
        <v>1048540</v>
      </c>
      <c r="AD1156" s="33" t="str">
        <f t="shared" si="56"/>
        <v/>
      </c>
    </row>
    <row r="1157" spans="27:30" x14ac:dyDescent="0.3">
      <c r="AA1157" s="33" t="str">
        <f t="shared" si="55"/>
        <v/>
      </c>
      <c r="AC1157" s="33">
        <f t="shared" si="54"/>
        <v>1048540</v>
      </c>
      <c r="AD1157" s="33" t="str">
        <f t="shared" si="56"/>
        <v/>
      </c>
    </row>
    <row r="1158" spans="27:30" x14ac:dyDescent="0.3">
      <c r="AA1158" s="33" t="str">
        <f t="shared" si="55"/>
        <v/>
      </c>
      <c r="AC1158" s="33">
        <f t="shared" si="54"/>
        <v>1048540</v>
      </c>
      <c r="AD1158" s="33" t="str">
        <f t="shared" si="56"/>
        <v/>
      </c>
    </row>
    <row r="1159" spans="27:30" x14ac:dyDescent="0.3">
      <c r="AA1159" s="33" t="str">
        <f t="shared" si="55"/>
        <v/>
      </c>
      <c r="AC1159" s="33">
        <f t="shared" si="54"/>
        <v>1048540</v>
      </c>
      <c r="AD1159" s="33" t="str">
        <f t="shared" si="56"/>
        <v/>
      </c>
    </row>
    <row r="1160" spans="27:30" x14ac:dyDescent="0.3">
      <c r="AA1160" s="33" t="str">
        <f t="shared" si="55"/>
        <v/>
      </c>
      <c r="AC1160" s="33">
        <f t="shared" si="54"/>
        <v>1048540</v>
      </c>
      <c r="AD1160" s="33" t="str">
        <f t="shared" si="56"/>
        <v/>
      </c>
    </row>
    <row r="1161" spans="27:30" x14ac:dyDescent="0.3">
      <c r="AA1161" s="33" t="str">
        <f t="shared" si="55"/>
        <v/>
      </c>
      <c r="AC1161" s="33">
        <f t="shared" si="54"/>
        <v>1048540</v>
      </c>
      <c r="AD1161" s="33" t="str">
        <f t="shared" si="56"/>
        <v/>
      </c>
    </row>
    <row r="1162" spans="27:30" x14ac:dyDescent="0.3">
      <c r="AA1162" s="33" t="str">
        <f t="shared" si="55"/>
        <v/>
      </c>
      <c r="AC1162" s="33">
        <f t="shared" si="54"/>
        <v>1048540</v>
      </c>
      <c r="AD1162" s="33" t="str">
        <f t="shared" si="56"/>
        <v/>
      </c>
    </row>
    <row r="1163" spans="27:30" x14ac:dyDescent="0.3">
      <c r="AA1163" s="33" t="str">
        <f t="shared" si="55"/>
        <v/>
      </c>
      <c r="AC1163" s="33">
        <f t="shared" si="54"/>
        <v>1048540</v>
      </c>
      <c r="AD1163" s="33" t="str">
        <f t="shared" si="56"/>
        <v/>
      </c>
    </row>
    <row r="1164" spans="27:30" x14ac:dyDescent="0.3">
      <c r="AA1164" s="33" t="str">
        <f t="shared" si="55"/>
        <v/>
      </c>
      <c r="AC1164" s="33">
        <f t="shared" si="54"/>
        <v>1048540</v>
      </c>
      <c r="AD1164" s="33" t="str">
        <f t="shared" si="56"/>
        <v/>
      </c>
    </row>
    <row r="1165" spans="27:30" x14ac:dyDescent="0.3">
      <c r="AA1165" s="33" t="str">
        <f t="shared" si="55"/>
        <v/>
      </c>
      <c r="AC1165" s="33">
        <f t="shared" si="54"/>
        <v>1048540</v>
      </c>
      <c r="AD1165" s="33" t="str">
        <f t="shared" si="56"/>
        <v/>
      </c>
    </row>
    <row r="1166" spans="27:30" x14ac:dyDescent="0.3">
      <c r="AA1166" s="33" t="str">
        <f t="shared" si="55"/>
        <v/>
      </c>
      <c r="AC1166" s="33">
        <f t="shared" si="54"/>
        <v>1048540</v>
      </c>
      <c r="AD1166" s="33" t="str">
        <f t="shared" si="56"/>
        <v/>
      </c>
    </row>
    <row r="1167" spans="27:30" x14ac:dyDescent="0.3">
      <c r="AA1167" s="33" t="str">
        <f t="shared" si="55"/>
        <v/>
      </c>
      <c r="AC1167" s="33">
        <f t="shared" si="54"/>
        <v>1048540</v>
      </c>
      <c r="AD1167" s="33" t="str">
        <f t="shared" si="56"/>
        <v/>
      </c>
    </row>
    <row r="1168" spans="27:30" x14ac:dyDescent="0.3">
      <c r="AA1168" s="33" t="str">
        <f t="shared" si="55"/>
        <v/>
      </c>
      <c r="AC1168" s="33">
        <f t="shared" si="54"/>
        <v>1048540</v>
      </c>
      <c r="AD1168" s="33" t="str">
        <f t="shared" si="56"/>
        <v/>
      </c>
    </row>
    <row r="1169" spans="27:30" x14ac:dyDescent="0.3">
      <c r="AA1169" s="33" t="str">
        <f t="shared" si="55"/>
        <v/>
      </c>
      <c r="AC1169" s="33">
        <f t="shared" si="54"/>
        <v>1048540</v>
      </c>
      <c r="AD1169" s="33" t="str">
        <f t="shared" si="56"/>
        <v/>
      </c>
    </row>
    <row r="1170" spans="27:30" x14ac:dyDescent="0.3">
      <c r="AA1170" s="33" t="str">
        <f t="shared" si="55"/>
        <v/>
      </c>
      <c r="AC1170" s="33">
        <f t="shared" si="54"/>
        <v>1048540</v>
      </c>
      <c r="AD1170" s="33" t="str">
        <f t="shared" si="56"/>
        <v/>
      </c>
    </row>
    <row r="1171" spans="27:30" x14ac:dyDescent="0.3">
      <c r="AA1171" s="33" t="str">
        <f t="shared" si="55"/>
        <v/>
      </c>
      <c r="AC1171" s="33">
        <f t="shared" si="54"/>
        <v>1048540</v>
      </c>
      <c r="AD1171" s="33" t="str">
        <f t="shared" si="56"/>
        <v/>
      </c>
    </row>
    <row r="1172" spans="27:30" x14ac:dyDescent="0.3">
      <c r="AA1172" s="33" t="str">
        <f t="shared" si="55"/>
        <v/>
      </c>
      <c r="AC1172" s="33">
        <f t="shared" si="54"/>
        <v>1048540</v>
      </c>
      <c r="AD1172" s="33" t="str">
        <f t="shared" si="56"/>
        <v/>
      </c>
    </row>
    <row r="1173" spans="27:30" x14ac:dyDescent="0.3">
      <c r="AA1173" s="33" t="str">
        <f t="shared" si="55"/>
        <v/>
      </c>
      <c r="AC1173" s="33">
        <f t="shared" si="54"/>
        <v>1048540</v>
      </c>
      <c r="AD1173" s="33" t="str">
        <f t="shared" si="56"/>
        <v/>
      </c>
    </row>
    <row r="1174" spans="27:30" x14ac:dyDescent="0.3">
      <c r="AA1174" s="33" t="str">
        <f t="shared" si="55"/>
        <v/>
      </c>
      <c r="AC1174" s="33">
        <f t="shared" si="54"/>
        <v>1048540</v>
      </c>
      <c r="AD1174" s="33" t="str">
        <f t="shared" si="56"/>
        <v/>
      </c>
    </row>
    <row r="1175" spans="27:30" x14ac:dyDescent="0.3">
      <c r="AA1175" s="33" t="str">
        <f t="shared" si="55"/>
        <v/>
      </c>
      <c r="AC1175" s="33">
        <f t="shared" si="54"/>
        <v>1048540</v>
      </c>
      <c r="AD1175" s="33" t="str">
        <f t="shared" si="56"/>
        <v/>
      </c>
    </row>
    <row r="1176" spans="27:30" x14ac:dyDescent="0.3">
      <c r="AA1176" s="33" t="str">
        <f t="shared" si="55"/>
        <v/>
      </c>
      <c r="AC1176" s="33">
        <f t="shared" si="54"/>
        <v>1048540</v>
      </c>
      <c r="AD1176" s="33" t="str">
        <f t="shared" si="56"/>
        <v/>
      </c>
    </row>
    <row r="1177" spans="27:30" x14ac:dyDescent="0.3">
      <c r="AA1177" s="33" t="str">
        <f t="shared" si="55"/>
        <v/>
      </c>
      <c r="AC1177" s="33">
        <f t="shared" si="54"/>
        <v>1048540</v>
      </c>
      <c r="AD1177" s="33" t="str">
        <f t="shared" si="56"/>
        <v/>
      </c>
    </row>
    <row r="1178" spans="27:30" x14ac:dyDescent="0.3">
      <c r="AA1178" s="33" t="str">
        <f t="shared" si="55"/>
        <v/>
      </c>
      <c r="AC1178" s="33">
        <f t="shared" si="54"/>
        <v>1048540</v>
      </c>
      <c r="AD1178" s="33" t="str">
        <f t="shared" si="56"/>
        <v/>
      </c>
    </row>
    <row r="1179" spans="27:30" x14ac:dyDescent="0.3">
      <c r="AA1179" s="33" t="str">
        <f t="shared" si="55"/>
        <v/>
      </c>
      <c r="AC1179" s="33">
        <f t="shared" si="54"/>
        <v>1048540</v>
      </c>
      <c r="AD1179" s="33" t="str">
        <f t="shared" si="56"/>
        <v/>
      </c>
    </row>
    <row r="1180" spans="27:30" x14ac:dyDescent="0.3">
      <c r="AA1180" s="33" t="str">
        <f t="shared" si="55"/>
        <v/>
      </c>
      <c r="AC1180" s="33">
        <f t="shared" si="54"/>
        <v>1048540</v>
      </c>
      <c r="AD1180" s="33" t="str">
        <f t="shared" si="56"/>
        <v/>
      </c>
    </row>
    <row r="1181" spans="27:30" x14ac:dyDescent="0.3">
      <c r="AA1181" s="33" t="str">
        <f t="shared" si="55"/>
        <v/>
      </c>
      <c r="AC1181" s="33">
        <f t="shared" si="54"/>
        <v>1048540</v>
      </c>
      <c r="AD1181" s="33" t="str">
        <f t="shared" si="56"/>
        <v/>
      </c>
    </row>
    <row r="1182" spans="27:30" x14ac:dyDescent="0.3">
      <c r="AA1182" s="33" t="str">
        <f t="shared" si="55"/>
        <v/>
      </c>
      <c r="AC1182" s="33">
        <f t="shared" si="54"/>
        <v>1048540</v>
      </c>
      <c r="AD1182" s="33" t="str">
        <f t="shared" si="56"/>
        <v/>
      </c>
    </row>
    <row r="1183" spans="27:30" x14ac:dyDescent="0.3">
      <c r="AA1183" s="33" t="str">
        <f t="shared" si="55"/>
        <v/>
      </c>
      <c r="AC1183" s="33">
        <f t="shared" si="54"/>
        <v>1048540</v>
      </c>
      <c r="AD1183" s="33" t="str">
        <f t="shared" si="56"/>
        <v/>
      </c>
    </row>
    <row r="1184" spans="27:30" x14ac:dyDescent="0.3">
      <c r="AA1184" s="33" t="str">
        <f t="shared" si="55"/>
        <v/>
      </c>
      <c r="AC1184" s="33">
        <f t="shared" si="54"/>
        <v>1048540</v>
      </c>
      <c r="AD1184" s="33" t="str">
        <f t="shared" si="56"/>
        <v/>
      </c>
    </row>
    <row r="1185" spans="27:30" x14ac:dyDescent="0.3">
      <c r="AA1185" s="33" t="str">
        <f t="shared" si="55"/>
        <v/>
      </c>
      <c r="AC1185" s="33">
        <f t="shared" si="54"/>
        <v>1048540</v>
      </c>
      <c r="AD1185" s="33" t="str">
        <f t="shared" si="56"/>
        <v/>
      </c>
    </row>
    <row r="1186" spans="27:30" x14ac:dyDescent="0.3">
      <c r="AA1186" s="33" t="str">
        <f t="shared" si="55"/>
        <v/>
      </c>
      <c r="AC1186" s="33">
        <f t="shared" si="54"/>
        <v>1048540</v>
      </c>
      <c r="AD1186" s="33" t="str">
        <f t="shared" si="56"/>
        <v/>
      </c>
    </row>
    <row r="1187" spans="27:30" x14ac:dyDescent="0.3">
      <c r="AA1187" s="33" t="str">
        <f t="shared" si="55"/>
        <v/>
      </c>
      <c r="AC1187" s="33">
        <f t="shared" si="54"/>
        <v>1048540</v>
      </c>
      <c r="AD1187" s="33" t="str">
        <f t="shared" si="56"/>
        <v/>
      </c>
    </row>
    <row r="1188" spans="27:30" x14ac:dyDescent="0.3">
      <c r="AA1188" s="33" t="str">
        <f t="shared" si="55"/>
        <v/>
      </c>
      <c r="AC1188" s="33">
        <f t="shared" si="54"/>
        <v>1048540</v>
      </c>
      <c r="AD1188" s="33" t="str">
        <f t="shared" si="56"/>
        <v/>
      </c>
    </row>
    <row r="1189" spans="27:30" x14ac:dyDescent="0.3">
      <c r="AA1189" s="33" t="str">
        <f t="shared" si="55"/>
        <v/>
      </c>
      <c r="AC1189" s="33">
        <f t="shared" si="54"/>
        <v>1048540</v>
      </c>
      <c r="AD1189" s="33" t="str">
        <f t="shared" si="56"/>
        <v/>
      </c>
    </row>
    <row r="1190" spans="27:30" x14ac:dyDescent="0.3">
      <c r="AA1190" s="33" t="str">
        <f t="shared" si="55"/>
        <v/>
      </c>
      <c r="AC1190" s="33">
        <f t="shared" si="54"/>
        <v>1048540</v>
      </c>
      <c r="AD1190" s="33" t="str">
        <f t="shared" si="56"/>
        <v/>
      </c>
    </row>
    <row r="1191" spans="27:30" x14ac:dyDescent="0.3">
      <c r="AA1191" s="33" t="str">
        <f t="shared" si="55"/>
        <v/>
      </c>
      <c r="AC1191" s="33">
        <f t="shared" si="54"/>
        <v>1048540</v>
      </c>
      <c r="AD1191" s="33" t="str">
        <f t="shared" si="56"/>
        <v/>
      </c>
    </row>
    <row r="1192" spans="27:30" x14ac:dyDescent="0.3">
      <c r="AA1192" s="33" t="str">
        <f t="shared" si="55"/>
        <v/>
      </c>
      <c r="AC1192" s="33">
        <f t="shared" si="54"/>
        <v>1048540</v>
      </c>
      <c r="AD1192" s="33" t="str">
        <f t="shared" si="56"/>
        <v/>
      </c>
    </row>
    <row r="1193" spans="27:30" x14ac:dyDescent="0.3">
      <c r="AA1193" s="33" t="str">
        <f t="shared" si="55"/>
        <v/>
      </c>
      <c r="AC1193" s="33">
        <f t="shared" si="54"/>
        <v>1048540</v>
      </c>
      <c r="AD1193" s="33" t="str">
        <f t="shared" si="56"/>
        <v/>
      </c>
    </row>
    <row r="1194" spans="27:30" x14ac:dyDescent="0.3">
      <c r="AA1194" s="33" t="str">
        <f t="shared" si="55"/>
        <v/>
      </c>
      <c r="AC1194" s="33">
        <f t="shared" si="54"/>
        <v>1048540</v>
      </c>
      <c r="AD1194" s="33" t="str">
        <f t="shared" si="56"/>
        <v/>
      </c>
    </row>
    <row r="1195" spans="27:30" x14ac:dyDescent="0.3">
      <c r="AA1195" s="33" t="str">
        <f t="shared" si="55"/>
        <v/>
      </c>
      <c r="AC1195" s="33">
        <f t="shared" si="54"/>
        <v>1048540</v>
      </c>
      <c r="AD1195" s="33" t="str">
        <f t="shared" si="56"/>
        <v/>
      </c>
    </row>
    <row r="1196" spans="27:30" x14ac:dyDescent="0.3">
      <c r="AA1196" s="33" t="str">
        <f t="shared" si="55"/>
        <v/>
      </c>
      <c r="AC1196" s="33">
        <f t="shared" si="54"/>
        <v>1048540</v>
      </c>
      <c r="AD1196" s="33" t="str">
        <f t="shared" si="56"/>
        <v/>
      </c>
    </row>
    <row r="1197" spans="27:30" x14ac:dyDescent="0.3">
      <c r="AA1197" s="33" t="str">
        <f t="shared" si="55"/>
        <v/>
      </c>
      <c r="AC1197" s="33">
        <f t="shared" si="54"/>
        <v>1048540</v>
      </c>
      <c r="AD1197" s="33" t="str">
        <f t="shared" si="56"/>
        <v/>
      </c>
    </row>
    <row r="1198" spans="27:30" x14ac:dyDescent="0.3">
      <c r="AA1198" s="33" t="str">
        <f t="shared" si="55"/>
        <v/>
      </c>
      <c r="AC1198" s="33">
        <f t="shared" si="54"/>
        <v>1048540</v>
      </c>
      <c r="AD1198" s="33" t="str">
        <f t="shared" si="56"/>
        <v/>
      </c>
    </row>
    <row r="1199" spans="27:30" x14ac:dyDescent="0.3">
      <c r="AA1199" s="33" t="str">
        <f t="shared" si="55"/>
        <v/>
      </c>
      <c r="AC1199" s="33">
        <f t="shared" si="54"/>
        <v>1048540</v>
      </c>
      <c r="AD1199" s="33" t="str">
        <f t="shared" si="56"/>
        <v/>
      </c>
    </row>
    <row r="1200" spans="27:30" x14ac:dyDescent="0.3">
      <c r="AA1200" s="33" t="str">
        <f t="shared" si="55"/>
        <v/>
      </c>
      <c r="AC1200" s="33">
        <f t="shared" si="54"/>
        <v>1048540</v>
      </c>
      <c r="AD1200" s="33" t="str">
        <f t="shared" si="56"/>
        <v/>
      </c>
    </row>
    <row r="1201" spans="27:30" x14ac:dyDescent="0.3">
      <c r="AA1201" s="33" t="str">
        <f t="shared" si="55"/>
        <v/>
      </c>
      <c r="AC1201" s="33">
        <f t="shared" si="54"/>
        <v>1048540</v>
      </c>
      <c r="AD1201" s="33" t="str">
        <f t="shared" si="56"/>
        <v/>
      </c>
    </row>
    <row r="1202" spans="27:30" x14ac:dyDescent="0.3">
      <c r="AA1202" s="33" t="str">
        <f t="shared" si="55"/>
        <v/>
      </c>
      <c r="AC1202" s="33">
        <f t="shared" si="54"/>
        <v>1048540</v>
      </c>
      <c r="AD1202" s="33" t="str">
        <f t="shared" si="56"/>
        <v/>
      </c>
    </row>
    <row r="1203" spans="27:30" x14ac:dyDescent="0.3">
      <c r="AA1203" s="33" t="str">
        <f t="shared" si="55"/>
        <v/>
      </c>
      <c r="AC1203" s="33">
        <f t="shared" si="54"/>
        <v>1048540</v>
      </c>
      <c r="AD1203" s="33" t="str">
        <f t="shared" si="56"/>
        <v/>
      </c>
    </row>
    <row r="1204" spans="27:30" x14ac:dyDescent="0.3">
      <c r="AA1204" s="33" t="str">
        <f t="shared" si="55"/>
        <v/>
      </c>
      <c r="AC1204" s="33">
        <f t="shared" si="54"/>
        <v>1048540</v>
      </c>
      <c r="AD1204" s="33" t="str">
        <f t="shared" si="56"/>
        <v/>
      </c>
    </row>
    <row r="1205" spans="27:30" x14ac:dyDescent="0.3">
      <c r="AA1205" s="33" t="str">
        <f t="shared" si="55"/>
        <v/>
      </c>
      <c r="AC1205" s="33">
        <f t="shared" si="54"/>
        <v>1048540</v>
      </c>
      <c r="AD1205" s="33" t="str">
        <f t="shared" si="56"/>
        <v/>
      </c>
    </row>
    <row r="1206" spans="27:30" x14ac:dyDescent="0.3">
      <c r="AA1206" s="33" t="str">
        <f t="shared" si="55"/>
        <v/>
      </c>
      <c r="AC1206" s="33">
        <f t="shared" si="54"/>
        <v>1048540</v>
      </c>
    </row>
    <row r="1207" spans="27:30" x14ac:dyDescent="0.3">
      <c r="AA1207" s="33" t="str">
        <f t="shared" si="55"/>
        <v/>
      </c>
      <c r="AC1207" s="33">
        <f t="shared" si="54"/>
        <v>1048540</v>
      </c>
    </row>
    <row r="1208" spans="27:30" x14ac:dyDescent="0.3">
      <c r="AA1208" s="33" t="str">
        <f t="shared" si="55"/>
        <v/>
      </c>
      <c r="AC1208" s="33">
        <f t="shared" si="54"/>
        <v>1048540</v>
      </c>
    </row>
    <row r="1209" spans="27:30" x14ac:dyDescent="0.3">
      <c r="AA1209" s="33" t="str">
        <f t="shared" si="55"/>
        <v/>
      </c>
      <c r="AC1209" s="33">
        <f t="shared" si="54"/>
        <v>1048540</v>
      </c>
    </row>
    <row r="1210" spans="27:30" x14ac:dyDescent="0.3">
      <c r="AA1210" s="33" t="str">
        <f t="shared" si="55"/>
        <v/>
      </c>
      <c r="AC1210" s="33">
        <f t="shared" si="54"/>
        <v>1048540</v>
      </c>
    </row>
    <row r="1211" spans="27:30" x14ac:dyDescent="0.3">
      <c r="AA1211" s="33" t="str">
        <f t="shared" si="55"/>
        <v/>
      </c>
      <c r="AC1211" s="33">
        <f t="shared" si="54"/>
        <v>1048540</v>
      </c>
    </row>
    <row r="1212" spans="27:30" x14ac:dyDescent="0.3">
      <c r="AA1212" s="33" t="str">
        <f t="shared" si="55"/>
        <v/>
      </c>
      <c r="AC1212" s="33">
        <f t="shared" si="54"/>
        <v>1048540</v>
      </c>
    </row>
    <row r="1213" spans="27:30" x14ac:dyDescent="0.3">
      <c r="AC1213" s="33">
        <f t="shared" si="54"/>
        <v>0</v>
      </c>
    </row>
  </sheetData>
  <sortState xmlns:xlrd2="http://schemas.microsoft.com/office/spreadsheetml/2017/richdata2" ref="A2:H254">
    <sortCondition ref="D1:D254"/>
  </sortState>
  <phoneticPr fontId="2" type="noConversion"/>
  <conditionalFormatting sqref="AM1:AM1048576">
    <cfRule type="cellIs" dxfId="0" priority="1" operator="equal">
      <formula>"Down"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5E487EB055BA41A898A706D7DC94C6" ma:contentTypeVersion="9" ma:contentTypeDescription="Create a new document." ma:contentTypeScope="" ma:versionID="b49add7d339d027a51c9479473096dcb">
  <xsd:schema xmlns:xsd="http://www.w3.org/2001/XMLSchema" xmlns:xs="http://www.w3.org/2001/XMLSchema" xmlns:p="http://schemas.microsoft.com/office/2006/metadata/properties" xmlns:ns3="89e26f60-52e9-49f7-be1a-fd4a2e9d98ed" targetNamespace="http://schemas.microsoft.com/office/2006/metadata/properties" ma:root="true" ma:fieldsID="001f3d162a9940f7b93b08fe67bcecb9" ns3:_="">
    <xsd:import namespace="89e26f60-52e9-49f7-be1a-fd4a2e9d98e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e26f60-52e9-49f7-be1a-fd4a2e9d98ed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9e26f60-52e9-49f7-be1a-fd4a2e9d98ed" xsi:nil="true"/>
  </documentManagement>
</p:properties>
</file>

<file path=customXml/itemProps1.xml><?xml version="1.0" encoding="utf-8"?>
<ds:datastoreItem xmlns:ds="http://schemas.openxmlformats.org/officeDocument/2006/customXml" ds:itemID="{36179558-4039-4808-9960-5AD89CDCA4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E01018E-78F0-4362-9E37-746B86743C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e26f60-52e9-49f7-be1a-fd4a2e9d98e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E06CACE-23DC-4CBD-AA58-4E62B8C9DA7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762BB4D-0362-455A-AE7C-E8AAB0B0099A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89e26f60-52e9-49f7-be1a-fd4a2e9d98ed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CPN Automation</vt:lpstr>
      <vt:lpstr>Paste Here</vt:lpstr>
      <vt:lpstr>'Paste Here'!Extract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Fares-AbdElGhany, Vodafone</dc:creator>
  <cp:lastModifiedBy>Ahmed Fares-AbdElGhany, Vodafone</cp:lastModifiedBy>
  <dcterms:created xsi:type="dcterms:W3CDTF">2025-08-03T11:38:35Z</dcterms:created>
  <dcterms:modified xsi:type="dcterms:W3CDTF">2025-10-04T15:53:23Z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373536-36c5-4fd9-8140-7ddebb8b4638_Enabled">
    <vt:lpwstr>true</vt:lpwstr>
  </property>
  <property fmtid="{D5CDD505-2E9C-101B-9397-08002B2CF9AE}" pid="3" name="MSIP_Label_7f373536-36c5-4fd9-8140-7ddebb8b4638_SetDate">
    <vt:lpwstr>2025-08-05T06:35:07Z</vt:lpwstr>
  </property>
  <property fmtid="{D5CDD505-2E9C-101B-9397-08002B2CF9AE}" pid="4" name="MSIP_Label_7f373536-36c5-4fd9-8140-7ddebb8b4638_Method">
    <vt:lpwstr>Standard</vt:lpwstr>
  </property>
  <property fmtid="{D5CDD505-2E9C-101B-9397-08002B2CF9AE}" pid="5" name="MSIP_Label_7f373536-36c5-4fd9-8140-7ddebb8b4638_Name">
    <vt:lpwstr>C2 General</vt:lpwstr>
  </property>
  <property fmtid="{D5CDD505-2E9C-101B-9397-08002B2CF9AE}" pid="6" name="MSIP_Label_7f373536-36c5-4fd9-8140-7ddebb8b4638_SiteId">
    <vt:lpwstr>28d54ec7-2221-4717-acb0-7f8c37359048</vt:lpwstr>
  </property>
  <property fmtid="{D5CDD505-2E9C-101B-9397-08002B2CF9AE}" pid="7" name="MSIP_Label_7f373536-36c5-4fd9-8140-7ddebb8b4638_ActionId">
    <vt:lpwstr>e5a97542-a24e-4130-ac38-9cb48aaa6036</vt:lpwstr>
  </property>
  <property fmtid="{D5CDD505-2E9C-101B-9397-08002B2CF9AE}" pid="8" name="MSIP_Label_7f373536-36c5-4fd9-8140-7ddebb8b4638_ContentBits">
    <vt:lpwstr>2</vt:lpwstr>
  </property>
  <property fmtid="{D5CDD505-2E9C-101B-9397-08002B2CF9AE}" pid="9" name="MSIP_Label_7f373536-36c5-4fd9-8140-7ddebb8b4638_Tag">
    <vt:lpwstr>10, 3, 0, 1</vt:lpwstr>
  </property>
  <property fmtid="{D5CDD505-2E9C-101B-9397-08002B2CF9AE}" pid="10" name="ContentTypeId">
    <vt:lpwstr>0x0101007E5E487EB055BA41A898A706D7DC94C6</vt:lpwstr>
  </property>
</Properties>
</file>